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us\Desktop\GITHUB\Excel\"/>
    </mc:Choice>
  </mc:AlternateContent>
  <xr:revisionPtr revIDLastSave="0" documentId="13_ncr:1_{51F4D0D0-067E-4792-BE60-7E5BF6574CC4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Dashboard predaj" sheetId="5" r:id="rId1"/>
    <sheet name="Pomocne KT" sheetId="6" r:id="rId2"/>
    <sheet name="Predaje" sheetId="4" r:id="rId3"/>
  </sheets>
  <definedNames>
    <definedName name="Rýchly_filter_Mesiace__Datum">#N/A</definedName>
    <definedName name="Rýchly_filter_Rok">#N/A</definedName>
  </definedNames>
  <calcPr calcId="191029" iterateDelta="1E-4"/>
  <pivotCaches>
    <pivotCache cacheId="1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4" i="4" l="1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4" i="4"/>
  <c r="A2" i="5"/>
</calcChain>
</file>

<file path=xl/sharedStrings.xml><?xml version="1.0" encoding="utf-8"?>
<sst xmlns="http://schemas.openxmlformats.org/spreadsheetml/2006/main" count="4644" uniqueCount="886">
  <si>
    <t>Praha</t>
  </si>
  <si>
    <t>Podrobnosti o Súčet z Zisk</t>
  </si>
  <si>
    <t>Datum</t>
  </si>
  <si>
    <t>ObjednavkaID</t>
  </si>
  <si>
    <t>Zakaznik</t>
  </si>
  <si>
    <t>Segment</t>
  </si>
  <si>
    <t>Region</t>
  </si>
  <si>
    <t>Kanal</t>
  </si>
  <si>
    <t>Kategorie</t>
  </si>
  <si>
    <t>Produkt</t>
  </si>
  <si>
    <t>Obchodnik</t>
  </si>
  <si>
    <t>Mnozstvi</t>
  </si>
  <si>
    <t>JednCena</t>
  </si>
  <si>
    <t>SlevaPct</t>
  </si>
  <si>
    <t>Trzba</t>
  </si>
  <si>
    <t>Naklad</t>
  </si>
  <si>
    <t>Zisk</t>
  </si>
  <si>
    <t>Rok</t>
  </si>
  <si>
    <t>ORD-240208-0021</t>
  </si>
  <si>
    <t>Jana Hájek</t>
  </si>
  <si>
    <t>B2C</t>
  </si>
  <si>
    <t>Čechy</t>
  </si>
  <si>
    <t>E-shop</t>
  </si>
  <si>
    <t>Kancelář</t>
  </si>
  <si>
    <t>Židle ergonomická</t>
  </si>
  <si>
    <t>Beneš</t>
  </si>
  <si>
    <t>ORD-240328-0044</t>
  </si>
  <si>
    <t>Daniel Novák</t>
  </si>
  <si>
    <t>ORD-240525-0077</t>
  </si>
  <si>
    <t>Alena Pokorný</t>
  </si>
  <si>
    <t>Fiala</t>
  </si>
  <si>
    <t>ORD-240802-0109</t>
  </si>
  <si>
    <t>Alena Hájek</t>
  </si>
  <si>
    <t>Veselý</t>
  </si>
  <si>
    <t>ORD-241004-0147</t>
  </si>
  <si>
    <t>Jana Pokorný</t>
  </si>
  <si>
    <t>ORD-241030-0167</t>
  </si>
  <si>
    <t>Kateřina Veselý</t>
  </si>
  <si>
    <t>Novák</t>
  </si>
  <si>
    <t>ORD-241101-0169</t>
  </si>
  <si>
    <t>Daniel Pokorný</t>
  </si>
  <si>
    <t>ORD-250111-0222</t>
  </si>
  <si>
    <t>Tomáš Jelínek</t>
  </si>
  <si>
    <t>Prodejna</t>
  </si>
  <si>
    <t>ORD-250629-0312</t>
  </si>
  <si>
    <t>Martina Jelínek</t>
  </si>
  <si>
    <t>Dvořák</t>
  </si>
  <si>
    <t>ORD-250810-0331</t>
  </si>
  <si>
    <t>Orion a.s.</t>
  </si>
  <si>
    <t>B2B</t>
  </si>
  <si>
    <t>Slezsko</t>
  </si>
  <si>
    <t>Svoboda</t>
  </si>
  <si>
    <t>ORD-250903-0343</t>
  </si>
  <si>
    <t>Radek Veselý</t>
  </si>
  <si>
    <t>ORD-251010-0352</t>
  </si>
  <si>
    <t>Anna Novák</t>
  </si>
  <si>
    <t>ORD-251102-0371</t>
  </si>
  <si>
    <t>Omega s.r.o.</t>
  </si>
  <si>
    <t>Velkoobchod</t>
  </si>
  <si>
    <t>ORD-260316-0451</t>
  </si>
  <si>
    <t>Karel Novák</t>
  </si>
  <si>
    <t>ORD-260323-0459</t>
  </si>
  <si>
    <t>Martin Hájek</t>
  </si>
  <si>
    <t>Kučera</t>
  </si>
  <si>
    <t>ORD-260327-0463</t>
  </si>
  <si>
    <t>Tomáš Horák</t>
  </si>
  <si>
    <t>ORD-260423-0478</t>
  </si>
  <si>
    <t>Tereza Hájek</t>
  </si>
  <si>
    <t>Morava</t>
  </si>
  <si>
    <t>ORD-240415-0057</t>
  </si>
  <si>
    <t>Petr Horák</t>
  </si>
  <si>
    <t>Elektronika</t>
  </si>
  <si>
    <t>Webkamera HD</t>
  </si>
  <si>
    <t>ORD-241206-0192</t>
  </si>
  <si>
    <t>Kappa s.r.o.</t>
  </si>
  <si>
    <t>ORD-241219-0202</t>
  </si>
  <si>
    <t>Markéta Novák</t>
  </si>
  <si>
    <t>ORD-250218-0246</t>
  </si>
  <si>
    <t>Tomáš Beneš</t>
  </si>
  <si>
    <t>ORD-251015-0359</t>
  </si>
  <si>
    <t>Anna Veselý</t>
  </si>
  <si>
    <t>ORD-251019-0362</t>
  </si>
  <si>
    <t>Jan Svoboda</t>
  </si>
  <si>
    <t>ORD-251115-0379</t>
  </si>
  <si>
    <t>Tereza Horák</t>
  </si>
  <si>
    <t>ORD-240206-0018</t>
  </si>
  <si>
    <t>Domácnost</t>
  </si>
  <si>
    <t>Vysavač tyčový</t>
  </si>
  <si>
    <t>Král</t>
  </si>
  <si>
    <t>ORD-240430-0065</t>
  </si>
  <si>
    <t>Václav Novotný</t>
  </si>
  <si>
    <t>ORD-241127-0185</t>
  </si>
  <si>
    <t>Alena Černý</t>
  </si>
  <si>
    <t>ORD-241206-0190</t>
  </si>
  <si>
    <t>Radek Král</t>
  </si>
  <si>
    <t>ORD-241231-0217</t>
  </si>
  <si>
    <t>Alfa s.r.o.</t>
  </si>
  <si>
    <t>ORD-250122-0234</t>
  </si>
  <si>
    <t>Michal Fiala</t>
  </si>
  <si>
    <t>ORD-250222-0249</t>
  </si>
  <si>
    <t>Lukáš Veselý</t>
  </si>
  <si>
    <t>ORD-250625-0310</t>
  </si>
  <si>
    <t>Eliška Fiala</t>
  </si>
  <si>
    <t>ORD-251021-0364</t>
  </si>
  <si>
    <t>Martin Procházka</t>
  </si>
  <si>
    <t>ORD-251129-0385</t>
  </si>
  <si>
    <t>Michal Pospíšil</t>
  </si>
  <si>
    <t>ORD-251214-0396</t>
  </si>
  <si>
    <t>Markéta Černý</t>
  </si>
  <si>
    <t>ORD-260129-0426</t>
  </si>
  <si>
    <t>ORD-260329-0464</t>
  </si>
  <si>
    <t>Jiří Horák</t>
  </si>
  <si>
    <t>ORD-260415-0473</t>
  </si>
  <si>
    <t>Karel Svoboda</t>
  </si>
  <si>
    <t>ORD-260520-0493</t>
  </si>
  <si>
    <t>Václav Němec</t>
  </si>
  <si>
    <t>ORD-260528-0499</t>
  </si>
  <si>
    <t>Karolína Kučera</t>
  </si>
  <si>
    <t>ORD-240327-0043</t>
  </si>
  <si>
    <t>Eliška Pokorný</t>
  </si>
  <si>
    <t>Topinkovač</t>
  </si>
  <si>
    <t>ORD-240426-0063</t>
  </si>
  <si>
    <t>Jana Beneš</t>
  </si>
  <si>
    <t>ORD-240518-0073</t>
  </si>
  <si>
    <t>Delta a.s.</t>
  </si>
  <si>
    <t>ORD-240726-0107</t>
  </si>
  <si>
    <t>David Procházka</t>
  </si>
  <si>
    <t>ORD-241021-0163</t>
  </si>
  <si>
    <t>Václav Svoboda</t>
  </si>
  <si>
    <t>ORD-241211-0196</t>
  </si>
  <si>
    <t>Ondřej Pokorný</t>
  </si>
  <si>
    <t>ORD-241224-0210</t>
  </si>
  <si>
    <t>Beta a.s.</t>
  </si>
  <si>
    <t>ORD-241229-0216</t>
  </si>
  <si>
    <t>Karolína Beneš</t>
  </si>
  <si>
    <t>ORD-250509-0284</t>
  </si>
  <si>
    <t>Anna Svoboda</t>
  </si>
  <si>
    <t>ORD-250512-0285</t>
  </si>
  <si>
    <t>Radek Černý</t>
  </si>
  <si>
    <t>ORD-250516-0286</t>
  </si>
  <si>
    <t>ORD-250519-0288</t>
  </si>
  <si>
    <t>Lukáš Svoboda</t>
  </si>
  <si>
    <t>ORD-250621-0305</t>
  </si>
  <si>
    <t>ORD-251026-0367</t>
  </si>
  <si>
    <t>ORD-251209-0391</t>
  </si>
  <si>
    <t>Anna Kučera</t>
  </si>
  <si>
    <t>ORD-260101-0410</t>
  </si>
  <si>
    <t>Martin Novotný</t>
  </si>
  <si>
    <t>ORD-260303-0446</t>
  </si>
  <si>
    <t>Michal Beneš</t>
  </si>
  <si>
    <t>ORD-260319-0456</t>
  </si>
  <si>
    <t>Veronika Dvořák</t>
  </si>
  <si>
    <t>ORD-240501-0066</t>
  </si>
  <si>
    <t>Radek Jelínek</t>
  </si>
  <si>
    <t>Toner HP 12A</t>
  </si>
  <si>
    <t>ORD-240927-0144</t>
  </si>
  <si>
    <t>Eliška Dvořák</t>
  </si>
  <si>
    <t>ORD-241010-0151</t>
  </si>
  <si>
    <t>Eliška Němec</t>
  </si>
  <si>
    <t>ORD-241017-0159</t>
  </si>
  <si>
    <t>Lukáš Fiala</t>
  </si>
  <si>
    <t>ORD-241218-0199</t>
  </si>
  <si>
    <t>ORD-241223-0207</t>
  </si>
  <si>
    <t>Jiří Novotný</t>
  </si>
  <si>
    <t>ORD-250113-0223</t>
  </si>
  <si>
    <t>Daniel Svoboda</t>
  </si>
  <si>
    <t>ORD-250121-0233</t>
  </si>
  <si>
    <t>Daniel Veselý</t>
  </si>
  <si>
    <t>ORD-250212-0241</t>
  </si>
  <si>
    <t>ORD-250322-0259</t>
  </si>
  <si>
    <t>Petra Dvořák</t>
  </si>
  <si>
    <t>ORD-250718-0323</t>
  </si>
  <si>
    <t>Martina Veselý</t>
  </si>
  <si>
    <t>ORD-250821-0337</t>
  </si>
  <si>
    <t>Veronika Pospíšil</t>
  </si>
  <si>
    <t>ORD-260101-0411</t>
  </si>
  <si>
    <t>Karolína Hájek</t>
  </si>
  <si>
    <t>ORD-260123-0424</t>
  </si>
  <si>
    <t>Filip Černý</t>
  </si>
  <si>
    <t>ORD-260201-0429</t>
  </si>
  <si>
    <t>Radek Beneš</t>
  </si>
  <si>
    <t>ORD-260405-0468</t>
  </si>
  <si>
    <t>ORD-260428-0479</t>
  </si>
  <si>
    <t>Lucie Dvořák</t>
  </si>
  <si>
    <t>ORD-260515-0488</t>
  </si>
  <si>
    <t>Vltava s.r.o.</t>
  </si>
  <si>
    <t>ORD-240413-0054</t>
  </si>
  <si>
    <t>Veronika Veselý</t>
  </si>
  <si>
    <t>Sport</t>
  </si>
  <si>
    <t>Švihadlo</t>
  </si>
  <si>
    <t>ORD-250121-0231</t>
  </si>
  <si>
    <t>ORD-250214-0242</t>
  </si>
  <si>
    <t>ORD-250222-0248</t>
  </si>
  <si>
    <t>ORD-250411-0270</t>
  </si>
  <si>
    <t>Tereza Novák</t>
  </si>
  <si>
    <t>ORD-250916-0348</t>
  </si>
  <si>
    <t>Tomáš Kučera</t>
  </si>
  <si>
    <t>ORD-251031-0370</t>
  </si>
  <si>
    <t>Radek Horák</t>
  </si>
  <si>
    <t>ORD-260109-0416</t>
  </si>
  <si>
    <t>ORD-240201-0015</t>
  </si>
  <si>
    <t>Karolína Veselý</t>
  </si>
  <si>
    <t>Stůl kancelářský</t>
  </si>
  <si>
    <t>ORD-240522-0074</t>
  </si>
  <si>
    <t>Michal Pokorný</t>
  </si>
  <si>
    <t>ORD-240529-0079</t>
  </si>
  <si>
    <t>Radek Novotný</t>
  </si>
  <si>
    <t>ORD-240609-0086</t>
  </si>
  <si>
    <t>Tomáš Němec</t>
  </si>
  <si>
    <t>ORD-240902-0127</t>
  </si>
  <si>
    <t>Kateřina Horák</t>
  </si>
  <si>
    <t>ORD-241017-0160</t>
  </si>
  <si>
    <t>Martina Novák</t>
  </si>
  <si>
    <t>ORD-241118-0179</t>
  </si>
  <si>
    <t>Jiří Hájek</t>
  </si>
  <si>
    <t>ORD-250113-0224</t>
  </si>
  <si>
    <t>ORD-250131-0239</t>
  </si>
  <si>
    <t>Kateřina Němec</t>
  </si>
  <si>
    <t>ORD-250225-0252</t>
  </si>
  <si>
    <t>Jan Kučera</t>
  </si>
  <si>
    <t>ORD-250417-0272</t>
  </si>
  <si>
    <t>ORD-250612-0301</t>
  </si>
  <si>
    <t>David Hájek</t>
  </si>
  <si>
    <t>ORD-250821-0336</t>
  </si>
  <si>
    <t>Michal Horák</t>
  </si>
  <si>
    <t>ORD-251213-0395</t>
  </si>
  <si>
    <t>Ondřej Král</t>
  </si>
  <si>
    <t>ORD-240219-0025</t>
  </si>
  <si>
    <t>Radek Hájek</t>
  </si>
  <si>
    <t>Sluchátka BT</t>
  </si>
  <si>
    <t>ORD-240329-0046</t>
  </si>
  <si>
    <t>ORD-241014-0155</t>
  </si>
  <si>
    <t>Petra Fiala</t>
  </si>
  <si>
    <t>ORD-250417-0271</t>
  </si>
  <si>
    <t>ORD-250826-0340</t>
  </si>
  <si>
    <t>Gama s.r.o.</t>
  </si>
  <si>
    <t>ORD-250902-0342</t>
  </si>
  <si>
    <t>Martina Dvořák</t>
  </si>
  <si>
    <t>ORD-251210-0393</t>
  </si>
  <si>
    <t>ORD-251230-0407</t>
  </si>
  <si>
    <t>ORD-260102-0412</t>
  </si>
  <si>
    <t>Eliška Horák</t>
  </si>
  <si>
    <t>ORD-260327-0462</t>
  </si>
  <si>
    <t>Lukáš Král</t>
  </si>
  <si>
    <t>ORD-260418-0476</t>
  </si>
  <si>
    <t>Lucie Veselý</t>
  </si>
  <si>
    <t>ORD-240212-0023</t>
  </si>
  <si>
    <t>Ondřej Pospíšil</t>
  </si>
  <si>
    <t>Sešit A5</t>
  </si>
  <si>
    <t>ORD-240416-0058</t>
  </si>
  <si>
    <t>ORD-240511-0071</t>
  </si>
  <si>
    <t>Karolína Procházka</t>
  </si>
  <si>
    <t>ORD-240620-0088</t>
  </si>
  <si>
    <t>ORD-240623-0093</t>
  </si>
  <si>
    <t>Lucie Pospíšil</t>
  </si>
  <si>
    <t>ORD-241103-0170</t>
  </si>
  <si>
    <t>ORD-241108-0171</t>
  </si>
  <si>
    <t>Ondřej Němec</t>
  </si>
  <si>
    <t>ORD-241219-0201</t>
  </si>
  <si>
    <t>ORD-250121-0232</t>
  </si>
  <si>
    <t>ORD-250304-0255</t>
  </si>
  <si>
    <t>Jana Svoboda</t>
  </si>
  <si>
    <t>ORD-250613-0302</t>
  </si>
  <si>
    <t>Veronika Beneš</t>
  </si>
  <si>
    <t>ORD-251215-0397</t>
  </si>
  <si>
    <t>ORD-260413-0472</t>
  </si>
  <si>
    <t>Eliška Král</t>
  </si>
  <si>
    <t>ORD-260530-0500</t>
  </si>
  <si>
    <t>Karolína Horák</t>
  </si>
  <si>
    <t>ORD-240113-0003</t>
  </si>
  <si>
    <t>Jana Horák</t>
  </si>
  <si>
    <t>Sada dóz</t>
  </si>
  <si>
    <t>ORD-240126-0010</t>
  </si>
  <si>
    <t>Petra Jelínek</t>
  </si>
  <si>
    <t>ORD-240323-0042</t>
  </si>
  <si>
    <t>ORD-240609-0087</t>
  </si>
  <si>
    <t>Radek Procházka</t>
  </si>
  <si>
    <t>ORD-240701-0098</t>
  </si>
  <si>
    <t>Filip Veselý</t>
  </si>
  <si>
    <t>ORD-241129-0186</t>
  </si>
  <si>
    <t>Markéta Dvořák</t>
  </si>
  <si>
    <t>ORD-241226-0214</t>
  </si>
  <si>
    <t>Ondřej Procházka</t>
  </si>
  <si>
    <t>ORD-250217-0245</t>
  </si>
  <si>
    <t>ORD-250607-0297</t>
  </si>
  <si>
    <t>Anna Fiala</t>
  </si>
  <si>
    <t>ORD-250607-0299</t>
  </si>
  <si>
    <t>Martina Pospíšil</t>
  </si>
  <si>
    <t>ORD-250621-0307</t>
  </si>
  <si>
    <t>ORD-250714-0321</t>
  </si>
  <si>
    <t>Lukáš Dvořák</t>
  </si>
  <si>
    <t>ORD-250828-0341</t>
  </si>
  <si>
    <t>Veronika Němec</t>
  </si>
  <si>
    <t>ORD-250907-0345</t>
  </si>
  <si>
    <t>ORD-250914-0347</t>
  </si>
  <si>
    <t>Karel Němec</t>
  </si>
  <si>
    <t>ORD-251013-0356</t>
  </si>
  <si>
    <t>Alena Novák</t>
  </si>
  <si>
    <t>ORD-251215-0398</t>
  </si>
  <si>
    <t>ORD-260215-0440</t>
  </si>
  <si>
    <t>Lukáš Jelínek</t>
  </si>
  <si>
    <t>ORD-260318-0453</t>
  </si>
  <si>
    <t>ORD-260417-0474</t>
  </si>
  <si>
    <t>ORD-260420-0477</t>
  </si>
  <si>
    <t>Eliška Novotný</t>
  </si>
  <si>
    <t>ORD-260508-0484</t>
  </si>
  <si>
    <t>ORD-260517-0490</t>
  </si>
  <si>
    <t>ORD-260520-0494</t>
  </si>
  <si>
    <t>Eliška Jelínek</t>
  </si>
  <si>
    <t>ORD-240120-0008</t>
  </si>
  <si>
    <t>Rychlovarná konvice</t>
  </si>
  <si>
    <t>ORD-240202-0016</t>
  </si>
  <si>
    <t>ORD-240322-0041</t>
  </si>
  <si>
    <t>ORD-240418-0060</t>
  </si>
  <si>
    <t>Petr Němec</t>
  </si>
  <si>
    <t>ORD-240720-0105</t>
  </si>
  <si>
    <t>ORD-240812-0115</t>
  </si>
  <si>
    <t>ORD-241016-0158</t>
  </si>
  <si>
    <t>Veronika Pokorný</t>
  </si>
  <si>
    <t>ORD-241109-0172</t>
  </si>
  <si>
    <t>Markéta Fiala</t>
  </si>
  <si>
    <t>ORD-241113-0174</t>
  </si>
  <si>
    <t>ORD-250102-0219</t>
  </si>
  <si>
    <t>ORD-250324-0260</t>
  </si>
  <si>
    <t>ORD-250326-0263</t>
  </si>
  <si>
    <t>ORD-250603-0295</t>
  </si>
  <si>
    <t>Petra Němec</t>
  </si>
  <si>
    <t>ORD-251221-0403</t>
  </si>
  <si>
    <t>ORD-260317-0452</t>
  </si>
  <si>
    <t>Petra Kučera</t>
  </si>
  <si>
    <t>ORD-260429-0481</t>
  </si>
  <si>
    <t>Martin Veselý</t>
  </si>
  <si>
    <t>ORD-240208-0022</t>
  </si>
  <si>
    <t>Reproduktor BT</t>
  </si>
  <si>
    <t>ORD-240309-0034</t>
  </si>
  <si>
    <t>ORD-240408-0050</t>
  </si>
  <si>
    <t>Kateřina Pospíšil</t>
  </si>
  <si>
    <t>ORD-240417-0059</t>
  </si>
  <si>
    <t>ORD-240701-0099</t>
  </si>
  <si>
    <t>Lucie Němec</t>
  </si>
  <si>
    <t>ORD-240715-0103</t>
  </si>
  <si>
    <t>Martina Horák</t>
  </si>
  <si>
    <t>ORD-240811-0114</t>
  </si>
  <si>
    <t>ORD-240816-0116</t>
  </si>
  <si>
    <t>ORD-240923-0138</t>
  </si>
  <si>
    <t>Martin Jelínek</t>
  </si>
  <si>
    <t>ORD-241026-0164</t>
  </si>
  <si>
    <t>ORD-241114-0175</t>
  </si>
  <si>
    <t>Radek Pospíšil</t>
  </si>
  <si>
    <t>ORD-241222-0206</t>
  </si>
  <si>
    <t>ORD-250427-0278</t>
  </si>
  <si>
    <t>ORD-250522-0289</t>
  </si>
  <si>
    <t>Tomáš Král</t>
  </si>
  <si>
    <t>ORD-250626-0311</t>
  </si>
  <si>
    <t>Jan Dvořák</t>
  </si>
  <si>
    <t>ORD-251021-0363</t>
  </si>
  <si>
    <t>ORD-251022-0366</t>
  </si>
  <si>
    <t>Ondřej Veselý</t>
  </si>
  <si>
    <t>ORD-251104-0372</t>
  </si>
  <si>
    <t>Václav Veselý</t>
  </si>
  <si>
    <t>ORD-251114-0377</t>
  </si>
  <si>
    <t>ORD-260101-0409</t>
  </si>
  <si>
    <t>Markéta Svoboda</t>
  </si>
  <si>
    <t>ORD-260123-0423</t>
  </si>
  <si>
    <t>Lucie Horák</t>
  </si>
  <si>
    <t>ORD-240309-0032</t>
  </si>
  <si>
    <t>Ondřej Novotný</t>
  </si>
  <si>
    <t>Powerbanka 20k</t>
  </si>
  <si>
    <t>ORD-240313-0038</t>
  </si>
  <si>
    <t>Eliška Novák</t>
  </si>
  <si>
    <t>ORD-240525-0078</t>
  </si>
  <si>
    <t>Alena Němec</t>
  </si>
  <si>
    <t>ORD-240802-0110</t>
  </si>
  <si>
    <t>Lukáš Kučera</t>
  </si>
  <si>
    <t>ORD-240903-0128</t>
  </si>
  <si>
    <t>ORD-241114-0176</t>
  </si>
  <si>
    <t>David Pospíšil</t>
  </si>
  <si>
    <t>ORD-241125-0184</t>
  </si>
  <si>
    <t>Markéta Pokorný</t>
  </si>
  <si>
    <t>ORD-241216-0198</t>
  </si>
  <si>
    <t>Petra Beneš</t>
  </si>
  <si>
    <t>ORD-250101-0218</t>
  </si>
  <si>
    <t>ORD-250418-0273</t>
  </si>
  <si>
    <t>Alena Fiala</t>
  </si>
  <si>
    <t>ORD-251018-0361</t>
  </si>
  <si>
    <t>Václav Fiala</t>
  </si>
  <si>
    <t>ORD-251022-0365</t>
  </si>
  <si>
    <t>Michal Hájek</t>
  </si>
  <si>
    <t>ORD-251114-0378</t>
  </si>
  <si>
    <t>Jiří Němec</t>
  </si>
  <si>
    <t>ORD-251203-0386</t>
  </si>
  <si>
    <t>Anna Pospíšil</t>
  </si>
  <si>
    <t>ORD-251222-0404</t>
  </si>
  <si>
    <t>ORD-260120-0421</t>
  </si>
  <si>
    <t>ORD-260209-0435</t>
  </si>
  <si>
    <t>ORD-260215-0441</t>
  </si>
  <si>
    <t>Martina Beneš</t>
  </si>
  <si>
    <t>ORD-260304-0447</t>
  </si>
  <si>
    <t>ORD-260407-0470</t>
  </si>
  <si>
    <t>Filip Jelínek</t>
  </si>
  <si>
    <t>ORD-260410-0471</t>
  </si>
  <si>
    <t>Tomáš Novák</t>
  </si>
  <si>
    <t>ORD-260501-0482</t>
  </si>
  <si>
    <t>Jiří Černý</t>
  </si>
  <si>
    <t>ORD-240412-0053</t>
  </si>
  <si>
    <t>Pořadač pákový</t>
  </si>
  <si>
    <t>ORD-240510-0070</t>
  </si>
  <si>
    <t>ORD-240713-0101</t>
  </si>
  <si>
    <t>ORD-240907-0130</t>
  </si>
  <si>
    <t>David Novák</t>
  </si>
  <si>
    <t>ORD-240910-0132</t>
  </si>
  <si>
    <t>ORD-240917-0134</t>
  </si>
  <si>
    <t>ORD-240929-0145</t>
  </si>
  <si>
    <t>Jan Fiala</t>
  </si>
  <si>
    <t>ORD-241124-0183</t>
  </si>
  <si>
    <t>Petr Fiala</t>
  </si>
  <si>
    <t>ORD-241221-0204</t>
  </si>
  <si>
    <t>ORD-250127-0237</t>
  </si>
  <si>
    <t>ORD-250629-0313</t>
  </si>
  <si>
    <t>ORD-251009-0351</t>
  </si>
  <si>
    <t>Petra Procházka</t>
  </si>
  <si>
    <t>ORD-260401-0466</t>
  </si>
  <si>
    <t>Martin Král</t>
  </si>
  <si>
    <t>ORD-240312-0036</t>
  </si>
  <si>
    <t>Podložka na jógu</t>
  </si>
  <si>
    <t>ORD-240507-0069</t>
  </si>
  <si>
    <t>ORD-240516-0072</t>
  </si>
  <si>
    <t>Lukáš Hájek</t>
  </si>
  <si>
    <t>ORD-240605-0083</t>
  </si>
  <si>
    <t>ORD-240829-0123</t>
  </si>
  <si>
    <t>David Pokorný</t>
  </si>
  <si>
    <t>ORD-240920-0135</t>
  </si>
  <si>
    <t>ORD-241224-0211</t>
  </si>
  <si>
    <t>ORD-250115-0225</t>
  </si>
  <si>
    <t>ORD-250331-0264</t>
  </si>
  <si>
    <t>ORD-250406-0266</t>
  </si>
  <si>
    <t>ORD-250420-0275</t>
  </si>
  <si>
    <t>ORD-250724-0325</t>
  </si>
  <si>
    <t>ORD-251013-0355</t>
  </si>
  <si>
    <t>Tereza Dvořák</t>
  </si>
  <si>
    <t>ORD-251014-0358</t>
  </si>
  <si>
    <t>ORD-260201-0430</t>
  </si>
  <si>
    <t>Jan Veselý</t>
  </si>
  <si>
    <t>ORD-260212-0439</t>
  </si>
  <si>
    <t>Václav Dvořák</t>
  </si>
  <si>
    <t>ORD-240120-0007</t>
  </si>
  <si>
    <t>Eliška Svoboda</t>
  </si>
  <si>
    <t>Pero gelové</t>
  </si>
  <si>
    <t>ORD-240302-0029</t>
  </si>
  <si>
    <t>Jiří Svoboda</t>
  </si>
  <si>
    <t>ORD-240309-0031</t>
  </si>
  <si>
    <t>Martin Dvořák</t>
  </si>
  <si>
    <t>ORD-240808-0111</t>
  </si>
  <si>
    <t>ORD-240830-0126</t>
  </si>
  <si>
    <t>ORD-241117-0177</t>
  </si>
  <si>
    <t>Kateřina Svoboda</t>
  </si>
  <si>
    <t>ORD-250103-0220</t>
  </si>
  <si>
    <t>Lucie Černý</t>
  </si>
  <si>
    <t>ORD-250608-0300</t>
  </si>
  <si>
    <t>Alena Král</t>
  </si>
  <si>
    <t>ORD-250621-0306</t>
  </si>
  <si>
    <t>Radek Pokorný</t>
  </si>
  <si>
    <t>ORD-250712-0319</t>
  </si>
  <si>
    <t>Markéta Pospíšil</t>
  </si>
  <si>
    <t>ORD-260120-0420</t>
  </si>
  <si>
    <t>ORD-260126-0425</t>
  </si>
  <si>
    <t>Karolína Novotný</t>
  </si>
  <si>
    <t>ORD-260309-0448</t>
  </si>
  <si>
    <t>ORD-240228-0026</t>
  </si>
  <si>
    <t>Papír A4 80g</t>
  </si>
  <si>
    <t>ORD-240228-0027</t>
  </si>
  <si>
    <t>ORD-240501-0067</t>
  </si>
  <si>
    <t>Lucie Beneš</t>
  </si>
  <si>
    <t>ORD-240607-0085</t>
  </si>
  <si>
    <t>ORD-240909-0131</t>
  </si>
  <si>
    <t>ORD-241006-0148</t>
  </si>
  <si>
    <t>ORD-241101-0168</t>
  </si>
  <si>
    <t>ORD-241223-0209</t>
  </si>
  <si>
    <t>ORD-250715-0322</t>
  </si>
  <si>
    <t>ORD-260219-0442</t>
  </si>
  <si>
    <t>Petr Svoboda</t>
  </si>
  <si>
    <t>ORD-260321-0457</t>
  </si>
  <si>
    <t>ORD-240119-0006</t>
  </si>
  <si>
    <t>Pánev 28 cm</t>
  </si>
  <si>
    <t>ORD-240305-0030</t>
  </si>
  <si>
    <t>ORD-240321-0040</t>
  </si>
  <si>
    <t>Tomáš Černý</t>
  </si>
  <si>
    <t>ORD-240926-0142</t>
  </si>
  <si>
    <t>ORD-241018-0161</t>
  </si>
  <si>
    <t>Alena Beneš</t>
  </si>
  <si>
    <t>ORD-241223-0208</t>
  </si>
  <si>
    <t>ORD-250116-0226</t>
  </si>
  <si>
    <t>Karolína Černý</t>
  </si>
  <si>
    <t>ORD-250128-0238</t>
  </si>
  <si>
    <t>ORD-250303-0254</t>
  </si>
  <si>
    <t>ORD-250307-0256</t>
  </si>
  <si>
    <t>Ondřej Dvořák</t>
  </si>
  <si>
    <t>ORD-250925-0349</t>
  </si>
  <si>
    <t>ORD-251118-0381</t>
  </si>
  <si>
    <t>David Kučera</t>
  </si>
  <si>
    <t>ORD-251121-0383</t>
  </si>
  <si>
    <t>Lukáš Novotný</t>
  </si>
  <si>
    <t>ORD-251206-0389</t>
  </si>
  <si>
    <t>Jana Fiala</t>
  </si>
  <si>
    <t>ORD-251219-0401</t>
  </si>
  <si>
    <t>ORD-260203-0433</t>
  </si>
  <si>
    <t>ORD-260315-0449</t>
  </si>
  <si>
    <t>ORD-260522-0498</t>
  </si>
  <si>
    <t>Filip Dvořák</t>
  </si>
  <si>
    <t>ORD-240126-0011</t>
  </si>
  <si>
    <t>Veronika Svoboda</t>
  </si>
  <si>
    <t>Notebook 14"</t>
  </si>
  <si>
    <t>ORD-240331-0047</t>
  </si>
  <si>
    <t>ORD-240420-0061</t>
  </si>
  <si>
    <t>David Novotný</t>
  </si>
  <si>
    <t>ORD-240817-0117</t>
  </si>
  <si>
    <t>Martin Kučera</t>
  </si>
  <si>
    <t>ORD-240824-0119</t>
  </si>
  <si>
    <t>Daniel Hájek</t>
  </si>
  <si>
    <t>ORD-240829-0124</t>
  </si>
  <si>
    <t>ORD-240924-0139</t>
  </si>
  <si>
    <t>Petra Hájek</t>
  </si>
  <si>
    <t>ORD-241124-0182</t>
  </si>
  <si>
    <t>Veronika Černý</t>
  </si>
  <si>
    <t>ORD-250714-0320</t>
  </si>
  <si>
    <t>Petra Král</t>
  </si>
  <si>
    <t>ORD-251030-0369</t>
  </si>
  <si>
    <t>ORD-251110-0374</t>
  </si>
  <si>
    <t>ORD-251210-0392</t>
  </si>
  <si>
    <t>ORD-251230-0408</t>
  </si>
  <si>
    <t>Jana Černý</t>
  </si>
  <si>
    <t>ORD-260131-0428</t>
  </si>
  <si>
    <t>David Král</t>
  </si>
  <si>
    <t>ORD-260211-0437</t>
  </si>
  <si>
    <t>ORD-260318-0454</t>
  </si>
  <si>
    <t>ORD-260326-0461</t>
  </si>
  <si>
    <t>ORD-240118-0004</t>
  </si>
  <si>
    <t>Myš bezdrátová</t>
  </si>
  <si>
    <t>ORD-240409-0051</t>
  </si>
  <si>
    <t>ORD-240424-0062</t>
  </si>
  <si>
    <t>ORD-250107-0221</t>
  </si>
  <si>
    <t>Karel Král</t>
  </si>
  <si>
    <t>ORD-250325-0262</t>
  </si>
  <si>
    <t>Anna Beneš</t>
  </si>
  <si>
    <t>ORD-250421-0276</t>
  </si>
  <si>
    <t>ORD-250607-0298</t>
  </si>
  <si>
    <t>Martin Fiala</t>
  </si>
  <si>
    <t>ORD-250906-0344</t>
  </si>
  <si>
    <t>ORD-251013-0354</t>
  </si>
  <si>
    <t>ORD-251111-0376</t>
  </si>
  <si>
    <t>ORD-260226-0444</t>
  </si>
  <si>
    <t>Petra Černý</t>
  </si>
  <si>
    <t>ORD-260511-0486</t>
  </si>
  <si>
    <t>Petr Hájek</t>
  </si>
  <si>
    <t>ORD-260522-0496</t>
  </si>
  <si>
    <t>Karel Dvořák</t>
  </si>
  <si>
    <t>ORD-260522-0497</t>
  </si>
  <si>
    <t>ORD-240201-0014</t>
  </si>
  <si>
    <t>Monitor 27"</t>
  </si>
  <si>
    <t>ORD-240203-0017</t>
  </si>
  <si>
    <t>ORD-240311-0035</t>
  </si>
  <si>
    <t>Kateřina Procházka</t>
  </si>
  <si>
    <t>ORD-240622-0091</t>
  </si>
  <si>
    <t>Alena Pospíšil</t>
  </si>
  <si>
    <t>ORD-241013-0154</t>
  </si>
  <si>
    <t>ORD-241204-0189</t>
  </si>
  <si>
    <t>ORD-241209-0194</t>
  </si>
  <si>
    <t>ORD-250122-0235</t>
  </si>
  <si>
    <t>ORD-250201-0240</t>
  </si>
  <si>
    <t>Tereza Král</t>
  </si>
  <si>
    <t>ORD-250224-0251</t>
  </si>
  <si>
    <t>Filip Pokorný</t>
  </si>
  <si>
    <t>ORD-250318-0258</t>
  </si>
  <si>
    <t>Václav Černý</t>
  </si>
  <si>
    <t>ORD-250502-0281</t>
  </si>
  <si>
    <t>ORD-250618-0303</t>
  </si>
  <si>
    <t>ORD-251109-0373</t>
  </si>
  <si>
    <t>Karel Jelínek</t>
  </si>
  <si>
    <t>ORD-251227-0406</t>
  </si>
  <si>
    <t>Daniel Novotný</t>
  </si>
  <si>
    <t>ORD-260113-0417</t>
  </si>
  <si>
    <t>Karolína Pokorný</t>
  </si>
  <si>
    <t>ORD-260220-0443</t>
  </si>
  <si>
    <t>ORD-260322-0458</t>
  </si>
  <si>
    <t>ORD-240118-0005</t>
  </si>
  <si>
    <t>Martin Němec</t>
  </si>
  <si>
    <t>Mixér stolní</t>
  </si>
  <si>
    <t>ORD-240127-0012</t>
  </si>
  <si>
    <t>Karel Fiala</t>
  </si>
  <si>
    <t>ORD-240309-0033</t>
  </si>
  <si>
    <t>Markéta Procházka</t>
  </si>
  <si>
    <t>ORD-240829-0125</t>
  </si>
  <si>
    <t>ORD-240924-0140</t>
  </si>
  <si>
    <t>Jan Procházka</t>
  </si>
  <si>
    <t>ORD-241010-0152</t>
  </si>
  <si>
    <t>ORD-241015-0157</t>
  </si>
  <si>
    <t>Lukáš Procházka</t>
  </si>
  <si>
    <t>ORD-250226-0253</t>
  </si>
  <si>
    <t>Markéta Horák</t>
  </si>
  <si>
    <t>ORD-250401-0265</t>
  </si>
  <si>
    <t>ORD-251205-0388</t>
  </si>
  <si>
    <t>ORD-260103-0414</t>
  </si>
  <si>
    <t>ORD-260404-0467</t>
  </si>
  <si>
    <t>ORD-240622-0090</t>
  </si>
  <si>
    <t>LED žárovka 10W</t>
  </si>
  <si>
    <t>ORD-240811-0113</t>
  </si>
  <si>
    <t>ORD-240825-0120</t>
  </si>
  <si>
    <t>ORD-241014-0156</t>
  </si>
  <si>
    <t>Martin Pospíšil</t>
  </si>
  <si>
    <t>ORD-241204-0188</t>
  </si>
  <si>
    <t>ORD-241212-0197</t>
  </si>
  <si>
    <t>Jan Černý</t>
  </si>
  <si>
    <t>ORD-241225-0213</t>
  </si>
  <si>
    <t>Martina Němec</t>
  </si>
  <si>
    <t>ORD-250422-0277</t>
  </si>
  <si>
    <t>Karel Pokorný</t>
  </si>
  <si>
    <t>ORD-250525-0292</t>
  </si>
  <si>
    <t>Tereza Novotný</t>
  </si>
  <si>
    <t>ORD-250704-0314</t>
  </si>
  <si>
    <t>ORD-250820-0335</t>
  </si>
  <si>
    <t>ORD-250822-0338</t>
  </si>
  <si>
    <t>ORD-251030-0368</t>
  </si>
  <si>
    <t>ORD-251116-0380</t>
  </si>
  <si>
    <t>ORD-251121-0384</t>
  </si>
  <si>
    <t>ORD-251220-0402</t>
  </si>
  <si>
    <t>ORD-260210-0436</t>
  </si>
  <si>
    <t>Jana Dvořák</t>
  </si>
  <si>
    <t>ORD-260319-0455</t>
  </si>
  <si>
    <t>ORD-260417-0475</t>
  </si>
  <si>
    <t>ORD-260428-0480</t>
  </si>
  <si>
    <t>Karel Procházka</t>
  </si>
  <si>
    <t>ORD-240408-0049</t>
  </si>
  <si>
    <t>Laminovací fólie</t>
  </si>
  <si>
    <t>ORD-240525-0076</t>
  </si>
  <si>
    <t>ORD-240602-0082</t>
  </si>
  <si>
    <t>ORD-240810-0112</t>
  </si>
  <si>
    <t>Karolína Pospíšil</t>
  </si>
  <si>
    <t>ORD-240905-0129</t>
  </si>
  <si>
    <t>ORD-240910-0133</t>
  </si>
  <si>
    <t>ORD-241112-0173</t>
  </si>
  <si>
    <t>Jan Pospíšil</t>
  </si>
  <si>
    <t>ORD-250223-0250</t>
  </si>
  <si>
    <t>Daniel Horák</t>
  </si>
  <si>
    <t>ORD-250418-0274</t>
  </si>
  <si>
    <t>ORD-250428-0279</t>
  </si>
  <si>
    <t>ORD-250501-0280</t>
  </si>
  <si>
    <t>ORD-250811-0332</t>
  </si>
  <si>
    <t>Alena Svoboda</t>
  </si>
  <si>
    <t>ORD-250908-0346</t>
  </si>
  <si>
    <t>Daniel Jelínek</t>
  </si>
  <si>
    <t>ORD-251013-0357</t>
  </si>
  <si>
    <t>ORD-251120-0382</t>
  </si>
  <si>
    <t>Kateřina Pokorný</t>
  </si>
  <si>
    <t>ORD-260114-0419</t>
  </si>
  <si>
    <t>ORD-260122-0422</t>
  </si>
  <si>
    <t>Lucie Pokorný</t>
  </si>
  <si>
    <t>ORD-260201-0431</t>
  </si>
  <si>
    <t>ORD-260211-0438</t>
  </si>
  <si>
    <t>ORD-260514-0487</t>
  </si>
  <si>
    <t>ORD-260516-0489</t>
  </si>
  <si>
    <t>Anna Dvořák</t>
  </si>
  <si>
    <t>ORD-260519-0491</t>
  </si>
  <si>
    <t>ORD-240124-0009</t>
  </si>
  <si>
    <t>Láhev 1l</t>
  </si>
  <si>
    <t>ORD-240623-0092</t>
  </si>
  <si>
    <t>ORD-240629-0097</t>
  </si>
  <si>
    <t>Lukáš Pokorný</t>
  </si>
  <si>
    <t>ORD-240723-0106</t>
  </si>
  <si>
    <t>ORD-240927-0143</t>
  </si>
  <si>
    <t>ORD-241207-0193</t>
  </si>
  <si>
    <t>Karolína Král</t>
  </si>
  <si>
    <t>ORD-241224-0212</t>
  </si>
  <si>
    <t>ORD-250806-0330</t>
  </si>
  <si>
    <t>ORD-251218-0400</t>
  </si>
  <si>
    <t>ORD-240410-0052</t>
  </si>
  <si>
    <t>Klávesnice mechanická</t>
  </si>
  <si>
    <t>ORD-240601-0081</t>
  </si>
  <si>
    <t>ORD-240827-0122</t>
  </si>
  <si>
    <t>ORD-250620-0304</t>
  </si>
  <si>
    <t>Petr Černý</t>
  </si>
  <si>
    <t>ORD-250728-0327</t>
  </si>
  <si>
    <t>ORD-251016-0360</t>
  </si>
  <si>
    <t>ORD-251204-0387</t>
  </si>
  <si>
    <t>Petr Kučera</t>
  </si>
  <si>
    <t>ORD-251227-0405</t>
  </si>
  <si>
    <t>ORD-260227-0445</t>
  </si>
  <si>
    <t>ORD-240523-0075</t>
  </si>
  <si>
    <t>Václav Beneš</t>
  </si>
  <si>
    <t>Fitness náramek</t>
  </si>
  <si>
    <t>ORD-240821-0118</t>
  </si>
  <si>
    <t>ORD-241118-0178</t>
  </si>
  <si>
    <t>ORD-241206-0191</t>
  </si>
  <si>
    <t>ORD-241227-0215</t>
  </si>
  <si>
    <t>Jana Novotný</t>
  </si>
  <si>
    <t>ORD-250116-0227</t>
  </si>
  <si>
    <t>Karel Černý</t>
  </si>
  <si>
    <t>ORD-250409-0269</t>
  </si>
  <si>
    <t>ORD-250509-0283</t>
  </si>
  <si>
    <t>ORD-250722-0324</t>
  </si>
  <si>
    <t>Lucie Procházka</t>
  </si>
  <si>
    <t>ORD-250815-0334</t>
  </si>
  <si>
    <t>Michal Svoboda</t>
  </si>
  <si>
    <t>ORD-251212-0394</t>
  </si>
  <si>
    <t>Markéta Hájek</t>
  </si>
  <si>
    <t>ORD-251218-0399</t>
  </si>
  <si>
    <t>Lucie Kučera</t>
  </si>
  <si>
    <t>ORD-260325-0460</t>
  </si>
  <si>
    <t>ORD-260520-0492</t>
  </si>
  <si>
    <t>ORD-240109-0002</t>
  </si>
  <si>
    <t>Čistička vzduchu</t>
  </si>
  <si>
    <t>ORD-240219-0024</t>
  </si>
  <si>
    <t>ORD-240321-0039</t>
  </si>
  <si>
    <t>Jiří Dvořák</t>
  </si>
  <si>
    <t>ORD-240413-0055</t>
  </si>
  <si>
    <t>ORD-240624-0095</t>
  </si>
  <si>
    <t>ORD-240715-0102</t>
  </si>
  <si>
    <t>ORD-240731-0108</t>
  </si>
  <si>
    <t>Petra Novotný</t>
  </si>
  <si>
    <t>ORD-240921-0136</t>
  </si>
  <si>
    <t>ORD-241007-0149</t>
  </si>
  <si>
    <t>ORD-241012-0153</t>
  </si>
  <si>
    <t>Petr Dvořák</t>
  </si>
  <si>
    <t>ORD-241030-0166</t>
  </si>
  <si>
    <t>ORD-241210-0195</t>
  </si>
  <si>
    <t>ORD-241219-0200</t>
  </si>
  <si>
    <t>Jana Veselý</t>
  </si>
  <si>
    <t>ORD-250124-0236</t>
  </si>
  <si>
    <t>ORD-250219-0247</t>
  </si>
  <si>
    <t>Petra Pokorný</t>
  </si>
  <si>
    <t>ORD-250407-0267</t>
  </si>
  <si>
    <t>Filip Pospíšil</t>
  </si>
  <si>
    <t>ORD-250925-0350</t>
  </si>
  <si>
    <t>ORD-251011-0353</t>
  </si>
  <si>
    <t>ORD-260103-0413</t>
  </si>
  <si>
    <t>ORD-260315-0450</t>
  </si>
  <si>
    <t>Ondřej Svoboda</t>
  </si>
  <si>
    <t>ORD-260505-0483</t>
  </si>
  <si>
    <t>ORD-240207-0020</t>
  </si>
  <si>
    <t>Činka 10 kg</t>
  </si>
  <si>
    <t>ORD-240302-0028</t>
  </si>
  <si>
    <t>Veronika Fiala</t>
  </si>
  <si>
    <t>ORD-240414-0056</t>
  </si>
  <si>
    <t>ORD-240606-0084</t>
  </si>
  <si>
    <t>Alena Jelínek</t>
  </si>
  <si>
    <t>ORD-240621-0089</t>
  </si>
  <si>
    <t>ORD-240623-0094</t>
  </si>
  <si>
    <t>ORD-240624-0096</t>
  </si>
  <si>
    <t>ORD-240717-0104</t>
  </si>
  <si>
    <t>Kateřina Fiala</t>
  </si>
  <si>
    <t>ORD-241020-0162</t>
  </si>
  <si>
    <t>Veronika Kučera</t>
  </si>
  <si>
    <t>ORD-241220-0203</t>
  </si>
  <si>
    <t>Alena Horák</t>
  </si>
  <si>
    <t>ORD-250117-0228</t>
  </si>
  <si>
    <t>Ondřej Černý</t>
  </si>
  <si>
    <t>ORD-250216-0244</t>
  </si>
  <si>
    <t>Karolína Jelínek</t>
  </si>
  <si>
    <t>ORD-250324-0261</t>
  </si>
  <si>
    <t>ORD-250504-0282</t>
  </si>
  <si>
    <t>ORD-250602-0293</t>
  </si>
  <si>
    <t>ORD-250602-0294</t>
  </si>
  <si>
    <t>Petr Pospíšil</t>
  </si>
  <si>
    <t>ORD-250604-0296</t>
  </si>
  <si>
    <t>Martina Hájek</t>
  </si>
  <si>
    <t>ORD-250704-0315</t>
  </si>
  <si>
    <t>ORD-250824-0339</t>
  </si>
  <si>
    <t>Jan Pokorný</t>
  </si>
  <si>
    <t>ORD-260104-0415</t>
  </si>
  <si>
    <t>ORD-260114-0418</t>
  </si>
  <si>
    <t>ORD-260202-0432</t>
  </si>
  <si>
    <t>ORD-260509-0485</t>
  </si>
  <si>
    <t>ORD-240407-0048</t>
  </si>
  <si>
    <t>Běžecké boty</t>
  </si>
  <si>
    <t>ORD-240530-0080</t>
  </si>
  <si>
    <t>ORD-240826-0121</t>
  </si>
  <si>
    <t>ORD-240921-0137</t>
  </si>
  <si>
    <t>ORD-241221-0205</t>
  </si>
  <si>
    <t>ORD-250407-0268</t>
  </si>
  <si>
    <t>David Jelínek</t>
  </si>
  <si>
    <t>ORD-250518-0287</t>
  </si>
  <si>
    <t>ORD-250523-0290</t>
  </si>
  <si>
    <t>Anna Hájek</t>
  </si>
  <si>
    <t>ORD-250624-0309</t>
  </si>
  <si>
    <t>ORD-250812-0333</t>
  </si>
  <si>
    <t>Jan Beneš</t>
  </si>
  <si>
    <t>ORD-251110-0375</t>
  </si>
  <si>
    <t>ORD-260204-0434</t>
  </si>
  <si>
    <t>ORD-260406-0469</t>
  </si>
  <si>
    <t>Eliška Pospíšil</t>
  </si>
  <si>
    <t>ORD-260521-0495</t>
  </si>
  <si>
    <t>ORD-240101-0001</t>
  </si>
  <si>
    <t>Batoh sportovní</t>
  </si>
  <si>
    <t>ORD-240128-0013</t>
  </si>
  <si>
    <t>ORD-240206-0019</t>
  </si>
  <si>
    <t>ORD-240427-0064</t>
  </si>
  <si>
    <t>Daniel Pospíšil</t>
  </si>
  <si>
    <t>ORD-240502-0068</t>
  </si>
  <si>
    <t>ORD-240708-0100</t>
  </si>
  <si>
    <t>ORD-241028-0165</t>
  </si>
  <si>
    <t>ORD-241121-0180</t>
  </si>
  <si>
    <t>ORD-241121-0181</t>
  </si>
  <si>
    <t>ORD-241201-0187</t>
  </si>
  <si>
    <t>ORD-250120-0230</t>
  </si>
  <si>
    <t>Tereza Jelínek</t>
  </si>
  <si>
    <t>ORD-250316-0257</t>
  </si>
  <si>
    <t>ORD-250524-0291</t>
  </si>
  <si>
    <t>ORD-250622-0308</t>
  </si>
  <si>
    <t>ORD-250706-0316</t>
  </si>
  <si>
    <t>Petr Beneš</t>
  </si>
  <si>
    <t>ORD-250708-0317</t>
  </si>
  <si>
    <t>Václav Novák</t>
  </si>
  <si>
    <t>ORD-250711-0318</t>
  </si>
  <si>
    <t>ORD-250805-0329</t>
  </si>
  <si>
    <t>ORD-260131-0427</t>
  </si>
  <si>
    <t>ORD-240312-0037</t>
  </si>
  <si>
    <t>Bandáž kolene</t>
  </si>
  <si>
    <t>ORD-240329-0045</t>
  </si>
  <si>
    <t>Alena Kučera</t>
  </si>
  <si>
    <t>ORD-240925-0141</t>
  </si>
  <si>
    <t>ORD-241003-0146</t>
  </si>
  <si>
    <t>ORD-241010-0150</t>
  </si>
  <si>
    <t>ORD-250118-0229</t>
  </si>
  <si>
    <t>ORD-250215-0243</t>
  </si>
  <si>
    <t>ORD-250727-0326</t>
  </si>
  <si>
    <t>ORD-250802-0328</t>
  </si>
  <si>
    <t>ORD-251206-0390</t>
  </si>
  <si>
    <t>ORD-260401-0465</t>
  </si>
  <si>
    <t>Súčet z Trzba</t>
  </si>
  <si>
    <t>Označenia riadkov</t>
  </si>
  <si>
    <t>Celkový súčet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</si>
  <si>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</si>
  <si>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</si>
  <si>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</si>
  <si>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</si>
  <si>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</si>
  <si>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</si>
  <si>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</si>
  <si>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</si>
  <si>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</si>
  <si>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</si>
  <si>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</si>
  <si>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</si>
  <si>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Prehľad predajov</t>
  </si>
  <si>
    <t>Marža</t>
  </si>
  <si>
    <t>Dnešný dátum</t>
  </si>
  <si>
    <t>Pomocné Kontingenčné tabuľky</t>
  </si>
  <si>
    <t>Tržba segment</t>
  </si>
  <si>
    <t>Tržba kategórie</t>
  </si>
  <si>
    <t>Tržba podla kanala</t>
  </si>
  <si>
    <t>Označenia stĺpcov</t>
  </si>
  <si>
    <t>Tržba Mesiace</t>
  </si>
  <si>
    <t>Súčet z Zisk</t>
  </si>
  <si>
    <t>Marza podla kategorie</t>
  </si>
  <si>
    <t>Marza %</t>
  </si>
  <si>
    <t>Domácnost Celková hodnota</t>
  </si>
  <si>
    <t>Elektronika Celková hodnota</t>
  </si>
  <si>
    <t>Kancelář Celková hodnota</t>
  </si>
  <si>
    <t>Sport Celková hodnota</t>
  </si>
  <si>
    <t>Marza_pr%</t>
  </si>
  <si>
    <t>Tržba</t>
  </si>
  <si>
    <t>Zisk Kč</t>
  </si>
  <si>
    <t>Náklady</t>
  </si>
  <si>
    <t>Vyvoj zisku, trzby,marze za roky</t>
  </si>
  <si>
    <t>2024</t>
  </si>
  <si>
    <t>2025</t>
  </si>
  <si>
    <t>2026</t>
  </si>
  <si>
    <t>Náklad</t>
  </si>
  <si>
    <t>Zisk_rok</t>
  </si>
  <si>
    <t>Priemer z Zisk</t>
  </si>
  <si>
    <t>Vyvoj zisku, trzby,marze za mesiace</t>
  </si>
  <si>
    <t>Mesiace</t>
  </si>
  <si>
    <t>január</t>
  </si>
  <si>
    <t>február</t>
  </si>
  <si>
    <t>marec</t>
  </si>
  <si>
    <t>apríl</t>
  </si>
  <si>
    <t>máj</t>
  </si>
  <si>
    <t>jún</t>
  </si>
  <si>
    <t>júl</t>
  </si>
  <si>
    <t>august</t>
  </si>
  <si>
    <t>september</t>
  </si>
  <si>
    <t>október</t>
  </si>
  <si>
    <t>november</t>
  </si>
  <si>
    <t>december</t>
  </si>
  <si>
    <t>Trzby za mesiace</t>
  </si>
  <si>
    <t>Súčet z Marza</t>
  </si>
  <si>
    <t>Vyvoj marze po mesiacoch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</si>
</sst>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* #,##0.00\ [$Kč-405]_-;\-* #,##0.00\ [$Kč-405]_-;_-* &quot;-&quot;??\ [$Kč-405]_-;_-@_-"/>
    <numFmt numFmtId="165" formatCode="_-* #,##0\ [$Kč-405]_-;\-* #,##0\ [$Kč-405]_-;_-* &quot;-&quot;??\ [$Kč-405]_-;_-@_-"/>
    <numFmt numFmtId="166" formatCode="[$-F800]dddd\,\ mmmm\ dd\,\ yyyy"/>
    <numFmt numFmtId="167" formatCode="#,##0\ [$Kč-405]"/>
  </numFmts>
  <fonts count="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238"/>
      <scheme val="minor"/>
    </font>
    <font>
      <b/>
      <sz val="15"/>
      <color theme="1"/>
      <name val="Calibri"/>
      <family val="2"/>
      <charset val="238"/>
    </font>
    <font>
      <b/>
      <sz val="12"/>
      <color theme="1"/>
      <name val="Calibri"/>
      <family val="2"/>
      <charset val="238"/>
    </font>
    <font>
      <b/>
      <sz val="14"/>
      <color theme="1"/>
      <name val="Calibri"/>
      <family val="2"/>
      <charset val="238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7" tint="0.39997558519241921"/>
      </bottom>
      <diagonal/>
    </border>
    <border>
      <left/>
      <right/>
      <top style="thick">
        <color theme="5"/>
      </top>
      <bottom/>
      <diagonal/>
    </border>
    <border>
      <left/>
      <right/>
      <top/>
      <bottom style="thick">
        <color rgb="FFC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  <xf numFmtId="0" fontId="0" fillId="2" borderId="0" xfId="0" applyFill="1" applyAlignment="1">
      <alignment horizontal="left"/>
    </xf>
    <xf numFmtId="165" fontId="0" fillId="2" borderId="0" xfId="0" applyNumberFormat="1" applyFill="1"/>
    <xf numFmtId="165" fontId="3" fillId="2" borderId="0" xfId="0" applyNumberFormat="1" applyFont="1" applyFill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6" fontId="3" fillId="2" borderId="2" xfId="0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left"/>
    </xf>
    <xf numFmtId="0" fontId="0" fillId="3" borderId="0" xfId="0" applyFill="1"/>
    <xf numFmtId="0" fontId="3" fillId="0" borderId="0" xfId="0" applyFont="1"/>
    <xf numFmtId="10" fontId="0" fillId="2" borderId="0" xfId="0" applyNumberFormat="1" applyFill="1"/>
    <xf numFmtId="9" fontId="0" fillId="2" borderId="0" xfId="0" applyNumberFormat="1" applyFill="1"/>
    <xf numFmtId="164" fontId="3" fillId="2" borderId="2" xfId="0" applyNumberFormat="1" applyFont="1" applyFill="1" applyBorder="1" applyAlignment="1">
      <alignment horizontal="center" vertical="center"/>
    </xf>
    <xf numFmtId="0" fontId="3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64" fontId="0" fillId="2" borderId="0" xfId="0" applyNumberFormat="1" applyFill="1"/>
    <xf numFmtId="9" fontId="0" fillId="0" borderId="0" xfId="1" applyFont="1"/>
    <xf numFmtId="10" fontId="3" fillId="2" borderId="0" xfId="0" applyNumberFormat="1" applyFon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167" fontId="0" fillId="2" borderId="0" xfId="0" applyNumberFormat="1" applyFill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2">
    <cellStyle name="Normálna" xfId="0" builtinId="0"/>
    <cellStyle name="Percentá" xfId="1" builtinId="5"/>
  </cellStyles>
  <dxfs count="168">
    <dxf>
      <numFmt numFmtId="19" formatCode="d/m/yyyy"/>
    </dxf>
    <dxf>
      <numFmt numFmtId="167" formatCode="#,##0\ [$Kč-405]"/>
    </dxf>
    <dxf>
      <numFmt numFmtId="165" formatCode="_-* #,##0\ [$Kč-405]_-;\-* #,##0\ [$Kč-405]_-;_-* &quot;-&quot;??\ [$Kč-405]_-;_-@_-"/>
    </dxf>
    <dxf>
      <numFmt numFmtId="164" formatCode="_-* #,##0.00\ [$Kč-405]_-;\-* #,##0.0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4" formatCode="_-* #,##0.00\ [$Kč-405]_-;\-* #,##0.0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3" formatCode="0%"/>
    </dxf>
    <dxf>
      <numFmt numFmtId="14" formatCode="0.00%"/>
    </dxf>
    <dxf>
      <numFmt numFmtId="165" formatCode="_-* #,##0\ [$Kč-405]_-;\-* #,##0\ [$Kč-405]_-;_-* &quot;-&quot;??\ [$Kč-405]_-;_-@_-"/>
    </dxf>
    <dxf>
      <numFmt numFmtId="164" formatCode="_-* #,##0.00\ [$Kč-405]_-;\-* #,##0.0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4" formatCode="_-* #,##0.00\ [$Kč-405]_-;\-* #,##0.0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4" formatCode="_-* #,##0.00\ [$Kč-405]_-;\-* #,##0.0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5" formatCode="_-* #,##0\ [$Kč-405]_-;\-* #,##0\ [$Kč-405]_-;_-* &quot;-&quot;??\ [$Kč-405]_-;_-@_-"/>
    </dxf>
    <dxf>
      <numFmt numFmtId="13" formatCode="0%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4" formatCode="_-* #,##0.00\ [$Kč-405]_-;\-* #,##0.0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3" formatCode="0%"/>
    </dxf>
    <dxf>
      <numFmt numFmtId="13" formatCode="0%"/>
    </dxf>
    <dxf>
      <numFmt numFmtId="167" formatCode="#,##0\ [$Kč-405]"/>
    </dxf>
    <dxf>
      <numFmt numFmtId="164" formatCode="_-* #,##0.00\ [$Kč-405]_-;\-* #,##0.0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7" formatCode="#,##0\ [$Kč-405]"/>
    </dxf>
    <dxf>
      <numFmt numFmtId="165" formatCode="_-* #,##0\ [$Kč-405]_-;\-* #,##0\ [$Kč-405]_-;_-* &quot;-&quot;??\ [$Kč-405]_-;_-@_-"/>
    </dxf>
    <dxf>
      <numFmt numFmtId="164" formatCode="_-* #,##0.00\ [$Kč-405]_-;\-* #,##0.0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4" formatCode="0.00%"/>
    </dxf>
    <dxf>
      <numFmt numFmtId="14" formatCode="0.00%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4" formatCode="_-* #,##0.00\ [$Kč-405]_-;\-* #,##0.0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border>
        <bottom style="thick">
          <color rgb="FFC00000"/>
        </bottom>
      </border>
    </dxf>
    <dxf>
      <font>
        <sz val="12"/>
      </font>
    </dxf>
    <dxf>
      <font>
        <sz val="12"/>
      </font>
    </dxf>
    <dxf>
      <font>
        <sz val="12"/>
      </font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65" formatCode="_-* #,##0\ [$Kč-405]_-;\-* #,##0\ [$Kč-405]_-;_-* &quot;-&quot;??\ [$Kč-405]_-;_-@_-"/>
    </dxf>
    <dxf>
      <numFmt numFmtId="164" formatCode="_-* #,##0.00\ [$Kč-405]_-;\-* #,##0.0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_-* #,##0.00\ [$Kč-405]_-;\-* #,##0.00\ [$Kč-405]_-;_-* &quot;-&quot;??\ [$Kč-405]_-;_-@_-"/>
    </dxf>
    <dxf>
      <border>
        <top style="thick">
          <color theme="5"/>
        </top>
      </border>
    </dxf>
    <dxf>
      <alignment horizontal="center"/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horizontal="general"/>
    </dxf>
    <dxf>
      <alignment vertical="center"/>
    </dxf>
    <dxf>
      <alignment horizontal="center"/>
    </dxf>
    <dxf>
      <alignment vertical="center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_-* #,##0.00\ [$Kč-405]_-;\-* #,##0.00\ [$Kč-405]_-;_-* &quot;-&quot;??\ [$Kč-405]_-;_-@_-"/>
    </dxf>
    <dxf>
      <border>
        <top style="thick">
          <color theme="5"/>
        </top>
      </border>
    </dxf>
    <dxf>
      <alignment horizontal="center"/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horizontal="general"/>
    </dxf>
    <dxf>
      <alignment vertical="center"/>
    </dxf>
    <dxf>
      <alignment horizontal="center"/>
    </dxf>
    <dxf>
      <alignment vertical="center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_-* #,##0.00\ [$Kč-405]_-;\-* #,##0.00\ [$Kč-405]_-;_-* &quot;-&quot;??\ [$Kč-405]_-;_-@_-"/>
    </dxf>
    <dxf>
      <border>
        <top style="thick">
          <color theme="5"/>
        </top>
      </border>
    </dxf>
    <dxf>
      <alignment horizontal="center"/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horizontal="general"/>
    </dxf>
    <dxf>
      <alignment vertical="center"/>
    </dxf>
    <dxf>
      <alignment horizontal="center"/>
    </dxf>
    <dxf>
      <alignment vertical="center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border>
        <left style="thin">
          <color theme="3" tint="-0.24994659260841701"/>
        </left>
        <right style="thin">
          <color theme="3" tint="-0.24994659260841701"/>
        </right>
        <top style="thin">
          <color theme="3" tint="-0.24994659260841701"/>
        </top>
        <bottom style="thin">
          <color theme="3" tint="-0.24994659260841701"/>
        </bottom>
        <vertical/>
        <horizontal style="dotted">
          <color theme="3" tint="-0.24994659260841701"/>
        </horizontal>
      </border>
    </dxf>
    <dxf>
      <border>
        <left style="thin">
          <color theme="3" tint="-0.24994659260841701"/>
        </left>
        <right style="thin">
          <color theme="3" tint="-0.24994659260841701"/>
        </right>
        <top style="thin">
          <color theme="3" tint="-0.24994659260841701"/>
        </top>
        <bottom style="thin">
          <color theme="3" tint="-0.24994659260841701"/>
        </bottom>
        <vertical/>
        <horizontal style="dotted">
          <color theme="3" tint="-0.24994659260841701"/>
        </horizontal>
      </border>
    </dxf>
    <dxf>
      <font>
        <b/>
        <i val="0"/>
        <color theme="0"/>
      </font>
      <fill>
        <patternFill>
          <bgColor theme="3" tint="-0.24994659260841701"/>
        </patternFill>
      </fill>
      <border>
        <left style="thin">
          <color theme="3" tint="-0.24994659260841701"/>
        </left>
        <right style="thin">
          <color theme="3" tint="-0.24994659260841701"/>
        </right>
        <top style="thin">
          <color theme="3" tint="-0.24994659260841701"/>
        </top>
        <bottom style="thin">
          <color theme="3" tint="-0.24994659260841701"/>
        </bottom>
      </border>
    </dxf>
  </dxfs>
  <tableStyles count="1" defaultTableStyle="TableStyleMedium2" defaultPivotStyle="PivotStyleLight16">
    <tableStyle name="Table Style 1" pivot="0" count="3" xr9:uid="{9FD1B297-100C-40EC-9451-90A03831DB5F}">
      <tableStyleElement type="headerRow" dxfId="167"/>
      <tableStyleElement type="firstRowStripe" dxfId="166"/>
      <tableStyleElement type="secondRowStripe" dxfId="16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[prehlad-predajov-eshop-riaditel.xlsx]Pomocne KT!Vyvoj_marze_trzby_zisku</c:name>
    <c:fmtId val="31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shade val="58000"/>
              </a:schemeClr>
            </a:solidFill>
            <a:ln w="9525">
              <a:solidFill>
                <a:schemeClr val="accent2">
                  <a:shade val="58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tint val="86000"/>
              </a:schemeClr>
            </a:solidFill>
            <a:ln w="9525">
              <a:solidFill>
                <a:schemeClr val="accent2">
                  <a:tint val="8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shade val="86000"/>
              </a:schemeClr>
            </a:solidFill>
            <a:ln w="9525">
              <a:solidFill>
                <a:schemeClr val="accent2">
                  <a:shade val="8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tint val="58000"/>
              </a:schemeClr>
            </a:solidFill>
            <a:ln w="9525">
              <a:solidFill>
                <a:schemeClr val="accent2">
                  <a:tint val="58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tint val="58000"/>
              </a:schemeClr>
            </a:solidFill>
            <a:ln w="9525">
              <a:solidFill>
                <a:schemeClr val="accent2">
                  <a:tint val="58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tint val="58000"/>
              </a:schemeClr>
            </a:solidFill>
            <a:ln w="9525">
              <a:solidFill>
                <a:schemeClr val="accent2">
                  <a:tint val="58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'Pomocne KT'!$J$7</c:f>
              <c:strCache>
                <c:ptCount val="1"/>
                <c:pt idx="0">
                  <c:v>Náklad</c:v>
                </c:pt>
              </c:strCache>
            </c:strRef>
          </c:tx>
          <c:spPr>
            <a:solidFill>
              <a:schemeClr val="accent2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'Pomocne KT'!$I$8:$I$11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'Pomocne KT'!$J$8:$J$11</c:f>
              <c:numCache>
                <c:formatCode>_-* #\ ##0\ [$Kč-405]_-;\-* #\ ##0\ [$Kč-405]_-;_-* "-"??\ [$Kč-405]_-;_-@_-</c:formatCode>
                <c:ptCount val="3"/>
                <c:pt idx="0">
                  <c:v>1333009.3500000006</c:v>
                </c:pt>
                <c:pt idx="1">
                  <c:v>1166960.8700000006</c:v>
                </c:pt>
                <c:pt idx="2">
                  <c:v>496137.81000000041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51-4939-95C8-1968F9C0F8F2}"/>
            </c:ext>
          </c:extLst>
        </c:ser>
        <c:ser>
          <c:idx val="1"/>
          <c:order val="1"/>
          <c:tx>
            <c:strRef>
              <c:f>'Pomocne KT'!$K$7</c:f>
              <c:strCache>
                <c:ptCount val="1"/>
                <c:pt idx="0">
                  <c:v>Zisk_rok</c:v>
                </c:pt>
              </c:strCache>
            </c:strRef>
          </c:tx>
          <c:spPr>
            <a:solidFill>
              <a:schemeClr val="accent2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'Pomocne KT'!$I$8:$I$11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'Pomocne KT'!$K$8:$K$11</c:f>
              <c:numCache>
                <c:formatCode>_-* #\ ##0\ [$Kč-405]_-;\-* #\ ##0\ [$Kč-405]_-;_-* "-"??\ [$Kč-405]_-;_-@_-</c:formatCode>
                <c:ptCount val="3"/>
                <c:pt idx="0">
                  <c:v>566297.65</c:v>
                </c:pt>
                <c:pt idx="1">
                  <c:v>456230.12999999971</c:v>
                </c:pt>
                <c:pt idx="2">
                  <c:v>206710.19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51-4939-95C8-1968F9C0F8F2}"/>
            </c:ext>
          </c:extLst>
        </c:ser>
        <c:ser>
          <c:idx val="2"/>
          <c:order val="2"/>
          <c:tx>
            <c:strRef>
              <c:f>'Pomocne KT'!$L$7</c:f>
              <c:strCache>
                <c:ptCount val="1"/>
                <c:pt idx="0">
                  <c:v>Tržba</c:v>
                </c:pt>
              </c:strCache>
            </c:strRef>
          </c:tx>
          <c:spPr>
            <a:solidFill>
              <a:schemeClr val="accent2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'Pomocne KT'!$I$8:$I$11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'Pomocne KT'!$L$8:$L$11</c:f>
              <c:numCache>
                <c:formatCode>_-* #\ ##0\ [$Kč-405]_-;\-* #\ ##0\ [$Kč-405]_-;_-* "-"??\ [$Kč-405]_-;_-@_-</c:formatCode>
                <c:ptCount val="3"/>
                <c:pt idx="0">
                  <c:v>1899307</c:v>
                </c:pt>
                <c:pt idx="1">
                  <c:v>1623191</c:v>
                </c:pt>
                <c:pt idx="2">
                  <c:v>702848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51-4939-95C8-1968F9C0F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9104808"/>
        <c:axId val="349102288"/>
      </c:barChart>
      <c:lineChart>
        <c:grouping val="stacked"/>
        <c:varyColors val="0"/>
        <c:ser>
          <c:idx val="3"/>
          <c:order val="3"/>
          <c:tx>
            <c:strRef>
              <c:f>'Pomocne KT'!$M$7</c:f>
              <c:strCache>
                <c:ptCount val="1"/>
                <c:pt idx="0">
                  <c:v>Priemer z Zisk</c:v>
                </c:pt>
              </c:strCache>
            </c:strRef>
          </c:tx>
          <c:spPr>
            <a:ln w="28575" cap="rnd">
              <a:solidFill>
                <a:schemeClr val="accent2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tint val="58000"/>
                </a:schemeClr>
              </a:solidFill>
              <a:ln w="9525">
                <a:solidFill>
                  <a:schemeClr val="accent2">
                    <a:tint val="58000"/>
                  </a:schemeClr>
                </a:solidFill>
              </a:ln>
              <a:effectLst/>
            </c:spPr>
          </c:marker>
          <c:cat>
            <c:strRef>
              <c:f>'Pomocne KT'!$I$8:$I$11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'Pomocne KT'!$M$8:$M$11</c:f>
              <c:numCache>
                <c:formatCode>_-* #\ ##0\ [$Kč-405]_-;\-* #\ ##0\ [$Kč-405]_-;_-* "-"??\ [$Kč-405]_-;_-@_-</c:formatCode>
                <c:ptCount val="3"/>
                <c:pt idx="0">
                  <c:v>2609.6665898617512</c:v>
                </c:pt>
                <c:pt idx="1">
                  <c:v>2388.6394240837681</c:v>
                </c:pt>
                <c:pt idx="2">
                  <c:v>2246.8498913043477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51-4939-95C8-1968F9C0F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923840"/>
        <c:axId val="347120448"/>
      </c:lineChart>
      <c:catAx>
        <c:axId val="349104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349102288"/>
        <c:crosses val="autoZero"/>
        <c:auto val="1"/>
        <c:lblAlgn val="ctr"/>
        <c:lblOffset val="100"/>
        <c:noMultiLvlLbl val="0"/>
      </c:catAx>
      <c:valAx>
        <c:axId val="34910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[$Kč-405]_-;\-* #\ ##0\ [$Kč-405]_-;_-* &quot;-&quot;??\ [$Kč-405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349104808"/>
        <c:crosses val="autoZero"/>
        <c:crossBetween val="between"/>
      </c:valAx>
      <c:valAx>
        <c:axId val="347120448"/>
        <c:scaling>
          <c:orientation val="minMax"/>
        </c:scaling>
        <c:delete val="0"/>
        <c:axPos val="r"/>
        <c:numFmt formatCode="_-* #\ ##0\ [$Kč-405]_-;\-* #\ ##0\ [$Kč-405]_-;_-* &quot;-&quot;??\ [$Kč-405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450923840"/>
        <c:crosses val="max"/>
        <c:crossBetween val="between"/>
      </c:valAx>
      <c:catAx>
        <c:axId val="450923840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347120448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[prehlad-predajov-eshop-riaditel.xlsx]Pomocne KT!Vyvoj_zisku_trzby_mesiace</c:name>
    <c:fmtId val="38"/>
  </c:pivotSource>
  <c:chart>
    <c:autoTitleDeleted val="0"/>
    <c:pivotFmts>
      <c:pivotFmt>
        <c:idx val="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shade val="58000"/>
              </a:schemeClr>
            </a:solidFill>
            <a:ln w="9525">
              <a:solidFill>
                <a:schemeClr val="accent2">
                  <a:shade val="58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shade val="86000"/>
              </a:schemeClr>
            </a:solidFill>
            <a:ln w="9525">
              <a:solidFill>
                <a:schemeClr val="accent2">
                  <a:shade val="8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tint val="86000"/>
              </a:schemeClr>
            </a:solidFill>
            <a:ln w="9525">
              <a:solidFill>
                <a:schemeClr val="accent2">
                  <a:tint val="8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tint val="58000"/>
              </a:schemeClr>
            </a:solidFill>
            <a:ln w="9525">
              <a:solidFill>
                <a:schemeClr val="accent2">
                  <a:tint val="58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shade val="58000"/>
              </a:schemeClr>
            </a:solidFill>
            <a:ln w="9525">
              <a:solidFill>
                <a:schemeClr val="accent2">
                  <a:shade val="58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shade val="86000"/>
              </a:schemeClr>
            </a:solidFill>
            <a:ln w="9525">
              <a:solidFill>
                <a:schemeClr val="accent2">
                  <a:shade val="8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tint val="86000"/>
              </a:schemeClr>
            </a:solidFill>
            <a:ln w="9525">
              <a:solidFill>
                <a:schemeClr val="accent2">
                  <a:tint val="8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tint val="58000"/>
              </a:schemeClr>
            </a:solidFill>
            <a:ln w="9525">
              <a:solidFill>
                <a:schemeClr val="accent2">
                  <a:tint val="58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shade val="58000"/>
              </a:schemeClr>
            </a:solidFill>
            <a:ln w="9525">
              <a:solidFill>
                <a:schemeClr val="accent2">
                  <a:shade val="58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shade val="86000"/>
              </a:schemeClr>
            </a:solidFill>
            <a:ln w="9525">
              <a:solidFill>
                <a:schemeClr val="accent2">
                  <a:shade val="8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tint val="86000"/>
              </a:schemeClr>
            </a:solidFill>
            <a:ln w="9525">
              <a:solidFill>
                <a:schemeClr val="accent2">
                  <a:tint val="8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tint val="58000"/>
              </a:schemeClr>
            </a:solidFill>
            <a:ln w="9525">
              <a:solidFill>
                <a:schemeClr val="accent2">
                  <a:tint val="58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'Pomocne KT'!$J$17</c:f>
              <c:strCache>
                <c:ptCount val="1"/>
                <c:pt idx="0">
                  <c:v>Náklad</c:v>
                </c:pt>
              </c:strCache>
            </c:strRef>
          </c:tx>
          <c:spPr>
            <a:ln w="28575" cap="rnd">
              <a:solidFill>
                <a:schemeClr val="accent2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shade val="58000"/>
                </a:schemeClr>
              </a:solidFill>
              <a:ln w="9525">
                <a:solidFill>
                  <a:schemeClr val="accent2">
                    <a:shade val="58000"/>
                  </a:schemeClr>
                </a:solidFill>
              </a:ln>
              <a:effectLst/>
            </c:spPr>
          </c:marker>
          <c:cat>
            <c:strRef>
              <c:f>'Pomocne KT'!$I$18:$I$30</c:f>
              <c:strCache>
                <c:ptCount val="12"/>
                <c:pt idx="0">
                  <c:v>január</c:v>
                </c:pt>
                <c:pt idx="1">
                  <c:v>február</c:v>
                </c:pt>
                <c:pt idx="2">
                  <c:v>marec</c:v>
                </c:pt>
                <c:pt idx="3">
                  <c:v>apríl</c:v>
                </c:pt>
                <c:pt idx="4">
                  <c:v>máj</c:v>
                </c:pt>
                <c:pt idx="5">
                  <c:v>jún</c:v>
                </c:pt>
                <c:pt idx="6">
                  <c:v>júl</c:v>
                </c:pt>
                <c:pt idx="7">
                  <c:v>august</c:v>
                </c:pt>
                <c:pt idx="8">
                  <c:v>september</c:v>
                </c:pt>
                <c:pt idx="9">
                  <c:v>október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'Pomocne KT'!$J$18:$J$30</c:f>
              <c:numCache>
                <c:formatCode>#\ ##0\ [$Kč-405]</c:formatCode>
                <c:ptCount val="12"/>
                <c:pt idx="0">
                  <c:v>293580.62999999995</c:v>
                </c:pt>
                <c:pt idx="1">
                  <c:v>273662.60999999993</c:v>
                </c:pt>
                <c:pt idx="2">
                  <c:v>406585.25000000006</c:v>
                </c:pt>
                <c:pt idx="3">
                  <c:v>234720.85000000003</c:v>
                </c:pt>
                <c:pt idx="4">
                  <c:v>175236.22999999998</c:v>
                </c:pt>
                <c:pt idx="5">
                  <c:v>144914.40999999997</c:v>
                </c:pt>
                <c:pt idx="6">
                  <c:v>171391.77</c:v>
                </c:pt>
                <c:pt idx="7">
                  <c:v>251914.00999999992</c:v>
                </c:pt>
                <c:pt idx="8">
                  <c:v>171159.77</c:v>
                </c:pt>
                <c:pt idx="9">
                  <c:v>411682.0500000001</c:v>
                </c:pt>
                <c:pt idx="10">
                  <c:v>191354.88</c:v>
                </c:pt>
                <c:pt idx="11">
                  <c:v>269905.57000000012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6F-41D8-A8DE-A19A8F44CCA0}"/>
            </c:ext>
          </c:extLst>
        </c:ser>
        <c:ser>
          <c:idx val="1"/>
          <c:order val="1"/>
          <c:tx>
            <c:strRef>
              <c:f>'Pomocne KT'!$K$17</c:f>
              <c:strCache>
                <c:ptCount val="1"/>
                <c:pt idx="0">
                  <c:v>Zisk_rok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shade val="86000"/>
                </a:schemeClr>
              </a:solidFill>
              <a:ln w="9525">
                <a:solidFill>
                  <a:schemeClr val="accent2">
                    <a:shade val="86000"/>
                  </a:schemeClr>
                </a:solidFill>
              </a:ln>
              <a:effectLst/>
            </c:spPr>
          </c:marker>
          <c:cat>
            <c:strRef>
              <c:f>'Pomocne KT'!$I$18:$I$30</c:f>
              <c:strCache>
                <c:ptCount val="12"/>
                <c:pt idx="0">
                  <c:v>január</c:v>
                </c:pt>
                <c:pt idx="1">
                  <c:v>február</c:v>
                </c:pt>
                <c:pt idx="2">
                  <c:v>marec</c:v>
                </c:pt>
                <c:pt idx="3">
                  <c:v>apríl</c:v>
                </c:pt>
                <c:pt idx="4">
                  <c:v>máj</c:v>
                </c:pt>
                <c:pt idx="5">
                  <c:v>jún</c:v>
                </c:pt>
                <c:pt idx="6">
                  <c:v>júl</c:v>
                </c:pt>
                <c:pt idx="7">
                  <c:v>august</c:v>
                </c:pt>
                <c:pt idx="8">
                  <c:v>september</c:v>
                </c:pt>
                <c:pt idx="9">
                  <c:v>október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'Pomocne KT'!$K$18:$K$30</c:f>
              <c:numCache>
                <c:formatCode>#\ ##0\ [$Kč-405]</c:formatCode>
                <c:ptCount val="12"/>
                <c:pt idx="0">
                  <c:v>139966.37</c:v>
                </c:pt>
                <c:pt idx="1">
                  <c:v>120159.39000000001</c:v>
                </c:pt>
                <c:pt idx="2">
                  <c:v>143502.74999999994</c:v>
                </c:pt>
                <c:pt idx="3">
                  <c:v>103018.15</c:v>
                </c:pt>
                <c:pt idx="4">
                  <c:v>88843.77</c:v>
                </c:pt>
                <c:pt idx="5">
                  <c:v>68330.59</c:v>
                </c:pt>
                <c:pt idx="6">
                  <c:v>61208.229999999996</c:v>
                </c:pt>
                <c:pt idx="7">
                  <c:v>87516.989999999991</c:v>
                </c:pt>
                <c:pt idx="8">
                  <c:v>61987.229999999981</c:v>
                </c:pt>
                <c:pt idx="9">
                  <c:v>124095.95000000003</c:v>
                </c:pt>
                <c:pt idx="10">
                  <c:v>95525.12000000001</c:v>
                </c:pt>
                <c:pt idx="11">
                  <c:v>135083.43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6F-41D8-A8DE-A19A8F44CCA0}"/>
            </c:ext>
          </c:extLst>
        </c:ser>
        <c:ser>
          <c:idx val="2"/>
          <c:order val="2"/>
          <c:tx>
            <c:strRef>
              <c:f>'Pomocne KT'!$L$17</c:f>
              <c:strCache>
                <c:ptCount val="1"/>
                <c:pt idx="0">
                  <c:v>Tržba</c:v>
                </c:pt>
              </c:strCache>
            </c:strRef>
          </c:tx>
          <c:spPr>
            <a:ln w="28575" cap="rnd">
              <a:solidFill>
                <a:schemeClr val="accent2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tint val="86000"/>
                </a:schemeClr>
              </a:solidFill>
              <a:ln w="9525">
                <a:solidFill>
                  <a:schemeClr val="accent2">
                    <a:tint val="86000"/>
                  </a:schemeClr>
                </a:solidFill>
              </a:ln>
              <a:effectLst/>
            </c:spPr>
          </c:marker>
          <c:cat>
            <c:strRef>
              <c:f>'Pomocne KT'!$I$18:$I$30</c:f>
              <c:strCache>
                <c:ptCount val="12"/>
                <c:pt idx="0">
                  <c:v>január</c:v>
                </c:pt>
                <c:pt idx="1">
                  <c:v>február</c:v>
                </c:pt>
                <c:pt idx="2">
                  <c:v>marec</c:v>
                </c:pt>
                <c:pt idx="3">
                  <c:v>apríl</c:v>
                </c:pt>
                <c:pt idx="4">
                  <c:v>máj</c:v>
                </c:pt>
                <c:pt idx="5">
                  <c:v>jún</c:v>
                </c:pt>
                <c:pt idx="6">
                  <c:v>júl</c:v>
                </c:pt>
                <c:pt idx="7">
                  <c:v>august</c:v>
                </c:pt>
                <c:pt idx="8">
                  <c:v>september</c:v>
                </c:pt>
                <c:pt idx="9">
                  <c:v>október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'Pomocne KT'!$L$18:$L$30</c:f>
              <c:numCache>
                <c:formatCode>#\ ##0\ [$Kč-405]</c:formatCode>
                <c:ptCount val="12"/>
                <c:pt idx="0">
                  <c:v>433547</c:v>
                </c:pt>
                <c:pt idx="1">
                  <c:v>393822</c:v>
                </c:pt>
                <c:pt idx="2">
                  <c:v>550088</c:v>
                </c:pt>
                <c:pt idx="3">
                  <c:v>337739</c:v>
                </c:pt>
                <c:pt idx="4">
                  <c:v>264080</c:v>
                </c:pt>
                <c:pt idx="5">
                  <c:v>213245</c:v>
                </c:pt>
                <c:pt idx="6">
                  <c:v>232600</c:v>
                </c:pt>
                <c:pt idx="7">
                  <c:v>339431</c:v>
                </c:pt>
                <c:pt idx="8">
                  <c:v>233147</c:v>
                </c:pt>
                <c:pt idx="9">
                  <c:v>535778</c:v>
                </c:pt>
                <c:pt idx="10">
                  <c:v>286880</c:v>
                </c:pt>
                <c:pt idx="11">
                  <c:v>404989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6F-41D8-A8DE-A19A8F44C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6965704"/>
        <c:axId val="666963184"/>
      </c:lineChart>
      <c:catAx>
        <c:axId val="666965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66963184"/>
        <c:crosses val="autoZero"/>
        <c:auto val="1"/>
        <c:lblAlgn val="ctr"/>
        <c:lblOffset val="100"/>
        <c:noMultiLvlLbl val="0"/>
      </c:catAx>
      <c:valAx>
        <c:axId val="66696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[$Kč-405]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66965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[prehlad-predajov-eshop-riaditel.xlsx]Pomocne KT!Predaj_mesiace</c:name>
    <c:fmtId val="2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4721878862793572E-2"/>
          <c:y val="5.0925925925925923E-2"/>
          <c:w val="0.95467655541821184"/>
          <c:h val="0.726393992417614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'Pomocne KT'!$J$37</c:f>
              <c:strCache>
                <c:ptCount val="1"/>
                <c:pt idx="0">
                  <c:v>Celková hodnota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'Pomocne KT'!$I$38:$I$50</c:f>
              <c:strCache>
                <c:ptCount val="12"/>
                <c:pt idx="0">
                  <c:v>január</c:v>
                </c:pt>
                <c:pt idx="1">
                  <c:v>február</c:v>
                </c:pt>
                <c:pt idx="2">
                  <c:v>marec</c:v>
                </c:pt>
                <c:pt idx="3">
                  <c:v>apríl</c:v>
                </c:pt>
                <c:pt idx="4">
                  <c:v>máj</c:v>
                </c:pt>
                <c:pt idx="5">
                  <c:v>jún</c:v>
                </c:pt>
                <c:pt idx="6">
                  <c:v>júl</c:v>
                </c:pt>
                <c:pt idx="7">
                  <c:v>august</c:v>
                </c:pt>
                <c:pt idx="8">
                  <c:v>september</c:v>
                </c:pt>
                <c:pt idx="9">
                  <c:v>október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'Pomocne KT'!$J$38:$J$50</c:f>
              <c:numCache>
                <c:formatCode>#\ ##0\ [$Kč-405]</c:formatCode>
                <c:ptCount val="12"/>
                <c:pt idx="0">
                  <c:v>433547</c:v>
                </c:pt>
                <c:pt idx="1">
                  <c:v>393822</c:v>
                </c:pt>
                <c:pt idx="2">
                  <c:v>550088</c:v>
                </c:pt>
                <c:pt idx="3">
                  <c:v>337739</c:v>
                </c:pt>
                <c:pt idx="4">
                  <c:v>264080</c:v>
                </c:pt>
                <c:pt idx="5">
                  <c:v>213245</c:v>
                </c:pt>
                <c:pt idx="6">
                  <c:v>232600</c:v>
                </c:pt>
                <c:pt idx="7">
                  <c:v>339431</c:v>
                </c:pt>
                <c:pt idx="8">
                  <c:v>233147</c:v>
                </c:pt>
                <c:pt idx="9">
                  <c:v>535778</c:v>
                </c:pt>
                <c:pt idx="10">
                  <c:v>286880</c:v>
                </c:pt>
                <c:pt idx="11">
                  <c:v>404989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8-4680-9B22-F098264B0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overlap val="-27"/>
        <c:axId val="671096136"/>
        <c:axId val="671096856"/>
      </c:barChart>
      <c:catAx>
        <c:axId val="671096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71096856"/>
        <c:crosses val="autoZero"/>
        <c:auto val="1"/>
        <c:lblAlgn val="ctr"/>
        <c:lblOffset val="100"/>
        <c:noMultiLvlLbl val="0"/>
      </c:catAx>
      <c:valAx>
        <c:axId val="671096856"/>
        <c:scaling>
          <c:orientation val="minMax"/>
        </c:scaling>
        <c:delete val="1"/>
        <c:axPos val="l"/>
        <c:numFmt formatCode="#\ ##0\ [$Kč-405]" sourceLinked="1"/>
        <c:majorTickMark val="none"/>
        <c:minorTickMark val="none"/>
        <c:tickLblPos val="nextTo"/>
        <c:crossAx val="671096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[prehlad-predajov-eshop-riaditel.xlsx]Pomocne KT!Vyvoj_marze_mesiace</c:name>
    <c:fmtId val="46"/>
  </c:pivotSource>
  <c:chart>
    <c:autoTitleDeleted val="1"/>
    <c:pivotFmts>
      <c:pivotFmt>
        <c:idx val="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'Pomocne KT'!$J$54</c:f>
              <c:strCache>
                <c:ptCount val="1"/>
                <c:pt idx="0">
                  <c:v>Celková hodnota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'Pomocne KT'!$I$55:$I$67</c:f>
              <c:strCache>
                <c:ptCount val="12"/>
                <c:pt idx="0">
                  <c:v>január</c:v>
                </c:pt>
                <c:pt idx="1">
                  <c:v>február</c:v>
                </c:pt>
                <c:pt idx="2">
                  <c:v>marec</c:v>
                </c:pt>
                <c:pt idx="3">
                  <c:v>apríl</c:v>
                </c:pt>
                <c:pt idx="4">
                  <c:v>máj</c:v>
                </c:pt>
                <c:pt idx="5">
                  <c:v>jún</c:v>
                </c:pt>
                <c:pt idx="6">
                  <c:v>júl</c:v>
                </c:pt>
                <c:pt idx="7">
                  <c:v>august</c:v>
                </c:pt>
                <c:pt idx="8">
                  <c:v>september</c:v>
                </c:pt>
                <c:pt idx="9">
                  <c:v>október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'Pomocne KT'!$J$55:$J$67</c:f>
              <c:numCache>
                <c:formatCode>0%</c:formatCode>
                <c:ptCount val="12"/>
                <c:pt idx="0">
                  <c:v>0.32284013036648851</c:v>
                </c:pt>
                <c:pt idx="1">
                  <c:v>0.30511091305208954</c:v>
                </c:pt>
                <c:pt idx="2">
                  <c:v>0.26087235133287756</c:v>
                </c:pt>
                <c:pt idx="3">
                  <c:v>0.30502296151762159</c:v>
                </c:pt>
                <c:pt idx="4">
                  <c:v>0.33642748409572859</c:v>
                </c:pt>
                <c:pt idx="5">
                  <c:v>0.32043231963234775</c:v>
                </c:pt>
                <c:pt idx="6">
                  <c:v>0.2631480223559759</c:v>
                </c:pt>
                <c:pt idx="7">
                  <c:v>0.25783440522521511</c:v>
                </c:pt>
                <c:pt idx="8">
                  <c:v>0.26587187482575364</c:v>
                </c:pt>
                <c:pt idx="9">
                  <c:v>0.23161822620563</c:v>
                </c:pt>
                <c:pt idx="10">
                  <c:v>0.33297936419408813</c:v>
                </c:pt>
                <c:pt idx="11">
                  <c:v>0.33354839267239356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60-4B58-8AC3-564F7E98725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49103728"/>
        <c:axId val="667885672"/>
      </c:lineChart>
      <c:catAx>
        <c:axId val="34910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67885672"/>
        <c:crosses val="autoZero"/>
        <c:auto val="1"/>
        <c:lblAlgn val="ctr"/>
        <c:lblOffset val="100"/>
        <c:noMultiLvlLbl val="0"/>
      </c:catAx>
      <c:valAx>
        <c:axId val="66788567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34910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[prehlad-predajov-eshop-riaditel.xlsx]Pomocne KT!Vyvoj_marze_mesiace</c:name>
    <c:fmtId val="40"/>
  </c:pivotSource>
  <c:chart>
    <c:autoTitleDeleted val="1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'Pomocne KT'!$J$54</c:f>
              <c:strCache>
                <c:ptCount val="1"/>
                <c:pt idx="0">
                  <c:v>Celková hodnota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'Pomocne KT'!$I$55:$I$67</c:f>
              <c:strCache>
                <c:ptCount val="12"/>
                <c:pt idx="0">
                  <c:v>január</c:v>
                </c:pt>
                <c:pt idx="1">
                  <c:v>február</c:v>
                </c:pt>
                <c:pt idx="2">
                  <c:v>marec</c:v>
                </c:pt>
                <c:pt idx="3">
                  <c:v>apríl</c:v>
                </c:pt>
                <c:pt idx="4">
                  <c:v>máj</c:v>
                </c:pt>
                <c:pt idx="5">
                  <c:v>jún</c:v>
                </c:pt>
                <c:pt idx="6">
                  <c:v>júl</c:v>
                </c:pt>
                <c:pt idx="7">
                  <c:v>august</c:v>
                </c:pt>
                <c:pt idx="8">
                  <c:v>september</c:v>
                </c:pt>
                <c:pt idx="9">
                  <c:v>október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'Pomocne KT'!$J$55:$J$67</c:f>
              <c:numCache>
                <c:formatCode>0%</c:formatCode>
                <c:ptCount val="12"/>
                <c:pt idx="0">
                  <c:v>0.32284013036648851</c:v>
                </c:pt>
                <c:pt idx="1">
                  <c:v>0.30511091305208954</c:v>
                </c:pt>
                <c:pt idx="2">
                  <c:v>0.26087235133287756</c:v>
                </c:pt>
                <c:pt idx="3">
                  <c:v>0.30502296151762159</c:v>
                </c:pt>
                <c:pt idx="4">
                  <c:v>0.33642748409572859</c:v>
                </c:pt>
                <c:pt idx="5">
                  <c:v>0.32043231963234775</c:v>
                </c:pt>
                <c:pt idx="6">
                  <c:v>0.2631480223559759</c:v>
                </c:pt>
                <c:pt idx="7">
                  <c:v>0.25783440522521511</c:v>
                </c:pt>
                <c:pt idx="8">
                  <c:v>0.26587187482575364</c:v>
                </c:pt>
                <c:pt idx="9">
                  <c:v>0.23161822620563</c:v>
                </c:pt>
                <c:pt idx="10">
                  <c:v>0.33297936419408813</c:v>
                </c:pt>
                <c:pt idx="11">
                  <c:v>0.33354839267239356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C2-48A0-8115-894F3B23C48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49103728"/>
        <c:axId val="667885672"/>
      </c:lineChart>
      <c:catAx>
        <c:axId val="34910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67885672"/>
        <c:crosses val="autoZero"/>
        <c:auto val="1"/>
        <c:lblAlgn val="ctr"/>
        <c:lblOffset val="100"/>
        <c:noMultiLvlLbl val="0"/>
      </c:catAx>
      <c:valAx>
        <c:axId val="66788567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34910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251460</xdr:colOff>
      <xdr:row>2</xdr:row>
      <xdr:rowOff>144781</xdr:rowOff>
    </xdr:from>
    <xdr:to>
      <xdr:col>17</xdr:col>
      <xdr:colOff>22860</xdr:colOff>
      <xdr:row>6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ok">
              <a:extLst>
                <a:ext uri="{FF2B5EF4-FFF2-40B4-BE49-F238E27FC236}">
                  <a16:creationId xmlns:a16="http://schemas.microsoft.com/office/drawing/2014/main" id="{EFFE5C0F-9C6F-5730-A584-E357DC204F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k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68740" y="601981"/>
              <a:ext cx="4389120" cy="632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Tento tvar predstavuje rýchly filter. Rýchle filtre sú podporované v Exceli 2010 alebo novšej verzii.
Rýchly filter sa nedá použiť, ak bol tvar upravený v staršej verzii Excelu alebo ak bol zošit uložený v Exceli 2003 či v staršej verzii.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3</xdr:row>
      <xdr:rowOff>68580</xdr:rowOff>
    </xdr:from>
    <xdr:to>
      <xdr:col>1</xdr:col>
      <xdr:colOff>480060</xdr:colOff>
      <xdr:row>22</xdr:row>
      <xdr:rowOff>144779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esiace (Datum)">
              <a:extLst>
                <a:ext uri="{FF2B5EF4-FFF2-40B4-BE49-F238E27FC236}">
                  <a16:creationId xmlns:a16="http://schemas.microsoft.com/office/drawing/2014/main" id="{30BBFB0E-48D9-0318-00AF-795009DEEB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iace (Datum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17221"/>
              <a:ext cx="2110740" cy="1722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Tento tvar predstavuje rýchly filter. Rýchle filtre sú podporované v Exceli 2010 alebo novšej verzii.
Rýchly filter sa nedá použiť, ak bol tvar upravený v staršej verzii Excelu alebo ak bol zošit uložený v Exceli 2003 či v staršej verzii.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251460</xdr:colOff>
      <xdr:row>7</xdr:row>
      <xdr:rowOff>15240</xdr:rowOff>
    </xdr:from>
    <xdr:to>
      <xdr:col>9</xdr:col>
      <xdr:colOff>967740</xdr:colOff>
      <xdr:row>23</xdr:row>
      <xdr:rowOff>160020</xdr:rowOff>
    </xdr:to>
    <xdr:graphicFrame macro="">
      <xdr:nvGraphicFramePr>
        <xdr:cNvPr id="11" name="Vyvoj_zisku_trzby_marze">
          <a:extLst>
            <a:ext uri="{FF2B5EF4-FFF2-40B4-BE49-F238E27FC236}">
              <a16:creationId xmlns:a16="http://schemas.microsoft.com/office/drawing/2014/main" id="{F6FC79A1-C14A-4A37-823E-717DA8C3FB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9</xdr:col>
      <xdr:colOff>1135380</xdr:colOff>
      <xdr:row>7</xdr:row>
      <xdr:rowOff>38100</xdr:rowOff>
    </xdr:from>
    <xdr:to>
      <xdr:col>16</xdr:col>
      <xdr:colOff>586740</xdr:colOff>
      <xdr:row>23</xdr:row>
      <xdr:rowOff>175260</xdr:rowOff>
    </xdr:to>
    <xdr:graphicFrame macro="">
      <xdr:nvGraphicFramePr>
        <xdr:cNvPr id="12" name="vyvoj_zisku_trzby_naklady_mesiace">
          <a:extLst>
            <a:ext uri="{FF2B5EF4-FFF2-40B4-BE49-F238E27FC236}">
              <a16:creationId xmlns:a16="http://schemas.microsoft.com/office/drawing/2014/main" id="{69F166D3-FFC6-4C41-A705-0CBBD7AEB7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2</xdr:col>
      <xdr:colOff>213360</xdr:colOff>
      <xdr:row>24</xdr:row>
      <xdr:rowOff>137160</xdr:rowOff>
    </xdr:from>
    <xdr:to>
      <xdr:col>10</xdr:col>
      <xdr:colOff>160020</xdr:colOff>
      <xdr:row>39</xdr:row>
      <xdr:rowOff>137160</xdr:rowOff>
    </xdr:to>
    <xdr:graphicFrame macro="">
      <xdr:nvGraphicFramePr>
        <xdr:cNvPr id="13" name="Vyvoj_trzby">
          <a:extLst>
            <a:ext uri="{FF2B5EF4-FFF2-40B4-BE49-F238E27FC236}">
              <a16:creationId xmlns:a16="http://schemas.microsoft.com/office/drawing/2014/main" id="{6B1B605B-78A3-4AB5-8426-B18DA7298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10</xdr:col>
      <xdr:colOff>274320</xdr:colOff>
      <xdr:row>24</xdr:row>
      <xdr:rowOff>144780</xdr:rowOff>
    </xdr:from>
    <xdr:to>
      <xdr:col>17</xdr:col>
      <xdr:colOff>53340</xdr:colOff>
      <xdr:row>39</xdr:row>
      <xdr:rowOff>175260</xdr:rowOff>
    </xdr:to>
    <xdr:graphicFrame macro="">
      <xdr:nvGraphicFramePr>
        <xdr:cNvPr id="14" name="Vyvoj_marze_mesiace">
          <a:extLst>
            <a:ext uri="{FF2B5EF4-FFF2-40B4-BE49-F238E27FC236}">
              <a16:creationId xmlns:a16="http://schemas.microsoft.com/office/drawing/2014/main" id="{6F39F735-C715-462D-9D3F-FFCCC678B6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480060</xdr:colOff>
      <xdr:row>50</xdr:row>
      <xdr:rowOff>80010</xdr:rowOff>
    </xdr:from>
    <xdr:to>
      <xdr:col>12</xdr:col>
      <xdr:colOff>457200</xdr:colOff>
      <xdr:row>65</xdr:row>
      <xdr:rowOff>80010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7405FD10-9572-096C-F0E8-28011E8C53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98.873065046297" createdVersion="8" refreshedVersion="8" minRefreshableVersion="3" recordCount="500" xr:uid="{51F062D8-733E-457A-B0F3-495CE0B6A72F}">
  <cacheSource type="worksheet">
    <worksheetSource name="Tabuľka4"/>
  </cacheSource>
  <cacheFields count="23">
    <cacheField name="Datum" numFmtId="14">
      <sharedItems containsSemiMixedTypes="0" containsNonDate="0" containsDate="1" containsString="0" minDate="2024-01-01T00:00:00" maxDate="2026-05-31T00:00:00" count="387">
        <d v="2024-02-08T00:00:00"/>
        <d v="2024-03-28T00:00:00"/>
        <d v="2024-05-25T00:00:00"/>
        <d v="2024-08-02T00:00:00"/>
        <d v="2024-10-04T00:00:00"/>
        <d v="2024-10-30T00:00:00"/>
        <d v="2024-11-01T00:00:00"/>
        <d v="2025-01-11T00:00:00"/>
        <d v="2025-06-29T00:00:00"/>
        <d v="2025-08-10T00:00:00"/>
        <d v="2025-09-03T00:00:00"/>
        <d v="2025-10-10T00:00:00"/>
        <d v="2025-11-02T00:00:00"/>
        <d v="2026-03-16T00:00:00"/>
        <d v="2026-03-23T00:00:00"/>
        <d v="2026-03-27T00:00:00"/>
        <d v="2026-04-23T00:00:00"/>
        <d v="2024-04-15T00:00:00"/>
        <d v="2024-12-06T00:00:00"/>
        <d v="2024-12-19T00:00:00"/>
        <d v="2025-02-18T00:00:00"/>
        <d v="2025-10-15T00:00:00"/>
        <d v="2025-10-19T00:00:00"/>
        <d v="2025-11-15T00:00:00"/>
        <d v="2024-02-06T00:00:00"/>
        <d v="2024-04-30T00:00:00"/>
        <d v="2024-11-27T00:00:00"/>
        <d v="2024-12-31T00:00:00"/>
        <d v="2025-01-22T00:00:00"/>
        <d v="2025-02-22T00:00:00"/>
        <d v="2025-06-25T00:00:00"/>
        <d v="2025-10-21T00:00:00"/>
        <d v="2025-11-29T00:00:00"/>
        <d v="2025-12-14T00:00:00"/>
        <d v="2026-01-29T00:00:00"/>
        <d v="2026-03-29T00:00:00"/>
        <d v="2026-04-15T00:00:00"/>
        <d v="2026-05-20T00:00:00"/>
        <d v="2026-05-28T00:00:00"/>
        <d v="2024-03-27T00:00:00"/>
        <d v="2024-04-26T00:00:00"/>
        <d v="2024-05-18T00:00:00"/>
        <d v="2024-07-26T00:00:00"/>
        <d v="2024-10-21T00:00:00"/>
        <d v="2024-12-11T00:00:00"/>
        <d v="2024-12-24T00:00:00"/>
        <d v="2024-12-29T00:00:00"/>
        <d v="2025-05-09T00:00:00"/>
        <d v="2025-05-12T00:00:00"/>
        <d v="2025-05-16T00:00:00"/>
        <d v="2025-05-19T00:00:00"/>
        <d v="2025-06-21T00:00:00"/>
        <d v="2025-10-26T00:00:00"/>
        <d v="2025-12-09T00:00:00"/>
        <d v="2026-01-01T00:00:00"/>
        <d v="2026-03-03T00:00:00"/>
        <d v="2026-03-19T00:00:00"/>
        <d v="2024-05-01T00:00:00"/>
        <d v="2024-09-27T00:00:00"/>
        <d v="2024-10-10T00:00:00"/>
        <d v="2024-10-17T00:00:00"/>
        <d v="2024-12-18T00:00:00"/>
        <d v="2024-12-23T00:00:00"/>
        <d v="2025-01-13T00:00:00"/>
        <d v="2025-01-21T00:00:00"/>
        <d v="2025-02-12T00:00:00"/>
        <d v="2025-03-22T00:00:00"/>
        <d v="2025-07-18T00:00:00"/>
        <d v="2025-08-21T00:00:00"/>
        <d v="2026-01-23T00:00:00"/>
        <d v="2026-02-01T00:00:00"/>
        <d v="2026-04-05T00:00:00"/>
        <d v="2026-04-28T00:00:00"/>
        <d v="2026-05-15T00:00:00"/>
        <d v="2024-04-13T00:00:00"/>
        <d v="2025-02-14T00:00:00"/>
        <d v="2025-04-11T00:00:00"/>
        <d v="2025-09-16T00:00:00"/>
        <d v="2025-10-31T00:00:00"/>
        <d v="2026-01-09T00:00:00"/>
        <d v="2024-02-01T00:00:00"/>
        <d v="2024-05-22T00:00:00"/>
        <d v="2024-05-29T00:00:00"/>
        <d v="2024-06-09T00:00:00"/>
        <d v="2024-09-02T00:00:00"/>
        <d v="2024-11-18T00:00:00"/>
        <d v="2025-01-31T00:00:00"/>
        <d v="2025-02-25T00:00:00"/>
        <d v="2025-04-17T00:00:00"/>
        <d v="2025-06-12T00:00:00"/>
        <d v="2025-12-13T00:00:00"/>
        <d v="2024-02-19T00:00:00"/>
        <d v="2024-03-29T00:00:00"/>
        <d v="2024-10-14T00:00:00"/>
        <d v="2025-08-26T00:00:00"/>
        <d v="2025-09-02T00:00:00"/>
        <d v="2025-12-10T00:00:00"/>
        <d v="2025-12-30T00:00:00"/>
        <d v="2026-01-02T00:00:00"/>
        <d v="2026-04-18T00:00:00"/>
        <d v="2024-02-12T00:00:00"/>
        <d v="2024-04-16T00:00:00"/>
        <d v="2024-05-11T00:00:00"/>
        <d v="2024-06-20T00:00:00"/>
        <d v="2024-06-23T00:00:00"/>
        <d v="2024-11-03T00:00:00"/>
        <d v="2024-11-08T00:00:00"/>
        <d v="2025-03-04T00:00:00"/>
        <d v="2025-06-13T00:00:00"/>
        <d v="2025-12-15T00:00:00"/>
        <d v="2026-04-13T00:00:00"/>
        <d v="2026-05-30T00:00:00"/>
        <d v="2024-01-13T00:00:00"/>
        <d v="2024-01-26T00:00:00"/>
        <d v="2024-03-23T00:00:00"/>
        <d v="2024-07-01T00:00:00"/>
        <d v="2024-11-29T00:00:00"/>
        <d v="2024-12-26T00:00:00"/>
        <d v="2025-02-17T00:00:00"/>
        <d v="2025-06-07T00:00:00"/>
        <d v="2025-07-14T00:00:00"/>
        <d v="2025-08-28T00:00:00"/>
        <d v="2025-09-07T00:00:00"/>
        <d v="2025-09-14T00:00:00"/>
        <d v="2025-10-13T00:00:00"/>
        <d v="2026-02-15T00:00:00"/>
        <d v="2026-03-18T00:00:00"/>
        <d v="2026-04-17T00:00:00"/>
        <d v="2026-04-20T00:00:00"/>
        <d v="2026-05-08T00:00:00"/>
        <d v="2026-05-17T00:00:00"/>
        <d v="2024-01-20T00:00:00"/>
        <d v="2024-02-02T00:00:00"/>
        <d v="2024-03-22T00:00:00"/>
        <d v="2024-04-18T00:00:00"/>
        <d v="2024-07-20T00:00:00"/>
        <d v="2024-08-12T00:00:00"/>
        <d v="2024-10-16T00:00:00"/>
        <d v="2024-11-09T00:00:00"/>
        <d v="2024-11-13T00:00:00"/>
        <d v="2025-01-02T00:00:00"/>
        <d v="2025-03-24T00:00:00"/>
        <d v="2025-03-26T00:00:00"/>
        <d v="2025-06-03T00:00:00"/>
        <d v="2025-12-21T00:00:00"/>
        <d v="2026-03-17T00:00:00"/>
        <d v="2026-04-29T00:00:00"/>
        <d v="2024-03-09T00:00:00"/>
        <d v="2024-04-08T00:00:00"/>
        <d v="2024-04-17T00:00:00"/>
        <d v="2024-07-15T00:00:00"/>
        <d v="2024-08-11T00:00:00"/>
        <d v="2024-08-16T00:00:00"/>
        <d v="2024-09-23T00:00:00"/>
        <d v="2024-10-26T00:00:00"/>
        <d v="2024-11-14T00:00:00"/>
        <d v="2024-12-22T00:00:00"/>
        <d v="2025-04-27T00:00:00"/>
        <d v="2025-05-22T00:00:00"/>
        <d v="2025-06-26T00:00:00"/>
        <d v="2025-10-22T00:00:00"/>
        <d v="2025-11-04T00:00:00"/>
        <d v="2025-11-14T00:00:00"/>
        <d v="2024-03-13T00:00:00"/>
        <d v="2024-09-03T00:00:00"/>
        <d v="2024-11-25T00:00:00"/>
        <d v="2024-12-16T00:00:00"/>
        <d v="2025-01-01T00:00:00"/>
        <d v="2025-04-18T00:00:00"/>
        <d v="2025-10-18T00:00:00"/>
        <d v="2025-12-03T00:00:00"/>
        <d v="2025-12-22T00:00:00"/>
        <d v="2026-01-20T00:00:00"/>
        <d v="2026-02-09T00:00:00"/>
        <d v="2026-03-04T00:00:00"/>
        <d v="2026-04-07T00:00:00"/>
        <d v="2026-04-10T00:00:00"/>
        <d v="2026-05-01T00:00:00"/>
        <d v="2024-04-12T00:00:00"/>
        <d v="2024-05-10T00:00:00"/>
        <d v="2024-07-13T00:00:00"/>
        <d v="2024-09-07T00:00:00"/>
        <d v="2024-09-10T00:00:00"/>
        <d v="2024-09-17T00:00:00"/>
        <d v="2024-09-29T00:00:00"/>
        <d v="2024-11-24T00:00:00"/>
        <d v="2024-12-21T00:00:00"/>
        <d v="2025-01-27T00:00:00"/>
        <d v="2025-10-09T00:00:00"/>
        <d v="2026-04-01T00:00:00"/>
        <d v="2024-03-12T00:00:00"/>
        <d v="2024-05-07T00:00:00"/>
        <d v="2024-05-16T00:00:00"/>
        <d v="2024-06-05T00:00:00"/>
        <d v="2024-08-29T00:00:00"/>
        <d v="2024-09-20T00:00:00"/>
        <d v="2025-01-15T00:00:00"/>
        <d v="2025-03-31T00:00:00"/>
        <d v="2025-04-06T00:00:00"/>
        <d v="2025-04-20T00:00:00"/>
        <d v="2025-07-24T00:00:00"/>
        <d v="2025-10-14T00:00:00"/>
        <d v="2026-02-12T00:00:00"/>
        <d v="2024-03-02T00:00:00"/>
        <d v="2024-08-08T00:00:00"/>
        <d v="2024-08-30T00:00:00"/>
        <d v="2024-11-17T00:00:00"/>
        <d v="2025-01-03T00:00:00"/>
        <d v="2025-06-08T00:00:00"/>
        <d v="2025-07-12T00:00:00"/>
        <d v="2026-01-26T00:00:00"/>
        <d v="2026-03-09T00:00:00"/>
        <d v="2024-02-28T00:00:00"/>
        <d v="2024-06-07T00:00:00"/>
        <d v="2024-09-09T00:00:00"/>
        <d v="2024-10-06T00:00:00"/>
        <d v="2025-07-15T00:00:00"/>
        <d v="2026-02-19T00:00:00"/>
        <d v="2026-03-21T00:00:00"/>
        <d v="2024-01-19T00:00:00"/>
        <d v="2024-03-05T00:00:00"/>
        <d v="2024-03-21T00:00:00"/>
        <d v="2024-09-26T00:00:00"/>
        <d v="2024-10-18T00:00:00"/>
        <d v="2025-01-16T00:00:00"/>
        <d v="2025-01-28T00:00:00"/>
        <d v="2025-03-03T00:00:00"/>
        <d v="2025-03-07T00:00:00"/>
        <d v="2025-09-25T00:00:00"/>
        <d v="2025-11-18T00:00:00"/>
        <d v="2025-11-21T00:00:00"/>
        <d v="2025-12-06T00:00:00"/>
        <d v="2025-12-19T00:00:00"/>
        <d v="2026-02-03T00:00:00"/>
        <d v="2026-03-15T00:00:00"/>
        <d v="2026-05-22T00:00:00"/>
        <d v="2024-03-31T00:00:00"/>
        <d v="2024-04-20T00:00:00"/>
        <d v="2024-08-17T00:00:00"/>
        <d v="2024-08-24T00:00:00"/>
        <d v="2024-09-24T00:00:00"/>
        <d v="2025-10-30T00:00:00"/>
        <d v="2025-11-10T00:00:00"/>
        <d v="2026-01-31T00:00:00"/>
        <d v="2026-02-11T00:00:00"/>
        <d v="2026-03-26T00:00:00"/>
        <d v="2024-01-18T00:00:00"/>
        <d v="2024-04-09T00:00:00"/>
        <d v="2024-04-24T00:00:00"/>
        <d v="2025-01-07T00:00:00"/>
        <d v="2025-03-25T00:00:00"/>
        <d v="2025-04-21T00:00:00"/>
        <d v="2025-09-06T00:00:00"/>
        <d v="2025-11-11T00:00:00"/>
        <d v="2026-02-26T00:00:00"/>
        <d v="2026-05-11T00:00:00"/>
        <d v="2024-02-03T00:00:00"/>
        <d v="2024-03-11T00:00:00"/>
        <d v="2024-06-22T00:00:00"/>
        <d v="2024-10-13T00:00:00"/>
        <d v="2024-12-04T00:00:00"/>
        <d v="2024-12-09T00:00:00"/>
        <d v="2025-02-01T00:00:00"/>
        <d v="2025-02-24T00:00:00"/>
        <d v="2025-03-18T00:00:00"/>
        <d v="2025-05-02T00:00:00"/>
        <d v="2025-06-18T00:00:00"/>
        <d v="2025-11-09T00:00:00"/>
        <d v="2025-12-27T00:00:00"/>
        <d v="2026-01-13T00:00:00"/>
        <d v="2026-02-20T00:00:00"/>
        <d v="2026-03-22T00:00:00"/>
        <d v="2024-01-27T00:00:00"/>
        <d v="2024-10-15T00:00:00"/>
        <d v="2025-02-26T00:00:00"/>
        <d v="2025-04-01T00:00:00"/>
        <d v="2025-12-05T00:00:00"/>
        <d v="2026-01-03T00:00:00"/>
        <d v="2026-04-04T00:00:00"/>
        <d v="2024-08-25T00:00:00"/>
        <d v="2024-12-12T00:00:00"/>
        <d v="2024-12-25T00:00:00"/>
        <d v="2025-04-22T00:00:00"/>
        <d v="2025-05-25T00:00:00"/>
        <d v="2025-07-04T00:00:00"/>
        <d v="2025-08-20T00:00:00"/>
        <d v="2025-08-22T00:00:00"/>
        <d v="2025-11-16T00:00:00"/>
        <d v="2025-12-20T00:00:00"/>
        <d v="2026-02-10T00:00:00"/>
        <d v="2024-06-02T00:00:00"/>
        <d v="2024-08-10T00:00:00"/>
        <d v="2024-09-05T00:00:00"/>
        <d v="2024-11-12T00:00:00"/>
        <d v="2025-02-23T00:00:00"/>
        <d v="2025-04-28T00:00:00"/>
        <d v="2025-05-01T00:00:00"/>
        <d v="2025-08-11T00:00:00"/>
        <d v="2025-09-08T00:00:00"/>
        <d v="2025-11-20T00:00:00"/>
        <d v="2026-01-14T00:00:00"/>
        <d v="2026-01-22T00:00:00"/>
        <d v="2026-05-14T00:00:00"/>
        <d v="2026-05-16T00:00:00"/>
        <d v="2026-05-19T00:00:00"/>
        <d v="2024-01-24T00:00:00"/>
        <d v="2024-06-29T00:00:00"/>
        <d v="2024-07-23T00:00:00"/>
        <d v="2024-12-07T00:00:00"/>
        <d v="2025-08-06T00:00:00"/>
        <d v="2025-12-18T00:00:00"/>
        <d v="2024-04-10T00:00:00"/>
        <d v="2024-06-01T00:00:00"/>
        <d v="2024-08-27T00:00:00"/>
        <d v="2025-06-20T00:00:00"/>
        <d v="2025-07-28T00:00:00"/>
        <d v="2025-10-16T00:00:00"/>
        <d v="2025-12-04T00:00:00"/>
        <d v="2026-02-27T00:00:00"/>
        <d v="2024-05-23T00:00:00"/>
        <d v="2024-08-21T00:00:00"/>
        <d v="2024-12-27T00:00:00"/>
        <d v="2025-04-09T00:00:00"/>
        <d v="2025-07-22T00:00:00"/>
        <d v="2025-08-15T00:00:00"/>
        <d v="2025-12-12T00:00:00"/>
        <d v="2026-03-25T00:00:00"/>
        <d v="2024-01-09T00:00:00"/>
        <d v="2024-06-24T00:00:00"/>
        <d v="2024-07-31T00:00:00"/>
        <d v="2024-09-21T00:00:00"/>
        <d v="2024-10-07T00:00:00"/>
        <d v="2024-10-12T00:00:00"/>
        <d v="2024-12-10T00:00:00"/>
        <d v="2025-01-24T00:00:00"/>
        <d v="2025-02-19T00:00:00"/>
        <d v="2025-04-07T00:00:00"/>
        <d v="2025-10-11T00:00:00"/>
        <d v="2026-05-05T00:00:00"/>
        <d v="2024-02-07T00:00:00"/>
        <d v="2024-04-14T00:00:00"/>
        <d v="2024-06-06T00:00:00"/>
        <d v="2024-06-21T00:00:00"/>
        <d v="2024-07-17T00:00:00"/>
        <d v="2024-10-20T00:00:00"/>
        <d v="2024-12-20T00:00:00"/>
        <d v="2025-01-17T00:00:00"/>
        <d v="2025-02-16T00:00:00"/>
        <d v="2025-05-04T00:00:00"/>
        <d v="2025-06-02T00:00:00"/>
        <d v="2025-06-04T00:00:00"/>
        <d v="2025-08-24T00:00:00"/>
        <d v="2026-01-04T00:00:00"/>
        <d v="2026-02-02T00:00:00"/>
        <d v="2026-05-09T00:00:00"/>
        <d v="2024-04-07T00:00:00"/>
        <d v="2024-05-30T00:00:00"/>
        <d v="2024-08-26T00:00:00"/>
        <d v="2025-05-18T00:00:00"/>
        <d v="2025-05-23T00:00:00"/>
        <d v="2025-06-24T00:00:00"/>
        <d v="2025-08-12T00:00:00"/>
        <d v="2026-02-04T00:00:00"/>
        <d v="2026-04-06T00:00:00"/>
        <d v="2026-05-21T00:00:00"/>
        <d v="2024-01-01T00:00:00"/>
        <d v="2024-01-28T00:00:00"/>
        <d v="2024-04-27T00:00:00"/>
        <d v="2024-05-02T00:00:00"/>
        <d v="2024-07-08T00:00:00"/>
        <d v="2024-10-28T00:00:00"/>
        <d v="2024-11-21T00:00:00"/>
        <d v="2024-12-01T00:00:00"/>
        <d v="2025-01-20T00:00:00"/>
        <d v="2025-03-16T00:00:00"/>
        <d v="2025-05-24T00:00:00"/>
        <d v="2025-06-22T00:00:00"/>
        <d v="2025-07-06T00:00:00"/>
        <d v="2025-07-08T00:00:00"/>
        <d v="2025-07-11T00:00:00"/>
        <d v="2025-08-05T00:00:00"/>
        <d v="2024-09-25T00:00:00"/>
        <d v="2024-10-03T00:00:00"/>
        <d v="2025-01-18T00:00:00"/>
        <d v="2025-02-15T00:00:00"/>
        <d v="2025-07-27T00:00:00"/>
        <d v="2025-08-02T00:00:00"/>
      </sharedItems>
      <fieldGroup par="20"/>
    </cacheField>
    <cacheField name="ObjednavkaID" numFmtId="0">
      <sharedItems count="500">
        <s v="ORD-240208-0021"/>
        <s v="ORD-240328-0044"/>
        <s v="ORD-240525-0077"/>
        <s v="ORD-240802-0109"/>
        <s v="ORD-241004-0147"/>
        <s v="ORD-241030-0167"/>
        <s v="ORD-241101-0169"/>
        <s v="ORD-250111-0222"/>
        <s v="ORD-250629-0312"/>
        <s v="ORD-250810-0331"/>
        <s v="ORD-250903-0343"/>
        <s v="ORD-251010-0352"/>
        <s v="ORD-251102-0371"/>
        <s v="ORD-260316-0451"/>
        <s v="ORD-260323-0459"/>
        <s v="ORD-260327-0463"/>
        <s v="ORD-260423-0478"/>
        <s v="ORD-240415-0057"/>
        <s v="ORD-241206-0192"/>
        <s v="ORD-241219-0202"/>
        <s v="ORD-250218-0246"/>
        <s v="ORD-251015-0359"/>
        <s v="ORD-251019-0362"/>
        <s v="ORD-251115-0379"/>
        <s v="ORD-240206-0018"/>
        <s v="ORD-240430-0065"/>
        <s v="ORD-241127-0185"/>
        <s v="ORD-241206-0190"/>
        <s v="ORD-241231-0217"/>
        <s v="ORD-250122-0234"/>
        <s v="ORD-250222-0249"/>
        <s v="ORD-250625-0310"/>
        <s v="ORD-251021-0364"/>
        <s v="ORD-251129-0385"/>
        <s v="ORD-251214-0396"/>
        <s v="ORD-260129-0426"/>
        <s v="ORD-260329-0464"/>
        <s v="ORD-260415-0473"/>
        <s v="ORD-260520-0493"/>
        <s v="ORD-260528-0499"/>
        <s v="ORD-240327-0043"/>
        <s v="ORD-240426-0063"/>
        <s v="ORD-240518-0073"/>
        <s v="ORD-240726-0107"/>
        <s v="ORD-241021-0163"/>
        <s v="ORD-241211-0196"/>
        <s v="ORD-241224-0210"/>
        <s v="ORD-241229-0216"/>
        <s v="ORD-250509-0284"/>
        <s v="ORD-250512-0285"/>
        <s v="ORD-250516-0286"/>
        <s v="ORD-250519-0288"/>
        <s v="ORD-250621-0305"/>
        <s v="ORD-251026-0367"/>
        <s v="ORD-251209-0391"/>
        <s v="ORD-260101-0410"/>
        <s v="ORD-260303-0446"/>
        <s v="ORD-260319-0456"/>
        <s v="ORD-240501-0066"/>
        <s v="ORD-240927-0144"/>
        <s v="ORD-241010-0151"/>
        <s v="ORD-241017-0159"/>
        <s v="ORD-241218-0199"/>
        <s v="ORD-241223-0207"/>
        <s v="ORD-250113-0223"/>
        <s v="ORD-250121-0233"/>
        <s v="ORD-250212-0241"/>
        <s v="ORD-250322-0259"/>
        <s v="ORD-250718-0323"/>
        <s v="ORD-250821-0337"/>
        <s v="ORD-260101-0411"/>
        <s v="ORD-260123-0424"/>
        <s v="ORD-260201-0429"/>
        <s v="ORD-260405-0468"/>
        <s v="ORD-260428-0479"/>
        <s v="ORD-260515-0488"/>
        <s v="ORD-240413-0054"/>
        <s v="ORD-250121-0231"/>
        <s v="ORD-250214-0242"/>
        <s v="ORD-250222-0248"/>
        <s v="ORD-250411-0270"/>
        <s v="ORD-250916-0348"/>
        <s v="ORD-251031-0370"/>
        <s v="ORD-260109-0416"/>
        <s v="ORD-240201-0015"/>
        <s v="ORD-240522-0074"/>
        <s v="ORD-240529-0079"/>
        <s v="ORD-240609-0086"/>
        <s v="ORD-240902-0127"/>
        <s v="ORD-241017-0160"/>
        <s v="ORD-241118-0179"/>
        <s v="ORD-250113-0224"/>
        <s v="ORD-250131-0239"/>
        <s v="ORD-250225-0252"/>
        <s v="ORD-250417-0272"/>
        <s v="ORD-250612-0301"/>
        <s v="ORD-250821-0336"/>
        <s v="ORD-251213-0395"/>
        <s v="ORD-240219-0025"/>
        <s v="ORD-240329-0046"/>
        <s v="ORD-241014-0155"/>
        <s v="ORD-250417-0271"/>
        <s v="ORD-250826-0340"/>
        <s v="ORD-250902-0342"/>
        <s v="ORD-251210-0393"/>
        <s v="ORD-251230-0407"/>
        <s v="ORD-260102-0412"/>
        <s v="ORD-260327-0462"/>
        <s v="ORD-260418-0476"/>
        <s v="ORD-240212-0023"/>
        <s v="ORD-240416-0058"/>
        <s v="ORD-240511-0071"/>
        <s v="ORD-240620-0088"/>
        <s v="ORD-240623-0093"/>
        <s v="ORD-241103-0170"/>
        <s v="ORD-241108-0171"/>
        <s v="ORD-241219-0201"/>
        <s v="ORD-250121-0232"/>
        <s v="ORD-250304-0255"/>
        <s v="ORD-250613-0302"/>
        <s v="ORD-251215-0397"/>
        <s v="ORD-260413-0472"/>
        <s v="ORD-260530-0500"/>
        <s v="ORD-240113-0003"/>
        <s v="ORD-240126-0010"/>
        <s v="ORD-240323-0042"/>
        <s v="ORD-240609-0087"/>
        <s v="ORD-240701-0098"/>
        <s v="ORD-241129-0186"/>
        <s v="ORD-241226-0214"/>
        <s v="ORD-250217-0245"/>
        <s v="ORD-250607-0297"/>
        <s v="ORD-250607-0299"/>
        <s v="ORD-250621-0307"/>
        <s v="ORD-250714-0321"/>
        <s v="ORD-250828-0341"/>
        <s v="ORD-250907-0345"/>
        <s v="ORD-250914-0347"/>
        <s v="ORD-251013-0356"/>
        <s v="ORD-251215-0398"/>
        <s v="ORD-260215-0440"/>
        <s v="ORD-260318-0453"/>
        <s v="ORD-260417-0474"/>
        <s v="ORD-260420-0477"/>
        <s v="ORD-260508-0484"/>
        <s v="ORD-260517-0490"/>
        <s v="ORD-260520-0494"/>
        <s v="ORD-240120-0008"/>
        <s v="ORD-240202-0016"/>
        <s v="ORD-240322-0041"/>
        <s v="ORD-240418-0060"/>
        <s v="ORD-240720-0105"/>
        <s v="ORD-240812-0115"/>
        <s v="ORD-241016-0158"/>
        <s v="ORD-241109-0172"/>
        <s v="ORD-241113-0174"/>
        <s v="ORD-250102-0219"/>
        <s v="ORD-250324-0260"/>
        <s v="ORD-250326-0263"/>
        <s v="ORD-250603-0295"/>
        <s v="ORD-251221-0403"/>
        <s v="ORD-260317-0452"/>
        <s v="ORD-260429-0481"/>
        <s v="ORD-240208-0022"/>
        <s v="ORD-240309-0034"/>
        <s v="ORD-240408-0050"/>
        <s v="ORD-240417-0059"/>
        <s v="ORD-240701-0099"/>
        <s v="ORD-240715-0103"/>
        <s v="ORD-240811-0114"/>
        <s v="ORD-240816-0116"/>
        <s v="ORD-240923-0138"/>
        <s v="ORD-241026-0164"/>
        <s v="ORD-241114-0175"/>
        <s v="ORD-241222-0206"/>
        <s v="ORD-250427-0278"/>
        <s v="ORD-250522-0289"/>
        <s v="ORD-250626-0311"/>
        <s v="ORD-251021-0363"/>
        <s v="ORD-251022-0366"/>
        <s v="ORD-251104-0372"/>
        <s v="ORD-251114-0377"/>
        <s v="ORD-260101-0409"/>
        <s v="ORD-260123-0423"/>
        <s v="ORD-240309-0032"/>
        <s v="ORD-240313-0038"/>
        <s v="ORD-240525-0078"/>
        <s v="ORD-240802-0110"/>
        <s v="ORD-240903-0128"/>
        <s v="ORD-241114-0176"/>
        <s v="ORD-241125-0184"/>
        <s v="ORD-241216-0198"/>
        <s v="ORD-250101-0218"/>
        <s v="ORD-250418-0273"/>
        <s v="ORD-251018-0361"/>
        <s v="ORD-251022-0365"/>
        <s v="ORD-251114-0378"/>
        <s v="ORD-251203-0386"/>
        <s v="ORD-251222-0404"/>
        <s v="ORD-260120-0421"/>
        <s v="ORD-260209-0435"/>
        <s v="ORD-260215-0441"/>
        <s v="ORD-260304-0447"/>
        <s v="ORD-260407-0470"/>
        <s v="ORD-260410-0471"/>
        <s v="ORD-260501-0482"/>
        <s v="ORD-240412-0053"/>
        <s v="ORD-240510-0070"/>
        <s v="ORD-240713-0101"/>
        <s v="ORD-240907-0130"/>
        <s v="ORD-240910-0132"/>
        <s v="ORD-240917-0134"/>
        <s v="ORD-240929-0145"/>
        <s v="ORD-241124-0183"/>
        <s v="ORD-241221-0204"/>
        <s v="ORD-250127-0237"/>
        <s v="ORD-250629-0313"/>
        <s v="ORD-251009-0351"/>
        <s v="ORD-260401-0466"/>
        <s v="ORD-240312-0036"/>
        <s v="ORD-240507-0069"/>
        <s v="ORD-240516-0072"/>
        <s v="ORD-240605-0083"/>
        <s v="ORD-240829-0123"/>
        <s v="ORD-240920-0135"/>
        <s v="ORD-241224-0211"/>
        <s v="ORD-250115-0225"/>
        <s v="ORD-250331-0264"/>
        <s v="ORD-250406-0266"/>
        <s v="ORD-250420-0275"/>
        <s v="ORD-250724-0325"/>
        <s v="ORD-251013-0355"/>
        <s v="ORD-251014-0358"/>
        <s v="ORD-260201-0430"/>
        <s v="ORD-260212-0439"/>
        <s v="ORD-240120-0007"/>
        <s v="ORD-240302-0029"/>
        <s v="ORD-240309-0031"/>
        <s v="ORD-240808-0111"/>
        <s v="ORD-240830-0126"/>
        <s v="ORD-241117-0177"/>
        <s v="ORD-250103-0220"/>
        <s v="ORD-250608-0300"/>
        <s v="ORD-250621-0306"/>
        <s v="ORD-250712-0319"/>
        <s v="ORD-260120-0420"/>
        <s v="ORD-260126-0425"/>
        <s v="ORD-260309-0448"/>
        <s v="ORD-240228-0026"/>
        <s v="ORD-240228-0027"/>
        <s v="ORD-240501-0067"/>
        <s v="ORD-240607-0085"/>
        <s v="ORD-240909-0131"/>
        <s v="ORD-241006-0148"/>
        <s v="ORD-241101-0168"/>
        <s v="ORD-241223-0209"/>
        <s v="ORD-250715-0322"/>
        <s v="ORD-260219-0442"/>
        <s v="ORD-260321-0457"/>
        <s v="ORD-240119-0006"/>
        <s v="ORD-240305-0030"/>
        <s v="ORD-240321-0040"/>
        <s v="ORD-240926-0142"/>
        <s v="ORD-241018-0161"/>
        <s v="ORD-241223-0208"/>
        <s v="ORD-250116-0226"/>
        <s v="ORD-250128-0238"/>
        <s v="ORD-250303-0254"/>
        <s v="ORD-250307-0256"/>
        <s v="ORD-250925-0349"/>
        <s v="ORD-251118-0381"/>
        <s v="ORD-251121-0383"/>
        <s v="ORD-251206-0389"/>
        <s v="ORD-251219-0401"/>
        <s v="ORD-260203-0433"/>
        <s v="ORD-260315-0449"/>
        <s v="ORD-260522-0498"/>
        <s v="ORD-240126-0011"/>
        <s v="ORD-240331-0047"/>
        <s v="ORD-240420-0061"/>
        <s v="ORD-240817-0117"/>
        <s v="ORD-240824-0119"/>
        <s v="ORD-240829-0124"/>
        <s v="ORD-240924-0139"/>
        <s v="ORD-241124-0182"/>
        <s v="ORD-250714-0320"/>
        <s v="ORD-251030-0369"/>
        <s v="ORD-251110-0374"/>
        <s v="ORD-251210-0392"/>
        <s v="ORD-251230-0408"/>
        <s v="ORD-260131-0428"/>
        <s v="ORD-260211-0437"/>
        <s v="ORD-260318-0454"/>
        <s v="ORD-260326-0461"/>
        <s v="ORD-240118-0004"/>
        <s v="ORD-240409-0051"/>
        <s v="ORD-240424-0062"/>
        <s v="ORD-250107-0221"/>
        <s v="ORD-250325-0262"/>
        <s v="ORD-250421-0276"/>
        <s v="ORD-250607-0298"/>
        <s v="ORD-250906-0344"/>
        <s v="ORD-251013-0354"/>
        <s v="ORD-251111-0376"/>
        <s v="ORD-260226-0444"/>
        <s v="ORD-260511-0486"/>
        <s v="ORD-260522-0496"/>
        <s v="ORD-260522-0497"/>
        <s v="ORD-240201-0014"/>
        <s v="ORD-240203-0017"/>
        <s v="ORD-240311-0035"/>
        <s v="ORD-240622-0091"/>
        <s v="ORD-241013-0154"/>
        <s v="ORD-241204-0189"/>
        <s v="ORD-241209-0194"/>
        <s v="ORD-250122-0235"/>
        <s v="ORD-250201-0240"/>
        <s v="ORD-250224-0251"/>
        <s v="ORD-250318-0258"/>
        <s v="ORD-250502-0281"/>
        <s v="ORD-250618-0303"/>
        <s v="ORD-251109-0373"/>
        <s v="ORD-251227-0406"/>
        <s v="ORD-260113-0417"/>
        <s v="ORD-260220-0443"/>
        <s v="ORD-260322-0458"/>
        <s v="ORD-240118-0005"/>
        <s v="ORD-240127-0012"/>
        <s v="ORD-240309-0033"/>
        <s v="ORD-240829-0125"/>
        <s v="ORD-240924-0140"/>
        <s v="ORD-241010-0152"/>
        <s v="ORD-241015-0157"/>
        <s v="ORD-250226-0253"/>
        <s v="ORD-250401-0265"/>
        <s v="ORD-251205-0388"/>
        <s v="ORD-260103-0414"/>
        <s v="ORD-260404-0467"/>
        <s v="ORD-240622-0090"/>
        <s v="ORD-240811-0113"/>
        <s v="ORD-240825-0120"/>
        <s v="ORD-241014-0156"/>
        <s v="ORD-241204-0188"/>
        <s v="ORD-241212-0197"/>
        <s v="ORD-241225-0213"/>
        <s v="ORD-250422-0277"/>
        <s v="ORD-250525-0292"/>
        <s v="ORD-250704-0314"/>
        <s v="ORD-250820-0335"/>
        <s v="ORD-250822-0338"/>
        <s v="ORD-251030-0368"/>
        <s v="ORD-251116-0380"/>
        <s v="ORD-251121-0384"/>
        <s v="ORD-251220-0402"/>
        <s v="ORD-260210-0436"/>
        <s v="ORD-260319-0455"/>
        <s v="ORD-260417-0475"/>
        <s v="ORD-260428-0480"/>
        <s v="ORD-240408-0049"/>
        <s v="ORD-240525-0076"/>
        <s v="ORD-240602-0082"/>
        <s v="ORD-240810-0112"/>
        <s v="ORD-240905-0129"/>
        <s v="ORD-240910-0133"/>
        <s v="ORD-241112-0173"/>
        <s v="ORD-250223-0250"/>
        <s v="ORD-250418-0274"/>
        <s v="ORD-250428-0279"/>
        <s v="ORD-250501-0280"/>
        <s v="ORD-250811-0332"/>
        <s v="ORD-250908-0346"/>
        <s v="ORD-251013-0357"/>
        <s v="ORD-251120-0382"/>
        <s v="ORD-260114-0419"/>
        <s v="ORD-260122-0422"/>
        <s v="ORD-260201-0431"/>
        <s v="ORD-260211-0438"/>
        <s v="ORD-260514-0487"/>
        <s v="ORD-260516-0489"/>
        <s v="ORD-260519-0491"/>
        <s v="ORD-240124-0009"/>
        <s v="ORD-240623-0092"/>
        <s v="ORD-240629-0097"/>
        <s v="ORD-240723-0106"/>
        <s v="ORD-240927-0143"/>
        <s v="ORD-241207-0193"/>
        <s v="ORD-241224-0212"/>
        <s v="ORD-250806-0330"/>
        <s v="ORD-251218-0400"/>
        <s v="ORD-240410-0052"/>
        <s v="ORD-240601-0081"/>
        <s v="ORD-240827-0122"/>
        <s v="ORD-250620-0304"/>
        <s v="ORD-250728-0327"/>
        <s v="ORD-251016-0360"/>
        <s v="ORD-251204-0387"/>
        <s v="ORD-251227-0405"/>
        <s v="ORD-260227-0445"/>
        <s v="ORD-240523-0075"/>
        <s v="ORD-240821-0118"/>
        <s v="ORD-241118-0178"/>
        <s v="ORD-241206-0191"/>
        <s v="ORD-241227-0215"/>
        <s v="ORD-250116-0227"/>
        <s v="ORD-250409-0269"/>
        <s v="ORD-250509-0283"/>
        <s v="ORD-250722-0324"/>
        <s v="ORD-250815-0334"/>
        <s v="ORD-251212-0394"/>
        <s v="ORD-251218-0399"/>
        <s v="ORD-260325-0460"/>
        <s v="ORD-260520-0492"/>
        <s v="ORD-240109-0002"/>
        <s v="ORD-240219-0024"/>
        <s v="ORD-240321-0039"/>
        <s v="ORD-240413-0055"/>
        <s v="ORD-240624-0095"/>
        <s v="ORD-240715-0102"/>
        <s v="ORD-240731-0108"/>
        <s v="ORD-240921-0136"/>
        <s v="ORD-241007-0149"/>
        <s v="ORD-241012-0153"/>
        <s v="ORD-241030-0166"/>
        <s v="ORD-241210-0195"/>
        <s v="ORD-241219-0200"/>
        <s v="ORD-250124-0236"/>
        <s v="ORD-250219-0247"/>
        <s v="ORD-250407-0267"/>
        <s v="ORD-250925-0350"/>
        <s v="ORD-251011-0353"/>
        <s v="ORD-260103-0413"/>
        <s v="ORD-260315-0450"/>
        <s v="ORD-260505-0483"/>
        <s v="ORD-240207-0020"/>
        <s v="ORD-240302-0028"/>
        <s v="ORD-240414-0056"/>
        <s v="ORD-240606-0084"/>
        <s v="ORD-240621-0089"/>
        <s v="ORD-240623-0094"/>
        <s v="ORD-240624-0096"/>
        <s v="ORD-240717-0104"/>
        <s v="ORD-241020-0162"/>
        <s v="ORD-241220-0203"/>
        <s v="ORD-250117-0228"/>
        <s v="ORD-250216-0244"/>
        <s v="ORD-250324-0261"/>
        <s v="ORD-250504-0282"/>
        <s v="ORD-250602-0293"/>
        <s v="ORD-250602-0294"/>
        <s v="ORD-250604-0296"/>
        <s v="ORD-250704-0315"/>
        <s v="ORD-250824-0339"/>
        <s v="ORD-260104-0415"/>
        <s v="ORD-260114-0418"/>
        <s v="ORD-260202-0432"/>
        <s v="ORD-260509-0485"/>
        <s v="ORD-240407-0048"/>
        <s v="ORD-240530-0080"/>
        <s v="ORD-240826-0121"/>
        <s v="ORD-240921-0137"/>
        <s v="ORD-241221-0205"/>
        <s v="ORD-250407-0268"/>
        <s v="ORD-250518-0287"/>
        <s v="ORD-250523-0290"/>
        <s v="ORD-250624-0309"/>
        <s v="ORD-250812-0333"/>
        <s v="ORD-251110-0375"/>
        <s v="ORD-260204-0434"/>
        <s v="ORD-260406-0469"/>
        <s v="ORD-260521-0495"/>
        <s v="ORD-240101-0001"/>
        <s v="ORD-240128-0013"/>
        <s v="ORD-240206-0019"/>
        <s v="ORD-240427-0064"/>
        <s v="ORD-240502-0068"/>
        <s v="ORD-240708-0100"/>
        <s v="ORD-241028-0165"/>
        <s v="ORD-241121-0180"/>
        <s v="ORD-241121-0181"/>
        <s v="ORD-241201-0187"/>
        <s v="ORD-250120-0230"/>
        <s v="ORD-250316-0257"/>
        <s v="ORD-250524-0291"/>
        <s v="ORD-250622-0308"/>
        <s v="ORD-250706-0316"/>
        <s v="ORD-250708-0317"/>
        <s v="ORD-250711-0318"/>
        <s v="ORD-250805-0329"/>
        <s v="ORD-260131-0427"/>
        <s v="ORD-240312-0037"/>
        <s v="ORD-240329-0045"/>
        <s v="ORD-240925-0141"/>
        <s v="ORD-241003-0146"/>
        <s v="ORD-241010-0150"/>
        <s v="ORD-250118-0229"/>
        <s v="ORD-250215-0243"/>
        <s v="ORD-250727-0326"/>
        <s v="ORD-250802-0328"/>
        <s v="ORD-251206-0390"/>
        <s v="ORD-260401-0465"/>
      </sharedItems>
    </cacheField>
    <cacheField name="Zakaznik" numFmtId="0">
      <sharedItems/>
    </cacheField>
    <cacheField name="Segment" numFmtId="0">
      <sharedItems count="2">
        <s v="B2C"/>
        <s v="B2B"/>
      </sharedItems>
    </cacheField>
    <cacheField name="Region" numFmtId="0">
      <sharedItems/>
    </cacheField>
    <cacheField name="Kanal" numFmtId="0">
      <sharedItems count="3">
        <s v="E-shop"/>
        <s v="Prodejna"/>
        <s v="Velkoobchod"/>
      </sharedItems>
    </cacheField>
    <cacheField name="Kategorie" numFmtId="0">
      <sharedItems count="4">
        <s v="Kancelář"/>
        <s v="Elektronika"/>
        <s v="Domácnost"/>
        <s v="Sport"/>
      </sharedItems>
    </cacheField>
    <cacheField name="Produkt" numFmtId="0">
      <sharedItems/>
    </cacheField>
    <cacheField name="Obchodnik" numFmtId="0">
      <sharedItems/>
    </cacheField>
    <cacheField name="Mnozstvi" numFmtId="0">
      <sharedItems containsSemiMixedTypes="0" containsString="0" containsNumber="1" containsInteger="1" minValue="1" maxValue="14"/>
    </cacheField>
    <cacheField name="JednCena" numFmtId="0">
      <sharedItems containsSemiMixedTypes="0" containsString="0" containsNumber="1" containsInteger="1" minValue="20" maxValue="25465"/>
    </cacheField>
    <cacheField name="SlevaPct" numFmtId="0">
      <sharedItems containsSemiMixedTypes="0" containsString="0" containsNumber="1" minValue="0" maxValue="0.3"/>
    </cacheField>
    <cacheField name="Trzba" numFmtId="0">
      <sharedItems containsSemiMixedTypes="0" containsString="0" containsNumber="1" containsInteger="1" minValue="29" maxValue="274885"/>
    </cacheField>
    <cacheField name="Naklad" numFmtId="0">
      <sharedItems containsSemiMixedTypes="0" containsString="0" containsNumber="1" minValue="14.69" maxValue="224812.07"/>
    </cacheField>
    <cacheField name="Zisk" numFmtId="0">
      <sharedItems containsSemiMixedTypes="0" containsString="0" containsNumber="1" minValue="-82.740000000000009" maxValue="58252.829999999987"/>
    </cacheField>
    <cacheField name="Marža" numFmtId="9">
      <sharedItems containsSemiMixedTypes="0" containsString="0" containsNumber="1" minValue="-0.41370000000000007" maxValue="0.73767857142857152"/>
    </cacheField>
    <cacheField name="Rok" numFmtId="0">
      <sharedItems containsSemiMixedTypes="0" containsString="0" containsNumber="1" containsInteger="1" minValue="2024" maxValue="2026" count="3">
        <n v="2024"/>
        <n v="2025"/>
        <n v="2026"/>
      </sharedItems>
    </cacheField>
    <cacheField name="Mesiace" numFmtId="0">
      <sharedItems count="12">
        <s v="február"/>
        <s v="marec"/>
        <s v="máj"/>
        <s v="august"/>
        <s v="október"/>
        <s v="november"/>
        <s v="január"/>
        <s v="jún"/>
        <s v="september"/>
        <s v="apríl"/>
        <s v="december"/>
        <s v="júl"/>
      </sharedItems>
    </cacheField>
    <cacheField name="Mesiace (Datum)" numFmtId="0" databaseField="0">
      <fieldGroup base="0">
        <rangePr groupBy="months" startDate="2024-01-01T00:00:00" endDate="2026-05-31T00:00:00"/>
        <groupItems count="14">
          <s v="&lt;1.1.2024"/>
          <s v="1"/>
          <s v="2"/>
          <s v="3"/>
          <s v="4"/>
          <s v="5"/>
          <s v="6"/>
          <s v="7"/>
          <s v="8"/>
          <s v="9"/>
          <s v="10"/>
          <s v="11"/>
          <s v="12"/>
          <s v="&gt;31.5.2026"/>
        </groupItems>
      </fieldGroup>
    </cacheField>
    <cacheField name="Štvrťroky (Datum)" numFmtId="0" databaseField="0">
      <fieldGroup base="0">
        <rangePr groupBy="quarters" startDate="2024-01-01T00:00:00" endDate="2026-05-31T00:00:00"/>
        <groupItems count="6">
          <s v="&lt;1.1.2024"/>
          <s v="štv1"/>
          <s v="štv2"/>
          <s v="štv3"/>
          <s v="štv4"/>
          <s v="&gt;31.5.2026"/>
        </groupItems>
      </fieldGroup>
    </cacheField>
    <cacheField name="Roky (Datum)" numFmtId="0" databaseField="0">
      <fieldGroup base="0">
        <rangePr groupBy="years" startDate="2024-01-01T00:00:00" endDate="2026-05-31T00:00:00"/>
        <groupItems count="5">
          <s v="&lt;1.1.2024"/>
          <s v="2024"/>
          <s v="2025"/>
          <s v="2026"/>
          <s v="&gt;31.5.2026"/>
        </groupItems>
      </fieldGroup>
    </cacheField>
    <cacheField name="Marza" numFmtId="0" formula="Zisk/Trzba" databaseField="0"/>
    <cacheField name="Marza%" numFmtId="0" formula="Zisk/Trzba" databaseField="0"/>
  </cacheFields>
  <extLst>
    <ext xmlns:x14="http://schemas.microsoft.com/office/spreadsheetml/2009/9/main" uri="{725AE2AE-9491-48be-B2B4-4EB974FC3084}">
      <x14:pivotCacheDefinition pivotCacheId="14644326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s v="Jana Hájek"/>
    <x v="0"/>
    <s v="Čechy"/>
    <x v="0"/>
    <x v="0"/>
    <s v="Židle ergonomická"/>
    <s v="Beneš"/>
    <n v="2"/>
    <n v="4301"/>
    <n v="0.08"/>
    <n v="8602"/>
    <n v="4749.22"/>
    <n v="3852.7799999999997"/>
    <n v="0.44789351313647985"/>
    <x v="0"/>
    <x v="0"/>
  </r>
  <r>
    <x v="1"/>
    <x v="1"/>
    <s v="Daniel Novák"/>
    <x v="0"/>
    <s v="Čechy"/>
    <x v="0"/>
    <x v="0"/>
    <s v="Židle ergonomická"/>
    <s v="Beneš"/>
    <n v="3"/>
    <n v="5076"/>
    <n v="0.15"/>
    <n v="15228"/>
    <n v="8406.02"/>
    <n v="6821.98"/>
    <n v="0.44798923036511684"/>
    <x v="0"/>
    <x v="1"/>
  </r>
  <r>
    <x v="2"/>
    <x v="2"/>
    <s v="Alena Pokorný"/>
    <x v="0"/>
    <s v="Praha"/>
    <x v="0"/>
    <x v="0"/>
    <s v="Židle ergonomická"/>
    <s v="Fiala"/>
    <n v="2"/>
    <n v="5981"/>
    <n v="0.09"/>
    <n v="11962"/>
    <n v="8073.22"/>
    <n v="3888.7799999999997"/>
    <n v="0.32509446580839324"/>
    <x v="0"/>
    <x v="2"/>
  </r>
  <r>
    <x v="3"/>
    <x v="3"/>
    <s v="Alena Hájek"/>
    <x v="0"/>
    <s v="Čechy"/>
    <x v="0"/>
    <x v="0"/>
    <s v="Židle ergonomická"/>
    <s v="Veselý"/>
    <n v="1"/>
    <n v="4387"/>
    <n v="0"/>
    <n v="4387"/>
    <n v="2923.97"/>
    <n v="1463.0300000000002"/>
    <n v="0.33349213585593807"/>
    <x v="0"/>
    <x v="3"/>
  </r>
  <r>
    <x v="4"/>
    <x v="4"/>
    <s v="Jana Pokorný"/>
    <x v="0"/>
    <s v="Čechy"/>
    <x v="0"/>
    <x v="0"/>
    <s v="Židle ergonomická"/>
    <s v="Fiala"/>
    <n v="1"/>
    <n v="5212"/>
    <n v="7.0000000000000007E-2"/>
    <n v="5212"/>
    <n v="3194.96"/>
    <n v="2017.04"/>
    <n v="0.38699923254029162"/>
    <x v="0"/>
    <x v="4"/>
  </r>
  <r>
    <x v="5"/>
    <x v="5"/>
    <s v="Kateřina Veselý"/>
    <x v="0"/>
    <s v="Praha"/>
    <x v="0"/>
    <x v="0"/>
    <s v="Židle ergonomická"/>
    <s v="Novák"/>
    <n v="2"/>
    <n v="5339"/>
    <n v="0.03"/>
    <n v="10678"/>
    <n v="8430.85"/>
    <n v="2247.1499999999996"/>
    <n v="0.21044671286757816"/>
    <x v="0"/>
    <x v="4"/>
  </r>
  <r>
    <x v="6"/>
    <x v="6"/>
    <s v="Daniel Pokorný"/>
    <x v="0"/>
    <s v="Čechy"/>
    <x v="0"/>
    <x v="0"/>
    <s v="Židle ergonomická"/>
    <s v="Beneš"/>
    <n v="4"/>
    <n v="4076"/>
    <n v="0.12"/>
    <n v="16304"/>
    <n v="10704.5"/>
    <n v="5599.5"/>
    <n v="0.34344332679097156"/>
    <x v="0"/>
    <x v="5"/>
  </r>
  <r>
    <x v="7"/>
    <x v="7"/>
    <s v="Tomáš Jelínek"/>
    <x v="0"/>
    <s v="Čechy"/>
    <x v="1"/>
    <x v="0"/>
    <s v="Židle ergonomická"/>
    <s v="Beneš"/>
    <n v="2"/>
    <n v="5461"/>
    <n v="0.1"/>
    <n v="10922"/>
    <n v="6712.23"/>
    <n v="4209.7700000000004"/>
    <n v="0.3854394799487274"/>
    <x v="1"/>
    <x v="6"/>
  </r>
  <r>
    <x v="8"/>
    <x v="8"/>
    <s v="Martina Jelínek"/>
    <x v="0"/>
    <s v="Čechy"/>
    <x v="1"/>
    <x v="0"/>
    <s v="Židle ergonomická"/>
    <s v="Dvořák"/>
    <n v="1"/>
    <n v="3880"/>
    <n v="0.08"/>
    <n v="3880"/>
    <n v="2693.72"/>
    <n v="1186.2800000000002"/>
    <n v="0.30574226804123716"/>
    <x v="1"/>
    <x v="7"/>
  </r>
  <r>
    <x v="9"/>
    <x v="9"/>
    <s v="Orion a.s."/>
    <x v="1"/>
    <s v="Slezsko"/>
    <x v="0"/>
    <x v="0"/>
    <s v="Židle ergonomická"/>
    <s v="Svoboda"/>
    <n v="6"/>
    <n v="3521"/>
    <n v="0.05"/>
    <n v="21126"/>
    <n v="15852.54"/>
    <n v="5273.4599999999991"/>
    <n v="0.24961942629934675"/>
    <x v="1"/>
    <x v="3"/>
  </r>
  <r>
    <x v="10"/>
    <x v="10"/>
    <s v="Radek Veselý"/>
    <x v="0"/>
    <s v="Praha"/>
    <x v="0"/>
    <x v="0"/>
    <s v="Židle ergonomická"/>
    <s v="Veselý"/>
    <n v="3"/>
    <n v="5049"/>
    <n v="0.06"/>
    <n v="15147"/>
    <n v="10508.66"/>
    <n v="4638.34"/>
    <n v="0.30622169406483135"/>
    <x v="1"/>
    <x v="8"/>
  </r>
  <r>
    <x v="11"/>
    <x v="11"/>
    <s v="Anna Novák"/>
    <x v="0"/>
    <s v="Praha"/>
    <x v="0"/>
    <x v="0"/>
    <s v="Židle ergonomická"/>
    <s v="Fiala"/>
    <n v="2"/>
    <n v="6116"/>
    <n v="0.06"/>
    <n v="12232"/>
    <n v="9106.94"/>
    <n v="3125.0599999999995"/>
    <n v="0.25548234139960757"/>
    <x v="1"/>
    <x v="4"/>
  </r>
  <r>
    <x v="12"/>
    <x v="12"/>
    <s v="Omega s.r.o."/>
    <x v="1"/>
    <s v="Praha"/>
    <x v="2"/>
    <x v="0"/>
    <s v="Židle ergonomická"/>
    <s v="Veselý"/>
    <n v="10"/>
    <n v="4766"/>
    <n v="0.2"/>
    <n v="47660"/>
    <n v="31529.97"/>
    <n v="16130.029999999999"/>
    <n v="0.33843957196810742"/>
    <x v="1"/>
    <x v="5"/>
  </r>
  <r>
    <x v="13"/>
    <x v="13"/>
    <s v="Karel Novák"/>
    <x v="0"/>
    <s v="Slezsko"/>
    <x v="1"/>
    <x v="0"/>
    <s v="Židle ergonomická"/>
    <s v="Beneš"/>
    <n v="4"/>
    <n v="3945"/>
    <n v="0.08"/>
    <n v="15780"/>
    <n v="11306.24"/>
    <n v="4473.76"/>
    <n v="0.28350823827629912"/>
    <x v="2"/>
    <x v="1"/>
  </r>
  <r>
    <x v="14"/>
    <x v="14"/>
    <s v="Martin Hájek"/>
    <x v="0"/>
    <s v="Praha"/>
    <x v="2"/>
    <x v="0"/>
    <s v="Židle ergonomická"/>
    <s v="Kučera"/>
    <n v="2"/>
    <n v="4638"/>
    <n v="0.11"/>
    <n v="9276"/>
    <n v="5595.88"/>
    <n v="3680.12"/>
    <n v="0.39673566192324278"/>
    <x v="2"/>
    <x v="1"/>
  </r>
  <r>
    <x v="15"/>
    <x v="15"/>
    <s v="Tomáš Horák"/>
    <x v="0"/>
    <s v="Slezsko"/>
    <x v="0"/>
    <x v="0"/>
    <s v="Židle ergonomická"/>
    <s v="Kučera"/>
    <n v="2"/>
    <n v="3961"/>
    <n v="0.03"/>
    <n v="7922"/>
    <n v="5304.03"/>
    <n v="2617.9700000000003"/>
    <n v="0.33046831608179755"/>
    <x v="2"/>
    <x v="1"/>
  </r>
  <r>
    <x v="16"/>
    <x v="16"/>
    <s v="Tereza Hájek"/>
    <x v="0"/>
    <s v="Morava"/>
    <x v="1"/>
    <x v="0"/>
    <s v="Židle ergonomická"/>
    <s v="Novák"/>
    <n v="1"/>
    <n v="3763"/>
    <n v="0.05"/>
    <n v="3763"/>
    <n v="2438.7199999999998"/>
    <n v="1324.2800000000002"/>
    <n v="0.35192133935689612"/>
    <x v="2"/>
    <x v="9"/>
  </r>
  <r>
    <x v="17"/>
    <x v="17"/>
    <s v="Petr Horák"/>
    <x v="0"/>
    <s v="Morava"/>
    <x v="0"/>
    <x v="1"/>
    <s v="Webkamera HD"/>
    <s v="Novák"/>
    <n v="1"/>
    <n v="1518"/>
    <n v="0.14000000000000001"/>
    <n v="1518"/>
    <n v="1118.53"/>
    <n v="399.47"/>
    <n v="0.26315546772068515"/>
    <x v="0"/>
    <x v="9"/>
  </r>
  <r>
    <x v="18"/>
    <x v="18"/>
    <s v="Kappa s.r.o."/>
    <x v="1"/>
    <s v="Morava"/>
    <x v="2"/>
    <x v="1"/>
    <s v="Webkamera HD"/>
    <s v="Kučera"/>
    <n v="9"/>
    <n v="1643"/>
    <n v="0.14000000000000001"/>
    <n v="14787"/>
    <n v="9885.9500000000007"/>
    <n v="4901.0499999999993"/>
    <n v="0.3314431595320213"/>
    <x v="0"/>
    <x v="10"/>
  </r>
  <r>
    <x v="19"/>
    <x v="19"/>
    <s v="Markéta Novák"/>
    <x v="0"/>
    <s v="Čechy"/>
    <x v="1"/>
    <x v="1"/>
    <s v="Webkamera HD"/>
    <s v="Kučera"/>
    <n v="4"/>
    <n v="716"/>
    <n v="0.22"/>
    <n v="2864"/>
    <n v="1915.35"/>
    <n v="948.65000000000009"/>
    <n v="0.33123254189944135"/>
    <x v="0"/>
    <x v="10"/>
  </r>
  <r>
    <x v="20"/>
    <x v="20"/>
    <s v="Tomáš Beneš"/>
    <x v="0"/>
    <s v="Čechy"/>
    <x v="0"/>
    <x v="1"/>
    <s v="Webkamera HD"/>
    <s v="Svoboda"/>
    <n v="2"/>
    <n v="1744"/>
    <n v="0.01"/>
    <n v="3488"/>
    <n v="2805.15"/>
    <n v="682.84999999999991"/>
    <n v="0.19577121559633026"/>
    <x v="1"/>
    <x v="0"/>
  </r>
  <r>
    <x v="21"/>
    <x v="21"/>
    <s v="Anna Veselý"/>
    <x v="0"/>
    <s v="Praha"/>
    <x v="0"/>
    <x v="1"/>
    <s v="Webkamera HD"/>
    <s v="Dvořák"/>
    <n v="1"/>
    <n v="1547"/>
    <n v="7.0000000000000007E-2"/>
    <n v="1547"/>
    <n v="1248.0999999999999"/>
    <n v="298.90000000000009"/>
    <n v="0.19321266968325798"/>
    <x v="1"/>
    <x v="4"/>
  </r>
  <r>
    <x v="22"/>
    <x v="22"/>
    <s v="Jan Svoboda"/>
    <x v="0"/>
    <s v="Praha"/>
    <x v="0"/>
    <x v="1"/>
    <s v="Webkamera HD"/>
    <s v="Fiala"/>
    <n v="4"/>
    <n v="789"/>
    <n v="0.02"/>
    <n v="3156"/>
    <n v="2678.77"/>
    <n v="477.23"/>
    <n v="0.15121356147021547"/>
    <x v="1"/>
    <x v="4"/>
  </r>
  <r>
    <x v="23"/>
    <x v="23"/>
    <s v="Tereza Horák"/>
    <x v="0"/>
    <s v="Morava"/>
    <x v="0"/>
    <x v="1"/>
    <s v="Webkamera HD"/>
    <s v="Fiala"/>
    <n v="4"/>
    <n v="728"/>
    <n v="7.0000000000000007E-2"/>
    <n v="2912"/>
    <n v="2206.91"/>
    <n v="705.09000000000015"/>
    <n v="0.24213255494505501"/>
    <x v="1"/>
    <x v="5"/>
  </r>
  <r>
    <x v="24"/>
    <x v="24"/>
    <s v="Orion a.s."/>
    <x v="1"/>
    <s v="Čechy"/>
    <x v="1"/>
    <x v="2"/>
    <s v="Vysavač tyčový"/>
    <s v="Král"/>
    <n v="10"/>
    <n v="3354"/>
    <n v="0"/>
    <n v="33540"/>
    <n v="25346.61"/>
    <n v="8193.39"/>
    <n v="0.24428711985688728"/>
    <x v="0"/>
    <x v="0"/>
  </r>
  <r>
    <x v="25"/>
    <x v="25"/>
    <s v="Václav Novotný"/>
    <x v="0"/>
    <s v="Praha"/>
    <x v="0"/>
    <x v="2"/>
    <s v="Vysavač tyčový"/>
    <s v="Beneš"/>
    <n v="1"/>
    <n v="6684"/>
    <n v="0.09"/>
    <n v="6684"/>
    <n v="4242.88"/>
    <n v="2441.12"/>
    <n v="0.36521843207660082"/>
    <x v="0"/>
    <x v="9"/>
  </r>
  <r>
    <x v="26"/>
    <x v="26"/>
    <s v="Alena Černý"/>
    <x v="0"/>
    <s v="Slezsko"/>
    <x v="1"/>
    <x v="2"/>
    <s v="Vysavač tyčový"/>
    <s v="Fiala"/>
    <n v="1"/>
    <n v="4540"/>
    <n v="0.04"/>
    <n v="4540"/>
    <n v="3213.24"/>
    <n v="1326.7600000000002"/>
    <n v="0.29223788546255514"/>
    <x v="0"/>
    <x v="5"/>
  </r>
  <r>
    <x v="18"/>
    <x v="27"/>
    <s v="Radek Král"/>
    <x v="0"/>
    <s v="Praha"/>
    <x v="0"/>
    <x v="2"/>
    <s v="Vysavač tyčový"/>
    <s v="Svoboda"/>
    <n v="2"/>
    <n v="5312"/>
    <n v="0.13"/>
    <n v="10624"/>
    <n v="5479.64"/>
    <n v="5144.3599999999997"/>
    <n v="0.48422063253012043"/>
    <x v="0"/>
    <x v="10"/>
  </r>
  <r>
    <x v="27"/>
    <x v="28"/>
    <s v="Alfa s.r.o."/>
    <x v="1"/>
    <s v="Praha"/>
    <x v="1"/>
    <x v="2"/>
    <s v="Vysavač tyčový"/>
    <s v="Fiala"/>
    <n v="7"/>
    <n v="6783"/>
    <n v="0.11"/>
    <n v="47481"/>
    <n v="30036.36"/>
    <n v="17444.64"/>
    <n v="0.36740253996335376"/>
    <x v="0"/>
    <x v="10"/>
  </r>
  <r>
    <x v="28"/>
    <x v="29"/>
    <s v="Michal Fiala"/>
    <x v="0"/>
    <s v="Morava"/>
    <x v="0"/>
    <x v="2"/>
    <s v="Vysavač tyčový"/>
    <s v="Veselý"/>
    <n v="2"/>
    <n v="4493"/>
    <n v="0.04"/>
    <n v="8986"/>
    <n v="6906.02"/>
    <n v="2079.9799999999996"/>
    <n v="0.23146895170264853"/>
    <x v="1"/>
    <x v="6"/>
  </r>
  <r>
    <x v="29"/>
    <x v="30"/>
    <s v="Lukáš Veselý"/>
    <x v="0"/>
    <s v="Praha"/>
    <x v="1"/>
    <x v="2"/>
    <s v="Vysavač tyčový"/>
    <s v="Král"/>
    <n v="3"/>
    <n v="5434"/>
    <n v="0.15"/>
    <n v="16302"/>
    <n v="10198.92"/>
    <n v="6103.08"/>
    <n v="0.37437615016562387"/>
    <x v="1"/>
    <x v="0"/>
  </r>
  <r>
    <x v="30"/>
    <x v="31"/>
    <s v="Eliška Fiala"/>
    <x v="0"/>
    <s v="Morava"/>
    <x v="1"/>
    <x v="2"/>
    <s v="Vysavač tyčový"/>
    <s v="Fiala"/>
    <n v="5"/>
    <n v="7587"/>
    <n v="0.08"/>
    <n v="37935"/>
    <n v="25000.61"/>
    <n v="12934.39"/>
    <n v="0.34096190852774483"/>
    <x v="1"/>
    <x v="7"/>
  </r>
  <r>
    <x v="31"/>
    <x v="32"/>
    <s v="Martin Procházka"/>
    <x v="0"/>
    <s v="Praha"/>
    <x v="1"/>
    <x v="2"/>
    <s v="Vysavač tyčový"/>
    <s v="Beneš"/>
    <n v="3"/>
    <n v="6120"/>
    <n v="0.06"/>
    <n v="18360"/>
    <n v="13329.51"/>
    <n v="5030.49"/>
    <n v="0.27399183006535949"/>
    <x v="1"/>
    <x v="4"/>
  </r>
  <r>
    <x v="32"/>
    <x v="33"/>
    <s v="Michal Pospíšil"/>
    <x v="0"/>
    <s v="Praha"/>
    <x v="1"/>
    <x v="2"/>
    <s v="Vysavač tyčový"/>
    <s v="Dvořák"/>
    <n v="4"/>
    <n v="4125"/>
    <n v="0"/>
    <n v="16500"/>
    <n v="12922.5"/>
    <n v="3577.5"/>
    <n v="0.21681818181818183"/>
    <x v="1"/>
    <x v="5"/>
  </r>
  <r>
    <x v="33"/>
    <x v="34"/>
    <s v="Markéta Černý"/>
    <x v="0"/>
    <s v="Praha"/>
    <x v="0"/>
    <x v="2"/>
    <s v="Vysavač tyčový"/>
    <s v="Kučera"/>
    <n v="2"/>
    <n v="3997"/>
    <n v="0.14000000000000001"/>
    <n v="7994"/>
    <n v="5146.74"/>
    <n v="2847.26"/>
    <n v="0.35617463097322993"/>
    <x v="1"/>
    <x v="10"/>
  </r>
  <r>
    <x v="34"/>
    <x v="35"/>
    <s v="Kappa s.r.o."/>
    <x v="1"/>
    <s v="Praha"/>
    <x v="2"/>
    <x v="2"/>
    <s v="Vysavač tyčový"/>
    <s v="Novák"/>
    <n v="9"/>
    <n v="5388"/>
    <n v="0.12"/>
    <n v="48492"/>
    <n v="32528.26"/>
    <n v="15963.740000000002"/>
    <n v="0.32920357997195415"/>
    <x v="2"/>
    <x v="6"/>
  </r>
  <r>
    <x v="35"/>
    <x v="36"/>
    <s v="Jiří Horák"/>
    <x v="0"/>
    <s v="Slezsko"/>
    <x v="1"/>
    <x v="2"/>
    <s v="Vysavač tyčový"/>
    <s v="Veselý"/>
    <n v="5"/>
    <n v="3441"/>
    <n v="0.11"/>
    <n v="17205"/>
    <n v="11519.06"/>
    <n v="5685.9400000000005"/>
    <n v="0.33048183667538511"/>
    <x v="2"/>
    <x v="1"/>
  </r>
  <r>
    <x v="36"/>
    <x v="37"/>
    <s v="Karel Svoboda"/>
    <x v="0"/>
    <s v="Morava"/>
    <x v="0"/>
    <x v="2"/>
    <s v="Vysavač tyčový"/>
    <s v="Novák"/>
    <n v="1"/>
    <n v="4089"/>
    <n v="7.0000000000000007E-2"/>
    <n v="4089"/>
    <n v="2676.44"/>
    <n v="1412.56"/>
    <n v="0.34545365615064805"/>
    <x v="2"/>
    <x v="9"/>
  </r>
  <r>
    <x v="37"/>
    <x v="38"/>
    <s v="Václav Němec"/>
    <x v="0"/>
    <s v="Morava"/>
    <x v="0"/>
    <x v="2"/>
    <s v="Vysavač tyčový"/>
    <s v="Svoboda"/>
    <n v="1"/>
    <n v="3679"/>
    <n v="0"/>
    <n v="3679"/>
    <n v="2493.13"/>
    <n v="1185.8699999999999"/>
    <n v="0.32233487360695839"/>
    <x v="2"/>
    <x v="2"/>
  </r>
  <r>
    <x v="38"/>
    <x v="39"/>
    <s v="Karolína Kučera"/>
    <x v="0"/>
    <s v="Čechy"/>
    <x v="0"/>
    <x v="2"/>
    <s v="Vysavač tyčový"/>
    <s v="Dvořák"/>
    <n v="2"/>
    <n v="4274"/>
    <n v="0.02"/>
    <n v="8548"/>
    <n v="6227.01"/>
    <n v="2320.9899999999998"/>
    <n v="0.27152433317735142"/>
    <x v="2"/>
    <x v="2"/>
  </r>
  <r>
    <x v="39"/>
    <x v="40"/>
    <s v="Eliška Pokorný"/>
    <x v="0"/>
    <s v="Praha"/>
    <x v="0"/>
    <x v="2"/>
    <s v="Topinkovač"/>
    <s v="Beneš"/>
    <n v="3"/>
    <n v="789"/>
    <n v="0.11"/>
    <n v="2367"/>
    <n v="1797.49"/>
    <n v="569.51"/>
    <n v="0.24060414026193494"/>
    <x v="0"/>
    <x v="1"/>
  </r>
  <r>
    <x v="40"/>
    <x v="41"/>
    <s v="Jana Beneš"/>
    <x v="0"/>
    <s v="Čechy"/>
    <x v="2"/>
    <x v="2"/>
    <s v="Topinkovač"/>
    <s v="Novák"/>
    <n v="1"/>
    <n v="1194"/>
    <n v="7.0000000000000007E-2"/>
    <n v="1194"/>
    <n v="934.68"/>
    <n v="259.32000000000005"/>
    <n v="0.21718592964824124"/>
    <x v="0"/>
    <x v="9"/>
  </r>
  <r>
    <x v="41"/>
    <x v="42"/>
    <s v="Delta a.s."/>
    <x v="1"/>
    <s v="Praha"/>
    <x v="2"/>
    <x v="2"/>
    <s v="Topinkovač"/>
    <s v="Král"/>
    <n v="6"/>
    <n v="728"/>
    <n v="0.09"/>
    <n v="4368"/>
    <n v="2703.8"/>
    <n v="1664.1999999999998"/>
    <n v="0.38099816849816848"/>
    <x v="0"/>
    <x v="2"/>
  </r>
  <r>
    <x v="42"/>
    <x v="43"/>
    <s v="David Procházka"/>
    <x v="0"/>
    <s v="Morava"/>
    <x v="1"/>
    <x v="2"/>
    <s v="Topinkovač"/>
    <s v="Kučera"/>
    <n v="2"/>
    <n v="1510"/>
    <n v="0.06"/>
    <n v="3020"/>
    <n v="2025.01"/>
    <n v="994.99"/>
    <n v="0.32946688741721852"/>
    <x v="0"/>
    <x v="11"/>
  </r>
  <r>
    <x v="43"/>
    <x v="44"/>
    <s v="Václav Svoboda"/>
    <x v="0"/>
    <s v="Čechy"/>
    <x v="0"/>
    <x v="2"/>
    <s v="Topinkovač"/>
    <s v="Dvořák"/>
    <n v="4"/>
    <n v="883"/>
    <n v="0.02"/>
    <n v="3532"/>
    <n v="2765.08"/>
    <n v="766.92000000000007"/>
    <n v="0.21713476783691962"/>
    <x v="0"/>
    <x v="4"/>
  </r>
  <r>
    <x v="44"/>
    <x v="45"/>
    <s v="Ondřej Pokorný"/>
    <x v="0"/>
    <s v="Čechy"/>
    <x v="1"/>
    <x v="2"/>
    <s v="Topinkovač"/>
    <s v="Fiala"/>
    <n v="1"/>
    <n v="884"/>
    <n v="0.1"/>
    <n v="884"/>
    <n v="692.31"/>
    <n v="191.69000000000005"/>
    <n v="0.21684389140271498"/>
    <x v="0"/>
    <x v="10"/>
  </r>
  <r>
    <x v="45"/>
    <x v="46"/>
    <s v="Beta a.s."/>
    <x v="1"/>
    <s v="Praha"/>
    <x v="2"/>
    <x v="2"/>
    <s v="Topinkovač"/>
    <s v="Kučera"/>
    <n v="8"/>
    <n v="910"/>
    <n v="0.08"/>
    <n v="7280"/>
    <n v="5871.78"/>
    <n v="1408.2200000000003"/>
    <n v="0.19343681318681322"/>
    <x v="0"/>
    <x v="10"/>
  </r>
  <r>
    <x v="46"/>
    <x v="47"/>
    <s v="Karolína Beneš"/>
    <x v="0"/>
    <s v="Čechy"/>
    <x v="0"/>
    <x v="2"/>
    <s v="Topinkovač"/>
    <s v="Veselý"/>
    <n v="5"/>
    <n v="645"/>
    <n v="7.0000000000000007E-2"/>
    <n v="3225"/>
    <n v="2174.23"/>
    <n v="1050.77"/>
    <n v="0.32582015503875966"/>
    <x v="0"/>
    <x v="10"/>
  </r>
  <r>
    <x v="47"/>
    <x v="48"/>
    <s v="Anna Svoboda"/>
    <x v="0"/>
    <s v="Praha"/>
    <x v="1"/>
    <x v="2"/>
    <s v="Topinkovač"/>
    <s v="Dvořák"/>
    <n v="5"/>
    <n v="937"/>
    <n v="0.14000000000000001"/>
    <n v="4685"/>
    <n v="3005.28"/>
    <n v="1679.7199999999998"/>
    <n v="0.35853148345784414"/>
    <x v="1"/>
    <x v="2"/>
  </r>
  <r>
    <x v="48"/>
    <x v="49"/>
    <s v="Radek Černý"/>
    <x v="0"/>
    <s v="Čechy"/>
    <x v="0"/>
    <x v="2"/>
    <s v="Topinkovač"/>
    <s v="Beneš"/>
    <n v="3"/>
    <n v="1008"/>
    <n v="7.0000000000000007E-2"/>
    <n v="3024"/>
    <n v="2325.92"/>
    <n v="698.07999999999993"/>
    <n v="0.23084656084656083"/>
    <x v="1"/>
    <x v="2"/>
  </r>
  <r>
    <x v="49"/>
    <x v="50"/>
    <s v="Beta a.s."/>
    <x v="1"/>
    <s v="Čechy"/>
    <x v="1"/>
    <x v="2"/>
    <s v="Topinkovač"/>
    <s v="Dvořák"/>
    <n v="7"/>
    <n v="816"/>
    <n v="7.0000000000000007E-2"/>
    <n v="5712"/>
    <n v="3866.14"/>
    <n v="1845.8600000000001"/>
    <n v="0.32315476190476194"/>
    <x v="1"/>
    <x v="2"/>
  </r>
  <r>
    <x v="50"/>
    <x v="51"/>
    <s v="Lukáš Svoboda"/>
    <x v="0"/>
    <s v="Čechy"/>
    <x v="0"/>
    <x v="2"/>
    <s v="Topinkovač"/>
    <s v="Veselý"/>
    <n v="4"/>
    <n v="792"/>
    <n v="0"/>
    <n v="3168"/>
    <n v="2681.96"/>
    <n v="486.03999999999996"/>
    <n v="0.15342171717171715"/>
    <x v="1"/>
    <x v="2"/>
  </r>
  <r>
    <x v="51"/>
    <x v="52"/>
    <s v="Beta a.s."/>
    <x v="1"/>
    <s v="Praha"/>
    <x v="2"/>
    <x v="2"/>
    <s v="Topinkovač"/>
    <s v="Veselý"/>
    <n v="13"/>
    <n v="619"/>
    <n v="0.13"/>
    <n v="8047"/>
    <n v="5002.0200000000004"/>
    <n v="3044.9799999999996"/>
    <n v="0.37839940350441154"/>
    <x v="1"/>
    <x v="7"/>
  </r>
  <r>
    <x v="52"/>
    <x v="53"/>
    <s v="Orion a.s."/>
    <x v="1"/>
    <s v="Čechy"/>
    <x v="0"/>
    <x v="2"/>
    <s v="Topinkovač"/>
    <s v="Fiala"/>
    <n v="6"/>
    <n v="793"/>
    <n v="0.18"/>
    <n v="4758"/>
    <n v="2862.57"/>
    <n v="1895.4299999999998"/>
    <n v="0.39836696090794449"/>
    <x v="1"/>
    <x v="4"/>
  </r>
  <r>
    <x v="53"/>
    <x v="54"/>
    <s v="Anna Kučera"/>
    <x v="0"/>
    <s v="Praha"/>
    <x v="0"/>
    <x v="2"/>
    <s v="Topinkovač"/>
    <s v="Fiala"/>
    <n v="2"/>
    <n v="1334"/>
    <n v="0.12"/>
    <n v="2668"/>
    <n v="1877.19"/>
    <n v="790.81"/>
    <n v="0.29640554722638679"/>
    <x v="1"/>
    <x v="10"/>
  </r>
  <r>
    <x v="54"/>
    <x v="55"/>
    <s v="Martin Novotný"/>
    <x v="0"/>
    <s v="Morava"/>
    <x v="0"/>
    <x v="2"/>
    <s v="Topinkovač"/>
    <s v="Kučera"/>
    <n v="2"/>
    <n v="808"/>
    <n v="0.08"/>
    <n v="1616"/>
    <n v="979.89"/>
    <n v="636.11"/>
    <n v="0.39363242574257429"/>
    <x v="2"/>
    <x v="6"/>
  </r>
  <r>
    <x v="55"/>
    <x v="56"/>
    <s v="Michal Beneš"/>
    <x v="0"/>
    <s v="Praha"/>
    <x v="0"/>
    <x v="2"/>
    <s v="Topinkovač"/>
    <s v="Veselý"/>
    <n v="3"/>
    <n v="725"/>
    <n v="0.04"/>
    <n v="2175"/>
    <n v="1652.55"/>
    <n v="522.45000000000005"/>
    <n v="0.24020689655172417"/>
    <x v="2"/>
    <x v="1"/>
  </r>
  <r>
    <x v="56"/>
    <x v="57"/>
    <s v="Veronika Dvořák"/>
    <x v="0"/>
    <s v="Čechy"/>
    <x v="0"/>
    <x v="2"/>
    <s v="Topinkovač"/>
    <s v="Král"/>
    <n v="2"/>
    <n v="1190"/>
    <n v="0.05"/>
    <n v="2380"/>
    <n v="1346.61"/>
    <n v="1033.3900000000001"/>
    <n v="0.43419747899159666"/>
    <x v="2"/>
    <x v="1"/>
  </r>
  <r>
    <x v="57"/>
    <x v="58"/>
    <s v="Radek Jelínek"/>
    <x v="0"/>
    <s v="Čechy"/>
    <x v="1"/>
    <x v="0"/>
    <s v="Toner HP 12A"/>
    <s v="Svoboda"/>
    <n v="2"/>
    <n v="1671"/>
    <n v="0.03"/>
    <n v="3342"/>
    <n v="2060.4899999999998"/>
    <n v="1281.5100000000002"/>
    <n v="0.38345601436265714"/>
    <x v="0"/>
    <x v="2"/>
  </r>
  <r>
    <x v="58"/>
    <x v="59"/>
    <s v="Eliška Dvořák"/>
    <x v="0"/>
    <s v="Morava"/>
    <x v="0"/>
    <x v="0"/>
    <s v="Toner HP 12A"/>
    <s v="Svoboda"/>
    <n v="3"/>
    <n v="1561"/>
    <n v="0.05"/>
    <n v="4683"/>
    <n v="3126.78"/>
    <n v="1556.2199999999998"/>
    <n v="0.33231262011531065"/>
    <x v="0"/>
    <x v="8"/>
  </r>
  <r>
    <x v="59"/>
    <x v="60"/>
    <s v="Eliška Němec"/>
    <x v="0"/>
    <s v="Praha"/>
    <x v="0"/>
    <x v="0"/>
    <s v="Toner HP 12A"/>
    <s v="Svoboda"/>
    <n v="4"/>
    <n v="1650"/>
    <n v="0.15"/>
    <n v="6600"/>
    <n v="3530.57"/>
    <n v="3069.43"/>
    <n v="0.46506515151515149"/>
    <x v="0"/>
    <x v="4"/>
  </r>
  <r>
    <x v="60"/>
    <x v="61"/>
    <s v="Lukáš Fiala"/>
    <x v="0"/>
    <s v="Čechy"/>
    <x v="1"/>
    <x v="0"/>
    <s v="Toner HP 12A"/>
    <s v="Král"/>
    <n v="1"/>
    <n v="2097"/>
    <n v="0.01"/>
    <n v="2097"/>
    <n v="1325.43"/>
    <n v="771.56999999999994"/>
    <n v="0.36793991416309008"/>
    <x v="0"/>
    <x v="4"/>
  </r>
  <r>
    <x v="61"/>
    <x v="62"/>
    <s v="Tomáš Beneš"/>
    <x v="0"/>
    <s v="Morava"/>
    <x v="0"/>
    <x v="0"/>
    <s v="Toner HP 12A"/>
    <s v="Kučera"/>
    <n v="3"/>
    <n v="1885"/>
    <n v="0.24"/>
    <n v="5655"/>
    <n v="3191.95"/>
    <n v="2463.0500000000002"/>
    <n v="0.43555260831122905"/>
    <x v="0"/>
    <x v="10"/>
  </r>
  <r>
    <x v="62"/>
    <x v="63"/>
    <s v="Jiří Novotný"/>
    <x v="0"/>
    <s v="Morava"/>
    <x v="0"/>
    <x v="0"/>
    <s v="Toner HP 12A"/>
    <s v="Dvořák"/>
    <n v="5"/>
    <n v="1956"/>
    <n v="0.02"/>
    <n v="9780"/>
    <n v="6374.6"/>
    <n v="3405.3999999999996"/>
    <n v="0.34820040899795496"/>
    <x v="0"/>
    <x v="10"/>
  </r>
  <r>
    <x v="63"/>
    <x v="64"/>
    <s v="Daniel Svoboda"/>
    <x v="0"/>
    <s v="Morava"/>
    <x v="1"/>
    <x v="0"/>
    <s v="Toner HP 12A"/>
    <s v="Svoboda"/>
    <n v="2"/>
    <n v="1416"/>
    <n v="0.16"/>
    <n v="2832"/>
    <n v="1701.36"/>
    <n v="1130.6400000000001"/>
    <n v="0.39923728813559328"/>
    <x v="1"/>
    <x v="6"/>
  </r>
  <r>
    <x v="64"/>
    <x v="65"/>
    <s v="Daniel Veselý"/>
    <x v="0"/>
    <s v="Praha"/>
    <x v="1"/>
    <x v="0"/>
    <s v="Toner HP 12A"/>
    <s v="Beneš"/>
    <n v="2"/>
    <n v="1904"/>
    <n v="0.01"/>
    <n v="3808"/>
    <n v="3242.98"/>
    <n v="565.02"/>
    <n v="0.14837710084033612"/>
    <x v="1"/>
    <x v="6"/>
  </r>
  <r>
    <x v="65"/>
    <x v="66"/>
    <s v="Beta a.s."/>
    <x v="1"/>
    <s v="Praha"/>
    <x v="1"/>
    <x v="0"/>
    <s v="Toner HP 12A"/>
    <s v="Dvořák"/>
    <n v="6"/>
    <n v="1657"/>
    <n v="0.09"/>
    <n v="9942"/>
    <n v="6249.61"/>
    <n v="3692.3900000000003"/>
    <n v="0.37139307986320663"/>
    <x v="1"/>
    <x v="0"/>
  </r>
  <r>
    <x v="66"/>
    <x v="67"/>
    <s v="Petra Dvořák"/>
    <x v="0"/>
    <s v="Morava"/>
    <x v="1"/>
    <x v="0"/>
    <s v="Toner HP 12A"/>
    <s v="Beneš"/>
    <n v="2"/>
    <n v="1538"/>
    <n v="0.02"/>
    <n v="3076"/>
    <n v="2068.9899999999998"/>
    <n v="1007.0100000000002"/>
    <n v="0.32737646293888173"/>
    <x v="1"/>
    <x v="1"/>
  </r>
  <r>
    <x v="67"/>
    <x v="68"/>
    <s v="Martina Veselý"/>
    <x v="0"/>
    <s v="Čechy"/>
    <x v="0"/>
    <x v="0"/>
    <s v="Toner HP 12A"/>
    <s v="Fiala"/>
    <n v="3"/>
    <n v="1780"/>
    <n v="7.0000000000000007E-2"/>
    <n v="5340"/>
    <n v="3860.34"/>
    <n v="1479.6599999999999"/>
    <n v="0.27708988764044939"/>
    <x v="1"/>
    <x v="11"/>
  </r>
  <r>
    <x v="68"/>
    <x v="69"/>
    <s v="Veronika Pospíšil"/>
    <x v="0"/>
    <s v="Slezsko"/>
    <x v="1"/>
    <x v="0"/>
    <s v="Toner HP 12A"/>
    <s v="Svoboda"/>
    <n v="1"/>
    <n v="2128"/>
    <n v="0.1"/>
    <n v="2128"/>
    <n v="1455.46"/>
    <n v="672.54"/>
    <n v="0.31604323308270676"/>
    <x v="1"/>
    <x v="3"/>
  </r>
  <r>
    <x v="54"/>
    <x v="70"/>
    <s v="Karolína Hájek"/>
    <x v="0"/>
    <s v="Praha"/>
    <x v="1"/>
    <x v="0"/>
    <s v="Toner HP 12A"/>
    <s v="Veselý"/>
    <n v="7"/>
    <n v="1531"/>
    <n v="0.1"/>
    <n v="10717"/>
    <n v="6299.28"/>
    <n v="4417.72"/>
    <n v="0.41221610525333585"/>
    <x v="2"/>
    <x v="6"/>
  </r>
  <r>
    <x v="69"/>
    <x v="71"/>
    <s v="Filip Černý"/>
    <x v="0"/>
    <s v="Čechy"/>
    <x v="0"/>
    <x v="0"/>
    <s v="Toner HP 12A"/>
    <s v="Kučera"/>
    <n v="1"/>
    <n v="2139"/>
    <n v="0.15"/>
    <n v="2139"/>
    <n v="1396.46"/>
    <n v="742.54"/>
    <n v="0.34714352501168771"/>
    <x v="2"/>
    <x v="6"/>
  </r>
  <r>
    <x v="70"/>
    <x v="72"/>
    <s v="Radek Beneš"/>
    <x v="0"/>
    <s v="Morava"/>
    <x v="1"/>
    <x v="0"/>
    <s v="Toner HP 12A"/>
    <s v="Král"/>
    <n v="3"/>
    <n v="2105"/>
    <n v="0.02"/>
    <n v="6315"/>
    <n v="3651.47"/>
    <n v="2663.53"/>
    <n v="0.42177830562153606"/>
    <x v="2"/>
    <x v="0"/>
  </r>
  <r>
    <x v="71"/>
    <x v="73"/>
    <s v="Orion a.s."/>
    <x v="1"/>
    <s v="Slezsko"/>
    <x v="2"/>
    <x v="0"/>
    <s v="Toner HP 12A"/>
    <s v="Dvořák"/>
    <n v="8"/>
    <n v="1703"/>
    <n v="0.11"/>
    <n v="13624"/>
    <n v="6657"/>
    <n v="6967"/>
    <n v="0.51137698179682911"/>
    <x v="2"/>
    <x v="9"/>
  </r>
  <r>
    <x v="72"/>
    <x v="74"/>
    <s v="Lucie Dvořák"/>
    <x v="0"/>
    <s v="Čechy"/>
    <x v="1"/>
    <x v="0"/>
    <s v="Toner HP 12A"/>
    <s v="Svoboda"/>
    <n v="2"/>
    <n v="1708"/>
    <n v="0.08"/>
    <n v="3416"/>
    <n v="2391.2800000000002"/>
    <n v="1024.7199999999998"/>
    <n v="0.29997658079625289"/>
    <x v="2"/>
    <x v="9"/>
  </r>
  <r>
    <x v="73"/>
    <x v="75"/>
    <s v="Vltava s.r.o."/>
    <x v="1"/>
    <s v="Čechy"/>
    <x v="0"/>
    <x v="0"/>
    <s v="Toner HP 12A"/>
    <s v="Veselý"/>
    <n v="7"/>
    <n v="2010"/>
    <n v="0.06"/>
    <n v="14070"/>
    <n v="9348.89"/>
    <n v="4721.1100000000006"/>
    <n v="0.33554442075337604"/>
    <x v="2"/>
    <x v="2"/>
  </r>
  <r>
    <x v="74"/>
    <x v="76"/>
    <s v="Veronika Veselý"/>
    <x v="0"/>
    <s v="Slezsko"/>
    <x v="0"/>
    <x v="3"/>
    <s v="Švihadlo"/>
    <s v="Svoboda"/>
    <n v="1"/>
    <n v="172"/>
    <n v="0.13"/>
    <n v="172"/>
    <n v="110.15"/>
    <n v="61.849999999999994"/>
    <n v="0.35959302325581394"/>
    <x v="0"/>
    <x v="9"/>
  </r>
  <r>
    <x v="64"/>
    <x v="77"/>
    <s v="Radek Král"/>
    <x v="0"/>
    <s v="Praha"/>
    <x v="0"/>
    <x v="3"/>
    <s v="Švihadlo"/>
    <s v="Novák"/>
    <n v="1"/>
    <n v="189"/>
    <n v="0.05"/>
    <n v="189"/>
    <n v="89.69"/>
    <n v="99.31"/>
    <n v="0.5254497354497355"/>
    <x v="1"/>
    <x v="6"/>
  </r>
  <r>
    <x v="75"/>
    <x v="78"/>
    <s v="Kappa s.r.o."/>
    <x v="1"/>
    <s v="Praha"/>
    <x v="1"/>
    <x v="3"/>
    <s v="Švihadlo"/>
    <s v="Beneš"/>
    <n v="8"/>
    <n v="222"/>
    <n v="0.02"/>
    <n v="1776"/>
    <n v="1131.0999999999999"/>
    <n v="644.90000000000009"/>
    <n v="0.36311936936936939"/>
    <x v="1"/>
    <x v="0"/>
  </r>
  <r>
    <x v="29"/>
    <x v="79"/>
    <s v="Markéta Novák"/>
    <x v="0"/>
    <s v="Čechy"/>
    <x v="0"/>
    <x v="3"/>
    <s v="Švihadlo"/>
    <s v="Dvořák"/>
    <n v="1"/>
    <n v="156"/>
    <n v="0.05"/>
    <n v="156"/>
    <n v="94"/>
    <n v="62"/>
    <n v="0.39743589743589741"/>
    <x v="1"/>
    <x v="0"/>
  </r>
  <r>
    <x v="76"/>
    <x v="80"/>
    <s v="Tereza Novák"/>
    <x v="0"/>
    <s v="Praha"/>
    <x v="1"/>
    <x v="3"/>
    <s v="Švihadlo"/>
    <s v="Kučera"/>
    <n v="3"/>
    <n v="177"/>
    <n v="0.03"/>
    <n v="531"/>
    <n v="341.32"/>
    <n v="189.68"/>
    <n v="0.35721280602636535"/>
    <x v="1"/>
    <x v="9"/>
  </r>
  <r>
    <x v="77"/>
    <x v="81"/>
    <s v="Tomáš Kučera"/>
    <x v="0"/>
    <s v="Praha"/>
    <x v="0"/>
    <x v="3"/>
    <s v="Švihadlo"/>
    <s v="Kučera"/>
    <n v="1"/>
    <n v="201"/>
    <n v="7.0000000000000007E-2"/>
    <n v="201"/>
    <n v="111.05"/>
    <n v="89.95"/>
    <n v="0.4475124378109453"/>
    <x v="1"/>
    <x v="8"/>
  </r>
  <r>
    <x v="78"/>
    <x v="82"/>
    <s v="Radek Horák"/>
    <x v="0"/>
    <s v="Morava"/>
    <x v="0"/>
    <x v="3"/>
    <s v="Švihadlo"/>
    <s v="Dvořák"/>
    <n v="2"/>
    <n v="235"/>
    <n v="0.08"/>
    <n v="470"/>
    <n v="293.01"/>
    <n v="176.99"/>
    <n v="0.37657446808510642"/>
    <x v="1"/>
    <x v="4"/>
  </r>
  <r>
    <x v="79"/>
    <x v="83"/>
    <s v="Alfa s.r.o."/>
    <x v="1"/>
    <s v="Slezsko"/>
    <x v="0"/>
    <x v="3"/>
    <s v="Švihadlo"/>
    <s v="Svoboda"/>
    <n v="6"/>
    <n v="230"/>
    <n v="0.19"/>
    <n v="1380"/>
    <n v="813.89"/>
    <n v="566.11"/>
    <n v="0.41022463768115941"/>
    <x v="2"/>
    <x v="6"/>
  </r>
  <r>
    <x v="80"/>
    <x v="84"/>
    <s v="Karolína Veselý"/>
    <x v="0"/>
    <s v="Morava"/>
    <x v="1"/>
    <x v="0"/>
    <s v="Stůl kancelářský"/>
    <s v="Veselý"/>
    <n v="2"/>
    <n v="8669"/>
    <n v="0.08"/>
    <n v="17338"/>
    <n v="12126.27"/>
    <n v="5211.7299999999996"/>
    <n v="0.30059580113046486"/>
    <x v="0"/>
    <x v="0"/>
  </r>
  <r>
    <x v="81"/>
    <x v="85"/>
    <s v="Michal Pokorný"/>
    <x v="0"/>
    <s v="Praha"/>
    <x v="0"/>
    <x v="0"/>
    <s v="Stůl kancelářský"/>
    <s v="Novák"/>
    <n v="1"/>
    <n v="8948"/>
    <n v="0.08"/>
    <n v="8948"/>
    <n v="5585.09"/>
    <n v="3362.91"/>
    <n v="0.37582811801519889"/>
    <x v="0"/>
    <x v="2"/>
  </r>
  <r>
    <x v="82"/>
    <x v="86"/>
    <s v="Radek Novotný"/>
    <x v="0"/>
    <s v="Čechy"/>
    <x v="0"/>
    <x v="0"/>
    <s v="Stůl kancelářský"/>
    <s v="Novák"/>
    <n v="3"/>
    <n v="10489"/>
    <n v="0"/>
    <n v="31467"/>
    <n v="22436.63"/>
    <n v="9030.369999999999"/>
    <n v="0.2869790574252391"/>
    <x v="0"/>
    <x v="2"/>
  </r>
  <r>
    <x v="83"/>
    <x v="87"/>
    <s v="Tomáš Němec"/>
    <x v="0"/>
    <s v="Praha"/>
    <x v="0"/>
    <x v="0"/>
    <s v="Stůl kancelářský"/>
    <s v="Veselý"/>
    <n v="3"/>
    <n v="8555"/>
    <n v="0.04"/>
    <n v="25665"/>
    <n v="17759.22"/>
    <n v="7905.7799999999988"/>
    <n v="0.30803740502630034"/>
    <x v="0"/>
    <x v="7"/>
  </r>
  <r>
    <x v="84"/>
    <x v="88"/>
    <s v="Kateřina Horák"/>
    <x v="0"/>
    <s v="Čechy"/>
    <x v="0"/>
    <x v="0"/>
    <s v="Stůl kancelářský"/>
    <s v="Kučera"/>
    <n v="3"/>
    <n v="8832"/>
    <n v="0.04"/>
    <n v="26496"/>
    <n v="19022.919999999998"/>
    <n v="7473.0800000000017"/>
    <n v="0.28204559178743965"/>
    <x v="0"/>
    <x v="8"/>
  </r>
  <r>
    <x v="60"/>
    <x v="89"/>
    <s v="Martina Novák"/>
    <x v="0"/>
    <s v="Morava"/>
    <x v="0"/>
    <x v="0"/>
    <s v="Stůl kancelářský"/>
    <s v="Král"/>
    <n v="1"/>
    <n v="9989"/>
    <n v="0.06"/>
    <n v="9989"/>
    <n v="7151.46"/>
    <n v="2837.54"/>
    <n v="0.28406647312043248"/>
    <x v="0"/>
    <x v="4"/>
  </r>
  <r>
    <x v="85"/>
    <x v="90"/>
    <s v="Jiří Hájek"/>
    <x v="0"/>
    <s v="Morava"/>
    <x v="0"/>
    <x v="0"/>
    <s v="Stůl kancelářský"/>
    <s v="Dvořák"/>
    <n v="2"/>
    <n v="8104"/>
    <n v="0.12"/>
    <n v="16208"/>
    <n v="11105.29"/>
    <n v="5102.7099999999991"/>
    <n v="0.3148266288252714"/>
    <x v="0"/>
    <x v="5"/>
  </r>
  <r>
    <x v="63"/>
    <x v="91"/>
    <s v="Alfa s.r.o."/>
    <x v="1"/>
    <s v="Praha"/>
    <x v="0"/>
    <x v="0"/>
    <s v="Stůl kancelářský"/>
    <s v="Novák"/>
    <n v="6"/>
    <n v="5765"/>
    <n v="0.08"/>
    <n v="34590"/>
    <n v="23619.62"/>
    <n v="10970.380000000001"/>
    <n v="0.31715466897947386"/>
    <x v="1"/>
    <x v="6"/>
  </r>
  <r>
    <x v="86"/>
    <x v="92"/>
    <s v="Kateřina Němec"/>
    <x v="0"/>
    <s v="Praha"/>
    <x v="2"/>
    <x v="0"/>
    <s v="Stůl kancelářský"/>
    <s v="Fiala"/>
    <n v="1"/>
    <n v="8036"/>
    <n v="0.06"/>
    <n v="8036"/>
    <n v="5971.02"/>
    <n v="2064.9799999999996"/>
    <n v="0.25696615231458431"/>
    <x v="1"/>
    <x v="6"/>
  </r>
  <r>
    <x v="87"/>
    <x v="93"/>
    <s v="Jan Kučera"/>
    <x v="0"/>
    <s v="Čechy"/>
    <x v="0"/>
    <x v="0"/>
    <s v="Stůl kancelářský"/>
    <s v="Kučera"/>
    <n v="2"/>
    <n v="7912"/>
    <n v="0.02"/>
    <n v="15824"/>
    <n v="10487.9"/>
    <n v="5336.1"/>
    <n v="0.33721562184024267"/>
    <x v="1"/>
    <x v="0"/>
  </r>
  <r>
    <x v="88"/>
    <x v="94"/>
    <s v="Vltava s.r.o."/>
    <x v="1"/>
    <s v="Čechy"/>
    <x v="2"/>
    <x v="0"/>
    <s v="Stůl kancelářský"/>
    <s v="Novák"/>
    <n v="7"/>
    <n v="9017"/>
    <n v="0"/>
    <n v="63119"/>
    <n v="44515.8"/>
    <n v="18603.199999999997"/>
    <n v="0.29473217256293666"/>
    <x v="1"/>
    <x v="9"/>
  </r>
  <r>
    <x v="89"/>
    <x v="95"/>
    <s v="David Hájek"/>
    <x v="0"/>
    <s v="Čechy"/>
    <x v="1"/>
    <x v="0"/>
    <s v="Stůl kancelářský"/>
    <s v="Svoboda"/>
    <n v="3"/>
    <n v="7070"/>
    <n v="0.13"/>
    <n v="21210"/>
    <n v="13234.3"/>
    <n v="7975.7000000000007"/>
    <n v="0.37603488920320605"/>
    <x v="1"/>
    <x v="7"/>
  </r>
  <r>
    <x v="68"/>
    <x v="96"/>
    <s v="Michal Horák"/>
    <x v="0"/>
    <s v="Morava"/>
    <x v="1"/>
    <x v="0"/>
    <s v="Stůl kancelářský"/>
    <s v="Král"/>
    <n v="1"/>
    <n v="7578"/>
    <n v="0"/>
    <n v="7578"/>
    <n v="4653.2299999999996"/>
    <n v="2924.7700000000004"/>
    <n v="0.38595539720242816"/>
    <x v="1"/>
    <x v="3"/>
  </r>
  <r>
    <x v="90"/>
    <x v="97"/>
    <s v="Ondřej Král"/>
    <x v="0"/>
    <s v="Praha"/>
    <x v="0"/>
    <x v="0"/>
    <s v="Stůl kancelářský"/>
    <s v="Král"/>
    <n v="2"/>
    <n v="6313"/>
    <n v="0.22"/>
    <n v="12626"/>
    <n v="7378.12"/>
    <n v="5247.88"/>
    <n v="0.41564074132741963"/>
    <x v="1"/>
    <x v="10"/>
  </r>
  <r>
    <x v="91"/>
    <x v="98"/>
    <s v="Radek Hájek"/>
    <x v="0"/>
    <s v="Morava"/>
    <x v="1"/>
    <x v="1"/>
    <s v="Sluchátka BT"/>
    <s v="Veselý"/>
    <n v="1"/>
    <n v="1995"/>
    <n v="0.1"/>
    <n v="1995"/>
    <n v="1527"/>
    <n v="468"/>
    <n v="0.23458646616541354"/>
    <x v="0"/>
    <x v="0"/>
  </r>
  <r>
    <x v="92"/>
    <x v="99"/>
    <s v="Eliška Němec"/>
    <x v="0"/>
    <s v="Čechy"/>
    <x v="0"/>
    <x v="1"/>
    <s v="Sluchátka BT"/>
    <s v="Dvořák"/>
    <n v="2"/>
    <n v="2045"/>
    <n v="0.03"/>
    <n v="4090"/>
    <n v="3204.09"/>
    <n v="885.90999999999985"/>
    <n v="0.21660391198044007"/>
    <x v="0"/>
    <x v="1"/>
  </r>
  <r>
    <x v="93"/>
    <x v="100"/>
    <s v="Petra Fiala"/>
    <x v="0"/>
    <s v="Morava"/>
    <x v="1"/>
    <x v="1"/>
    <s v="Sluchátka BT"/>
    <s v="Beneš"/>
    <n v="1"/>
    <n v="1175"/>
    <n v="7.0000000000000007E-2"/>
    <n v="1175"/>
    <n v="932.19"/>
    <n v="242.80999999999995"/>
    <n v="0.20664680851063824"/>
    <x v="0"/>
    <x v="4"/>
  </r>
  <r>
    <x v="88"/>
    <x v="101"/>
    <s v="Alfa s.r.o."/>
    <x v="1"/>
    <s v="Slezsko"/>
    <x v="1"/>
    <x v="1"/>
    <s v="Sluchátka BT"/>
    <s v="Veselý"/>
    <n v="7"/>
    <n v="1507"/>
    <n v="0.03"/>
    <n v="10549"/>
    <n v="8552.2900000000009"/>
    <n v="1996.7099999999991"/>
    <n v="0.18927955256422402"/>
    <x v="1"/>
    <x v="9"/>
  </r>
  <r>
    <x v="94"/>
    <x v="102"/>
    <s v="Gama s.r.o."/>
    <x v="1"/>
    <s v="Praha"/>
    <x v="2"/>
    <x v="1"/>
    <s v="Sluchátka BT"/>
    <s v="Kučera"/>
    <n v="8"/>
    <n v="1422"/>
    <n v="0.04"/>
    <n v="11376"/>
    <n v="9965.98"/>
    <n v="1410.0200000000004"/>
    <n v="0.12394690576652606"/>
    <x v="1"/>
    <x v="3"/>
  </r>
  <r>
    <x v="95"/>
    <x v="103"/>
    <s v="Martina Dvořák"/>
    <x v="0"/>
    <s v="Čechy"/>
    <x v="1"/>
    <x v="1"/>
    <s v="Sluchátka BT"/>
    <s v="Novák"/>
    <n v="4"/>
    <n v="1062"/>
    <n v="0.09"/>
    <n v="4248"/>
    <n v="3137.25"/>
    <n v="1110.75"/>
    <n v="0.26147598870056499"/>
    <x v="1"/>
    <x v="8"/>
  </r>
  <r>
    <x v="96"/>
    <x v="104"/>
    <s v="Alfa s.r.o."/>
    <x v="1"/>
    <s v="Praha"/>
    <x v="1"/>
    <x v="1"/>
    <s v="Sluchátka BT"/>
    <s v="Kučera"/>
    <n v="8"/>
    <n v="996"/>
    <n v="0.15"/>
    <n v="7968"/>
    <n v="5316.13"/>
    <n v="2651.87"/>
    <n v="0.33281501004016062"/>
    <x v="1"/>
    <x v="10"/>
  </r>
  <r>
    <x v="97"/>
    <x v="105"/>
    <s v="Kappa s.r.o."/>
    <x v="1"/>
    <s v="Čechy"/>
    <x v="0"/>
    <x v="1"/>
    <s v="Sluchátka BT"/>
    <s v="Fiala"/>
    <n v="9"/>
    <n v="1592"/>
    <n v="0.13"/>
    <n v="14328"/>
    <n v="10301.25"/>
    <n v="4026.75"/>
    <n v="0.28104061976549416"/>
    <x v="1"/>
    <x v="10"/>
  </r>
  <r>
    <x v="98"/>
    <x v="106"/>
    <s v="Eliška Horák"/>
    <x v="0"/>
    <s v="Morava"/>
    <x v="0"/>
    <x v="1"/>
    <s v="Sluchátka BT"/>
    <s v="Fiala"/>
    <n v="2"/>
    <n v="1226"/>
    <n v="0.16"/>
    <n v="2452"/>
    <n v="1668.89"/>
    <n v="783.1099999999999"/>
    <n v="0.31937601957585643"/>
    <x v="2"/>
    <x v="6"/>
  </r>
  <r>
    <x v="15"/>
    <x v="107"/>
    <s v="Lukáš Král"/>
    <x v="0"/>
    <s v="Praha"/>
    <x v="0"/>
    <x v="1"/>
    <s v="Sluchátka BT"/>
    <s v="Král"/>
    <n v="2"/>
    <n v="1955"/>
    <n v="0.08"/>
    <n v="3910"/>
    <n v="2845.23"/>
    <n v="1064.77"/>
    <n v="0.27231969309462917"/>
    <x v="2"/>
    <x v="1"/>
  </r>
  <r>
    <x v="99"/>
    <x v="108"/>
    <s v="Lucie Veselý"/>
    <x v="0"/>
    <s v="Praha"/>
    <x v="0"/>
    <x v="1"/>
    <s v="Sluchátka BT"/>
    <s v="Novák"/>
    <n v="3"/>
    <n v="1510"/>
    <n v="0"/>
    <n v="4530"/>
    <n v="3787.29"/>
    <n v="742.71"/>
    <n v="0.16395364238410598"/>
    <x v="2"/>
    <x v="9"/>
  </r>
  <r>
    <x v="100"/>
    <x v="109"/>
    <s v="Ondřej Pospíšil"/>
    <x v="0"/>
    <s v="Čechy"/>
    <x v="1"/>
    <x v="0"/>
    <s v="Sešit A5"/>
    <s v="Veselý"/>
    <n v="3"/>
    <n v="41"/>
    <n v="0.05"/>
    <n v="123"/>
    <n v="67.42"/>
    <n v="55.58"/>
    <n v="0.45186991869918697"/>
    <x v="0"/>
    <x v="0"/>
  </r>
  <r>
    <x v="101"/>
    <x v="110"/>
    <s v="Alena Černý"/>
    <x v="0"/>
    <s v="Morava"/>
    <x v="0"/>
    <x v="0"/>
    <s v="Sešit A5"/>
    <s v="Veselý"/>
    <n v="5"/>
    <n v="50"/>
    <n v="0"/>
    <n v="250"/>
    <n v="168.32"/>
    <n v="81.680000000000007"/>
    <n v="0.32672000000000001"/>
    <x v="0"/>
    <x v="9"/>
  </r>
  <r>
    <x v="102"/>
    <x v="111"/>
    <s v="Karolína Procházka"/>
    <x v="0"/>
    <s v="Čechy"/>
    <x v="0"/>
    <x v="0"/>
    <s v="Sešit A5"/>
    <s v="Král"/>
    <n v="3"/>
    <n v="44"/>
    <n v="0"/>
    <n v="132"/>
    <n v="103.01"/>
    <n v="28.989999999999995"/>
    <n v="0.21962121212121208"/>
    <x v="0"/>
    <x v="2"/>
  </r>
  <r>
    <x v="103"/>
    <x v="112"/>
    <s v="Karel Novák"/>
    <x v="0"/>
    <s v="Čechy"/>
    <x v="1"/>
    <x v="0"/>
    <s v="Sešit A5"/>
    <s v="Kučera"/>
    <n v="2"/>
    <n v="30"/>
    <n v="0.14000000000000001"/>
    <n v="60"/>
    <n v="66.13"/>
    <n v="-6.1299999999999955"/>
    <n v="-0.10216666666666659"/>
    <x v="0"/>
    <x v="7"/>
  </r>
  <r>
    <x v="104"/>
    <x v="113"/>
    <s v="Lucie Pospíšil"/>
    <x v="0"/>
    <s v="Praha"/>
    <x v="0"/>
    <x v="0"/>
    <s v="Sešit A5"/>
    <s v="Dvořák"/>
    <n v="5"/>
    <n v="40"/>
    <n v="0.11"/>
    <n v="200"/>
    <n v="133.12"/>
    <n v="66.88"/>
    <n v="0.33439999999999998"/>
    <x v="0"/>
    <x v="7"/>
  </r>
  <r>
    <x v="105"/>
    <x v="114"/>
    <s v="Daniel Pokorný"/>
    <x v="0"/>
    <s v="Praha"/>
    <x v="0"/>
    <x v="0"/>
    <s v="Sešit A5"/>
    <s v="Kučera"/>
    <n v="3"/>
    <n v="48"/>
    <n v="0.09"/>
    <n v="144"/>
    <n v="93.93"/>
    <n v="50.069999999999993"/>
    <n v="0.34770833333333329"/>
    <x v="0"/>
    <x v="5"/>
  </r>
  <r>
    <x v="106"/>
    <x v="115"/>
    <s v="Ondřej Němec"/>
    <x v="0"/>
    <s v="Morava"/>
    <x v="1"/>
    <x v="0"/>
    <s v="Sešit A5"/>
    <s v="Svoboda"/>
    <n v="1"/>
    <n v="30"/>
    <n v="0.05"/>
    <n v="30"/>
    <n v="38.86"/>
    <n v="-8.86"/>
    <n v="-0.29533333333333334"/>
    <x v="0"/>
    <x v="5"/>
  </r>
  <r>
    <x v="19"/>
    <x v="116"/>
    <s v="Kappa s.r.o."/>
    <x v="1"/>
    <s v="Čechy"/>
    <x v="2"/>
    <x v="0"/>
    <s v="Sešit A5"/>
    <s v="Novák"/>
    <n v="9"/>
    <n v="30"/>
    <n v="0.11"/>
    <n v="270"/>
    <n v="284.01"/>
    <n v="-14.009999999999991"/>
    <n v="-5.1888888888888852E-2"/>
    <x v="0"/>
    <x v="10"/>
  </r>
  <r>
    <x v="64"/>
    <x v="117"/>
    <s v="Kappa s.r.o."/>
    <x v="1"/>
    <s v="Praha"/>
    <x v="1"/>
    <x v="0"/>
    <s v="Sešit A5"/>
    <s v="Veselý"/>
    <n v="9"/>
    <n v="25"/>
    <n v="0.06"/>
    <n v="225"/>
    <n v="174.06"/>
    <n v="50.94"/>
    <n v="0.22639999999999999"/>
    <x v="1"/>
    <x v="6"/>
  </r>
  <r>
    <x v="107"/>
    <x v="118"/>
    <s v="Jana Svoboda"/>
    <x v="0"/>
    <s v="Čechy"/>
    <x v="0"/>
    <x v="0"/>
    <s v="Sešit A5"/>
    <s v="Fiala"/>
    <n v="1"/>
    <n v="29"/>
    <n v="0.02"/>
    <n v="29"/>
    <n v="21.31"/>
    <n v="7.6900000000000013"/>
    <n v="0.26517241379310347"/>
    <x v="1"/>
    <x v="1"/>
  </r>
  <r>
    <x v="108"/>
    <x v="119"/>
    <s v="Veronika Beneš"/>
    <x v="0"/>
    <s v="Morava"/>
    <x v="0"/>
    <x v="0"/>
    <s v="Sešit A5"/>
    <s v="Dvořák"/>
    <n v="1"/>
    <n v="41"/>
    <n v="7.0000000000000007E-2"/>
    <n v="41"/>
    <n v="24.73"/>
    <n v="16.27"/>
    <n v="0.39682926829268289"/>
    <x v="1"/>
    <x v="7"/>
  </r>
  <r>
    <x v="109"/>
    <x v="120"/>
    <s v="Radek Novotný"/>
    <x v="0"/>
    <s v="Čechy"/>
    <x v="1"/>
    <x v="0"/>
    <s v="Sešit A5"/>
    <s v="Fiala"/>
    <n v="1"/>
    <n v="48"/>
    <n v="0.14000000000000001"/>
    <n v="48"/>
    <n v="30.2"/>
    <n v="17.8"/>
    <n v="0.37083333333333335"/>
    <x v="1"/>
    <x v="10"/>
  </r>
  <r>
    <x v="110"/>
    <x v="121"/>
    <s v="Eliška Král"/>
    <x v="0"/>
    <s v="Praha"/>
    <x v="0"/>
    <x v="0"/>
    <s v="Sešit A5"/>
    <s v="Fiala"/>
    <n v="8"/>
    <n v="25"/>
    <n v="0.13"/>
    <n v="200"/>
    <n v="282.74"/>
    <n v="-82.740000000000009"/>
    <n v="-0.41370000000000007"/>
    <x v="2"/>
    <x v="9"/>
  </r>
  <r>
    <x v="111"/>
    <x v="122"/>
    <s v="Karolína Horák"/>
    <x v="0"/>
    <s v="Praha"/>
    <x v="0"/>
    <x v="0"/>
    <s v="Sešit A5"/>
    <s v="Fiala"/>
    <n v="4"/>
    <n v="25"/>
    <n v="0.14000000000000001"/>
    <n v="100"/>
    <n v="98.07"/>
    <n v="1.9300000000000068"/>
    <n v="1.9300000000000067E-2"/>
    <x v="2"/>
    <x v="2"/>
  </r>
  <r>
    <x v="112"/>
    <x v="123"/>
    <s v="Jana Horák"/>
    <x v="0"/>
    <s v="Čechy"/>
    <x v="0"/>
    <x v="2"/>
    <s v="Sada dóz"/>
    <s v="Král"/>
    <n v="4"/>
    <n v="384"/>
    <n v="0.04"/>
    <n v="1536"/>
    <n v="803.12"/>
    <n v="732.88"/>
    <n v="0.47713541666666665"/>
    <x v="0"/>
    <x v="6"/>
  </r>
  <r>
    <x v="113"/>
    <x v="124"/>
    <s v="Petra Jelínek"/>
    <x v="0"/>
    <s v="Praha"/>
    <x v="0"/>
    <x v="2"/>
    <s v="Sada dóz"/>
    <s v="Fiala"/>
    <n v="6"/>
    <n v="334"/>
    <n v="0.2"/>
    <n v="2004"/>
    <n v="990.79"/>
    <n v="1013.21"/>
    <n v="0.50559381237524947"/>
    <x v="0"/>
    <x v="6"/>
  </r>
  <r>
    <x v="114"/>
    <x v="125"/>
    <s v="Kappa s.r.o."/>
    <x v="1"/>
    <s v="Slezsko"/>
    <x v="1"/>
    <x v="2"/>
    <s v="Sada dóz"/>
    <s v="Dvořák"/>
    <n v="8"/>
    <n v="255"/>
    <n v="0.08"/>
    <n v="2040"/>
    <n v="1290.26"/>
    <n v="749.74"/>
    <n v="0.36751960784313725"/>
    <x v="0"/>
    <x v="1"/>
  </r>
  <r>
    <x v="83"/>
    <x v="126"/>
    <s v="Radek Procházka"/>
    <x v="0"/>
    <s v="Čechy"/>
    <x v="0"/>
    <x v="2"/>
    <s v="Sada dóz"/>
    <s v="Novák"/>
    <n v="2"/>
    <n v="397"/>
    <n v="0.11"/>
    <n v="794"/>
    <n v="494.07"/>
    <n v="299.93"/>
    <n v="0.3777455919395466"/>
    <x v="0"/>
    <x v="7"/>
  </r>
  <r>
    <x v="115"/>
    <x v="127"/>
    <s v="Filip Veselý"/>
    <x v="0"/>
    <s v="Praha"/>
    <x v="0"/>
    <x v="2"/>
    <s v="Sada dóz"/>
    <s v="Veselý"/>
    <n v="4"/>
    <n v="525"/>
    <n v="0.08"/>
    <n v="2100"/>
    <n v="1399.21"/>
    <n v="700.79"/>
    <n v="0.33370952380952379"/>
    <x v="0"/>
    <x v="11"/>
  </r>
  <r>
    <x v="116"/>
    <x v="128"/>
    <s v="Markéta Dvořák"/>
    <x v="0"/>
    <s v="Morava"/>
    <x v="0"/>
    <x v="2"/>
    <s v="Sada dóz"/>
    <s v="Svoboda"/>
    <n v="4"/>
    <n v="350"/>
    <n v="0.08"/>
    <n v="1400"/>
    <n v="848.09"/>
    <n v="551.91"/>
    <n v="0.39422142857142856"/>
    <x v="0"/>
    <x v="5"/>
  </r>
  <r>
    <x v="117"/>
    <x v="129"/>
    <s v="Ondřej Procházka"/>
    <x v="0"/>
    <s v="Morava"/>
    <x v="1"/>
    <x v="2"/>
    <s v="Sada dóz"/>
    <s v="Beneš"/>
    <n v="1"/>
    <n v="424"/>
    <n v="0.2"/>
    <n v="424"/>
    <n v="259.33"/>
    <n v="164.67000000000002"/>
    <n v="0.38837264150943401"/>
    <x v="0"/>
    <x v="10"/>
  </r>
  <r>
    <x v="118"/>
    <x v="130"/>
    <s v="Omega s.r.o."/>
    <x v="1"/>
    <s v="Praha"/>
    <x v="0"/>
    <x v="2"/>
    <s v="Sada dóz"/>
    <s v="Kučera"/>
    <n v="8"/>
    <n v="350"/>
    <n v="0.14000000000000001"/>
    <n v="2800"/>
    <n v="1548.68"/>
    <n v="1251.32"/>
    <n v="0.44689999999999996"/>
    <x v="1"/>
    <x v="0"/>
  </r>
  <r>
    <x v="119"/>
    <x v="131"/>
    <s v="Anna Fiala"/>
    <x v="0"/>
    <s v="Čechy"/>
    <x v="1"/>
    <x v="2"/>
    <s v="Sada dóz"/>
    <s v="Novák"/>
    <n v="4"/>
    <n v="637"/>
    <n v="0.04"/>
    <n v="2548"/>
    <n v="1671.44"/>
    <n v="876.56"/>
    <n v="0.34401883830455254"/>
    <x v="1"/>
    <x v="7"/>
  </r>
  <r>
    <x v="119"/>
    <x v="132"/>
    <s v="Martina Pospíšil"/>
    <x v="0"/>
    <s v="Morava"/>
    <x v="1"/>
    <x v="2"/>
    <s v="Sada dóz"/>
    <s v="Král"/>
    <n v="2"/>
    <n v="374"/>
    <n v="0.06"/>
    <n v="748"/>
    <n v="456.82"/>
    <n v="291.18"/>
    <n v="0.38927807486631016"/>
    <x v="1"/>
    <x v="7"/>
  </r>
  <r>
    <x v="51"/>
    <x v="133"/>
    <s v="Daniel Veselý"/>
    <x v="0"/>
    <s v="Čechy"/>
    <x v="1"/>
    <x v="2"/>
    <s v="Sada dóz"/>
    <s v="Svoboda"/>
    <n v="3"/>
    <n v="328"/>
    <n v="0.13"/>
    <n v="984"/>
    <n v="641.27"/>
    <n v="342.73"/>
    <n v="0.34830284552845531"/>
    <x v="1"/>
    <x v="7"/>
  </r>
  <r>
    <x v="120"/>
    <x v="134"/>
    <s v="Lukáš Dvořák"/>
    <x v="0"/>
    <s v="Čechy"/>
    <x v="0"/>
    <x v="2"/>
    <s v="Sada dóz"/>
    <s v="Fiala"/>
    <n v="2"/>
    <n v="371"/>
    <n v="0.04"/>
    <n v="742"/>
    <n v="526.34"/>
    <n v="215.65999999999997"/>
    <n v="0.29064690026954176"/>
    <x v="1"/>
    <x v="11"/>
  </r>
  <r>
    <x v="121"/>
    <x v="135"/>
    <s v="Veronika Němec"/>
    <x v="0"/>
    <s v="Slezsko"/>
    <x v="0"/>
    <x v="2"/>
    <s v="Sada dóz"/>
    <s v="Fiala"/>
    <n v="2"/>
    <n v="358"/>
    <n v="7.0000000000000007E-2"/>
    <n v="716"/>
    <n v="484.14"/>
    <n v="231.86"/>
    <n v="0.32382681564245813"/>
    <x v="1"/>
    <x v="3"/>
  </r>
  <r>
    <x v="122"/>
    <x v="136"/>
    <s v="Kateřina Horák"/>
    <x v="0"/>
    <s v="Čechy"/>
    <x v="0"/>
    <x v="2"/>
    <s v="Sada dóz"/>
    <s v="Dvořák"/>
    <n v="2"/>
    <n v="266"/>
    <n v="0.13"/>
    <n v="532"/>
    <n v="358.04"/>
    <n v="173.95999999999998"/>
    <n v="0.3269924812030075"/>
    <x v="1"/>
    <x v="8"/>
  </r>
  <r>
    <x v="123"/>
    <x v="137"/>
    <s v="Karel Němec"/>
    <x v="0"/>
    <s v="Čechy"/>
    <x v="0"/>
    <x v="2"/>
    <s v="Sada dóz"/>
    <s v="Král"/>
    <n v="1"/>
    <n v="396"/>
    <n v="0"/>
    <n v="396"/>
    <n v="267.93"/>
    <n v="128.07"/>
    <n v="0.32340909090909087"/>
    <x v="1"/>
    <x v="8"/>
  </r>
  <r>
    <x v="124"/>
    <x v="138"/>
    <s v="Alena Novák"/>
    <x v="0"/>
    <s v="Morava"/>
    <x v="1"/>
    <x v="2"/>
    <s v="Sada dóz"/>
    <s v="Novák"/>
    <n v="6"/>
    <n v="471"/>
    <n v="0"/>
    <n v="2826"/>
    <n v="2206"/>
    <n v="620"/>
    <n v="0.21939136588818117"/>
    <x v="1"/>
    <x v="4"/>
  </r>
  <r>
    <x v="109"/>
    <x v="139"/>
    <s v="Markéta Dvořák"/>
    <x v="0"/>
    <s v="Praha"/>
    <x v="0"/>
    <x v="2"/>
    <s v="Sada dóz"/>
    <s v="Kučera"/>
    <n v="4"/>
    <n v="362"/>
    <n v="0.11"/>
    <n v="1448"/>
    <n v="1123.5899999999999"/>
    <n v="324.41000000000008"/>
    <n v="0.22404005524861884"/>
    <x v="1"/>
    <x v="10"/>
  </r>
  <r>
    <x v="125"/>
    <x v="140"/>
    <s v="Lukáš Jelínek"/>
    <x v="0"/>
    <s v="Slezsko"/>
    <x v="0"/>
    <x v="2"/>
    <s v="Sada dóz"/>
    <s v="Svoboda"/>
    <n v="2"/>
    <n v="340"/>
    <n v="0.12"/>
    <n v="680"/>
    <n v="421.56"/>
    <n v="258.44"/>
    <n v="0.38005882352941178"/>
    <x v="2"/>
    <x v="0"/>
  </r>
  <r>
    <x v="126"/>
    <x v="141"/>
    <s v="Jana Beneš"/>
    <x v="0"/>
    <s v="Čechy"/>
    <x v="1"/>
    <x v="2"/>
    <s v="Sada dóz"/>
    <s v="Fiala"/>
    <n v="5"/>
    <n v="355"/>
    <n v="0.1"/>
    <n v="1775"/>
    <n v="1299.3599999999999"/>
    <n v="475.6400000000001"/>
    <n v="0.26796619718309866"/>
    <x v="2"/>
    <x v="1"/>
  </r>
  <r>
    <x v="127"/>
    <x v="142"/>
    <s v="Veronika Dvořák"/>
    <x v="0"/>
    <s v="Čechy"/>
    <x v="0"/>
    <x v="2"/>
    <s v="Sada dóz"/>
    <s v="Beneš"/>
    <n v="4"/>
    <n v="715"/>
    <n v="0.05"/>
    <n v="2860"/>
    <n v="2093.06"/>
    <n v="766.94"/>
    <n v="0.26816083916083916"/>
    <x v="2"/>
    <x v="9"/>
  </r>
  <r>
    <x v="128"/>
    <x v="143"/>
    <s v="Eliška Novotný"/>
    <x v="0"/>
    <s v="Praha"/>
    <x v="1"/>
    <x v="2"/>
    <s v="Sada dóz"/>
    <s v="Novák"/>
    <n v="3"/>
    <n v="561"/>
    <n v="0.08"/>
    <n v="1683"/>
    <n v="1233.3"/>
    <n v="449.70000000000005"/>
    <n v="0.26720142602495545"/>
    <x v="2"/>
    <x v="9"/>
  </r>
  <r>
    <x v="129"/>
    <x v="144"/>
    <s v="Gama s.r.o."/>
    <x v="1"/>
    <s v="Morava"/>
    <x v="2"/>
    <x v="2"/>
    <s v="Sada dóz"/>
    <s v="Beneš"/>
    <n v="7"/>
    <n v="423"/>
    <n v="0.05"/>
    <n v="2961"/>
    <n v="2051.96"/>
    <n v="909.04"/>
    <n v="0.30700439040864569"/>
    <x v="2"/>
    <x v="2"/>
  </r>
  <r>
    <x v="130"/>
    <x v="145"/>
    <s v="Orion a.s."/>
    <x v="1"/>
    <s v="Slezsko"/>
    <x v="0"/>
    <x v="2"/>
    <s v="Sada dóz"/>
    <s v="Beneš"/>
    <n v="8"/>
    <n v="341"/>
    <n v="0.13"/>
    <n v="2728"/>
    <n v="1488.55"/>
    <n v="1239.45"/>
    <n v="0.45434384164222874"/>
    <x v="2"/>
    <x v="2"/>
  </r>
  <r>
    <x v="37"/>
    <x v="146"/>
    <s v="Eliška Jelínek"/>
    <x v="0"/>
    <s v="Čechy"/>
    <x v="1"/>
    <x v="2"/>
    <s v="Sada dóz"/>
    <s v="Kučera"/>
    <n v="3"/>
    <n v="471"/>
    <n v="0.08"/>
    <n v="1413"/>
    <n v="914.14"/>
    <n v="498.86"/>
    <n v="0.35305024769992926"/>
    <x v="2"/>
    <x v="2"/>
  </r>
  <r>
    <x v="131"/>
    <x v="147"/>
    <s v="Tereza Horák"/>
    <x v="0"/>
    <s v="Morava"/>
    <x v="1"/>
    <x v="2"/>
    <s v="Rychlovarná konvice"/>
    <s v="Svoboda"/>
    <n v="2"/>
    <n v="770"/>
    <n v="0.1"/>
    <n v="1540"/>
    <n v="1130.42"/>
    <n v="409.57999999999993"/>
    <n v="0.2659610389610389"/>
    <x v="0"/>
    <x v="6"/>
  </r>
  <r>
    <x v="132"/>
    <x v="148"/>
    <s v="Beta a.s."/>
    <x v="1"/>
    <s v="Čechy"/>
    <x v="2"/>
    <x v="2"/>
    <s v="Rychlovarná konvice"/>
    <s v="Král"/>
    <n v="3"/>
    <n v="641"/>
    <n v="0.02"/>
    <n v="1923"/>
    <n v="1223.04"/>
    <n v="699.96"/>
    <n v="0.36399375975039006"/>
    <x v="0"/>
    <x v="0"/>
  </r>
  <r>
    <x v="133"/>
    <x v="149"/>
    <s v="Alfa s.r.o."/>
    <x v="1"/>
    <s v="Morava"/>
    <x v="2"/>
    <x v="2"/>
    <s v="Rychlovarná konvice"/>
    <s v="Fiala"/>
    <n v="10"/>
    <n v="1105"/>
    <n v="0.11"/>
    <n v="11050"/>
    <n v="7114.54"/>
    <n v="3935.46"/>
    <n v="0.35615022624434389"/>
    <x v="0"/>
    <x v="1"/>
  </r>
  <r>
    <x v="134"/>
    <x v="150"/>
    <s v="Petr Němec"/>
    <x v="0"/>
    <s v="Čechy"/>
    <x v="0"/>
    <x v="2"/>
    <s v="Rychlovarná konvice"/>
    <s v="Novák"/>
    <n v="5"/>
    <n v="953"/>
    <n v="7.0000000000000007E-2"/>
    <n v="4765"/>
    <n v="3061.59"/>
    <n v="1703.4099999999999"/>
    <n v="0.35748373557187824"/>
    <x v="0"/>
    <x v="9"/>
  </r>
  <r>
    <x v="135"/>
    <x v="151"/>
    <s v="Gama s.r.o."/>
    <x v="1"/>
    <s v="Čechy"/>
    <x v="2"/>
    <x v="2"/>
    <s v="Rychlovarná konvice"/>
    <s v="Dvořák"/>
    <n v="8"/>
    <n v="551"/>
    <n v="0.08"/>
    <n v="4408"/>
    <n v="3313.36"/>
    <n v="1094.6399999999999"/>
    <n v="0.24833030852994553"/>
    <x v="0"/>
    <x v="11"/>
  </r>
  <r>
    <x v="136"/>
    <x v="152"/>
    <s v="Václav Novotný"/>
    <x v="0"/>
    <s v="Morava"/>
    <x v="0"/>
    <x v="2"/>
    <s v="Rychlovarná konvice"/>
    <s v="Novák"/>
    <n v="2"/>
    <n v="908"/>
    <n v="0.01"/>
    <n v="1816"/>
    <n v="1415.88"/>
    <n v="400.11999999999989"/>
    <n v="0.22033039647577088"/>
    <x v="0"/>
    <x v="3"/>
  </r>
  <r>
    <x v="137"/>
    <x v="153"/>
    <s v="Veronika Pokorný"/>
    <x v="0"/>
    <s v="Morava"/>
    <x v="1"/>
    <x v="2"/>
    <s v="Rychlovarná konvice"/>
    <s v="Král"/>
    <n v="3"/>
    <n v="664"/>
    <n v="7.0000000000000007E-2"/>
    <n v="1992"/>
    <n v="1520.19"/>
    <n v="471.80999999999995"/>
    <n v="0.2368524096385542"/>
    <x v="0"/>
    <x v="4"/>
  </r>
  <r>
    <x v="138"/>
    <x v="154"/>
    <s v="Markéta Fiala"/>
    <x v="0"/>
    <s v="Slezsko"/>
    <x v="1"/>
    <x v="2"/>
    <s v="Rychlovarná konvice"/>
    <s v="Veselý"/>
    <n v="3"/>
    <n v="441"/>
    <n v="0.12"/>
    <n v="1323"/>
    <n v="842.25"/>
    <n v="480.75"/>
    <n v="0.36337868480725621"/>
    <x v="0"/>
    <x v="5"/>
  </r>
  <r>
    <x v="139"/>
    <x v="155"/>
    <s v="Delta a.s."/>
    <x v="1"/>
    <s v="Praha"/>
    <x v="2"/>
    <x v="2"/>
    <s v="Rychlovarná konvice"/>
    <s v="Novák"/>
    <n v="11"/>
    <n v="872"/>
    <n v="0.21"/>
    <n v="9592"/>
    <n v="5932.62"/>
    <n v="3659.38"/>
    <n v="0.38150333611342785"/>
    <x v="0"/>
    <x v="5"/>
  </r>
  <r>
    <x v="140"/>
    <x v="156"/>
    <s v="Petr Horák"/>
    <x v="0"/>
    <s v="Čechy"/>
    <x v="1"/>
    <x v="2"/>
    <s v="Rychlovarná konvice"/>
    <s v="Dvořák"/>
    <n v="2"/>
    <n v="638"/>
    <n v="0.08"/>
    <n v="1276"/>
    <n v="921.3"/>
    <n v="354.70000000000005"/>
    <n v="0.27797805642633233"/>
    <x v="1"/>
    <x v="6"/>
  </r>
  <r>
    <x v="141"/>
    <x v="157"/>
    <s v="Karolína Veselý"/>
    <x v="0"/>
    <s v="Praha"/>
    <x v="0"/>
    <x v="2"/>
    <s v="Rychlovarná konvice"/>
    <s v="Král"/>
    <n v="2"/>
    <n v="1015"/>
    <n v="0.1"/>
    <n v="2030"/>
    <n v="1281.6500000000001"/>
    <n v="748.34999999999991"/>
    <n v="0.36864532019704427"/>
    <x v="1"/>
    <x v="1"/>
  </r>
  <r>
    <x v="142"/>
    <x v="158"/>
    <s v="Omega s.r.o."/>
    <x v="1"/>
    <s v="Čechy"/>
    <x v="2"/>
    <x v="2"/>
    <s v="Rychlovarná konvice"/>
    <s v="Fiala"/>
    <n v="5"/>
    <n v="679"/>
    <n v="0"/>
    <n v="3395"/>
    <n v="2428.91"/>
    <n v="966.09000000000015"/>
    <n v="0.28456259204712819"/>
    <x v="1"/>
    <x v="1"/>
  </r>
  <r>
    <x v="143"/>
    <x v="159"/>
    <s v="Petra Němec"/>
    <x v="0"/>
    <s v="Praha"/>
    <x v="0"/>
    <x v="2"/>
    <s v="Rychlovarná konvice"/>
    <s v="Kučera"/>
    <n v="2"/>
    <n v="419"/>
    <n v="0.13"/>
    <n v="838"/>
    <n v="527.55999999999995"/>
    <n v="310.44000000000005"/>
    <n v="0.37045346062052514"/>
    <x v="1"/>
    <x v="7"/>
  </r>
  <r>
    <x v="144"/>
    <x v="160"/>
    <s v="Anna Svoboda"/>
    <x v="0"/>
    <s v="Slezsko"/>
    <x v="1"/>
    <x v="2"/>
    <s v="Rychlovarná konvice"/>
    <s v="Fiala"/>
    <n v="2"/>
    <n v="789"/>
    <n v="0.3"/>
    <n v="1578"/>
    <n v="715.98"/>
    <n v="862.02"/>
    <n v="0.54627376425855512"/>
    <x v="1"/>
    <x v="10"/>
  </r>
  <r>
    <x v="145"/>
    <x v="161"/>
    <s v="Petra Kučera"/>
    <x v="0"/>
    <s v="Čechy"/>
    <x v="0"/>
    <x v="2"/>
    <s v="Rychlovarná konvice"/>
    <s v="Kučera"/>
    <n v="3"/>
    <n v="656"/>
    <n v="7.0000000000000007E-2"/>
    <n v="1968"/>
    <n v="1452.47"/>
    <n v="515.53"/>
    <n v="0.26195630081300814"/>
    <x v="2"/>
    <x v="1"/>
  </r>
  <r>
    <x v="146"/>
    <x v="162"/>
    <s v="Martin Veselý"/>
    <x v="0"/>
    <s v="Morava"/>
    <x v="1"/>
    <x v="2"/>
    <s v="Rychlovarná konvice"/>
    <s v="Beneš"/>
    <n v="1"/>
    <n v="700"/>
    <n v="0.14000000000000001"/>
    <n v="700"/>
    <n v="408.88"/>
    <n v="291.12"/>
    <n v="0.4158857142857143"/>
    <x v="2"/>
    <x v="9"/>
  </r>
  <r>
    <x v="0"/>
    <x v="163"/>
    <s v="Alfa s.r.o."/>
    <x v="1"/>
    <s v="Slezsko"/>
    <x v="2"/>
    <x v="1"/>
    <s v="Reproduktor BT"/>
    <s v="Král"/>
    <n v="6"/>
    <n v="2214"/>
    <n v="0.14000000000000001"/>
    <n v="13284"/>
    <n v="8434.94"/>
    <n v="4849.0599999999995"/>
    <n v="0.36503011141222519"/>
    <x v="0"/>
    <x v="0"/>
  </r>
  <r>
    <x v="147"/>
    <x v="164"/>
    <s v="Michal Beneš"/>
    <x v="0"/>
    <s v="Morava"/>
    <x v="1"/>
    <x v="1"/>
    <s v="Reproduktor BT"/>
    <s v="Svoboda"/>
    <n v="3"/>
    <n v="1539"/>
    <n v="0.04"/>
    <n v="4617"/>
    <n v="3680.29"/>
    <n v="936.71"/>
    <n v="0.20288282434481267"/>
    <x v="0"/>
    <x v="1"/>
  </r>
  <r>
    <x v="148"/>
    <x v="165"/>
    <s v="Kateřina Pospíšil"/>
    <x v="0"/>
    <s v="Morava"/>
    <x v="0"/>
    <x v="1"/>
    <s v="Reproduktor BT"/>
    <s v="Beneš"/>
    <n v="2"/>
    <n v="1311"/>
    <n v="0.08"/>
    <n v="2622"/>
    <n v="1987.67"/>
    <n v="634.32999999999993"/>
    <n v="0.24192601067887107"/>
    <x v="0"/>
    <x v="9"/>
  </r>
  <r>
    <x v="149"/>
    <x v="166"/>
    <s v="Eliška Horák"/>
    <x v="0"/>
    <s v="Slezsko"/>
    <x v="1"/>
    <x v="1"/>
    <s v="Reproduktor BT"/>
    <s v="Svoboda"/>
    <n v="1"/>
    <n v="1680"/>
    <n v="0.15"/>
    <n v="1680"/>
    <n v="1116.78"/>
    <n v="563.22"/>
    <n v="0.33524999999999999"/>
    <x v="0"/>
    <x v="9"/>
  </r>
  <r>
    <x v="115"/>
    <x v="167"/>
    <s v="Lucie Němec"/>
    <x v="0"/>
    <s v="Morava"/>
    <x v="0"/>
    <x v="1"/>
    <s v="Reproduktor BT"/>
    <s v="Novák"/>
    <n v="1"/>
    <n v="2325"/>
    <n v="0.04"/>
    <n v="2325"/>
    <n v="1862.22"/>
    <n v="462.78"/>
    <n v="0.19904516129032257"/>
    <x v="0"/>
    <x v="11"/>
  </r>
  <r>
    <x v="150"/>
    <x v="168"/>
    <s v="Martina Horák"/>
    <x v="0"/>
    <s v="Čechy"/>
    <x v="1"/>
    <x v="1"/>
    <s v="Reproduktor BT"/>
    <s v="Dvořák"/>
    <n v="4"/>
    <n v="1794"/>
    <n v="0.03"/>
    <n v="7176"/>
    <n v="5922.74"/>
    <n v="1253.2600000000002"/>
    <n v="0.1746460423634337"/>
    <x v="0"/>
    <x v="11"/>
  </r>
  <r>
    <x v="151"/>
    <x v="169"/>
    <s v="Omega s.r.o."/>
    <x v="1"/>
    <s v="Čechy"/>
    <x v="0"/>
    <x v="1"/>
    <s v="Reproduktor BT"/>
    <s v="Dvořák"/>
    <n v="4"/>
    <n v="1946"/>
    <n v="0.04"/>
    <n v="7784"/>
    <n v="6023.37"/>
    <n v="1760.63"/>
    <n v="0.22618576567317575"/>
    <x v="0"/>
    <x v="3"/>
  </r>
  <r>
    <x v="152"/>
    <x v="170"/>
    <s v="Orion a.s."/>
    <x v="1"/>
    <s v="Čechy"/>
    <x v="2"/>
    <x v="1"/>
    <s v="Reproduktor BT"/>
    <s v="Kučera"/>
    <n v="12"/>
    <n v="1539"/>
    <n v="0.1"/>
    <n v="18468"/>
    <n v="14043.74"/>
    <n v="4424.26"/>
    <n v="0.23956356941737059"/>
    <x v="0"/>
    <x v="3"/>
  </r>
  <r>
    <x v="153"/>
    <x v="171"/>
    <s v="Martin Jelínek"/>
    <x v="0"/>
    <s v="Praha"/>
    <x v="1"/>
    <x v="1"/>
    <s v="Reproduktor BT"/>
    <s v="Beneš"/>
    <n v="2"/>
    <n v="1450"/>
    <n v="0.1"/>
    <n v="2900"/>
    <n v="2152.7600000000002"/>
    <n v="747.23999999999978"/>
    <n v="0.25766896551724128"/>
    <x v="0"/>
    <x v="8"/>
  </r>
  <r>
    <x v="154"/>
    <x v="172"/>
    <s v="Omega s.r.o."/>
    <x v="1"/>
    <s v="Praha"/>
    <x v="2"/>
    <x v="1"/>
    <s v="Reproduktor BT"/>
    <s v="Svoboda"/>
    <n v="11"/>
    <n v="1691"/>
    <n v="0"/>
    <n v="18601"/>
    <n v="15110.91"/>
    <n v="3490.09"/>
    <n v="0.18762915972259556"/>
    <x v="0"/>
    <x v="4"/>
  </r>
  <r>
    <x v="155"/>
    <x v="173"/>
    <s v="Radek Pospíšil"/>
    <x v="0"/>
    <s v="Morava"/>
    <x v="1"/>
    <x v="1"/>
    <s v="Reproduktor BT"/>
    <s v="Veselý"/>
    <n v="2"/>
    <n v="2272"/>
    <n v="0.18"/>
    <n v="4544"/>
    <n v="3160.49"/>
    <n v="1383.5100000000002"/>
    <n v="0.30446963028169016"/>
    <x v="0"/>
    <x v="5"/>
  </r>
  <r>
    <x v="156"/>
    <x v="174"/>
    <s v="Beta a.s."/>
    <x v="1"/>
    <s v="Praha"/>
    <x v="1"/>
    <x v="1"/>
    <s v="Reproduktor BT"/>
    <s v="Kučera"/>
    <n v="4"/>
    <n v="2149"/>
    <n v="0.14000000000000001"/>
    <n v="8596"/>
    <n v="6488.53"/>
    <n v="2107.4700000000003"/>
    <n v="0.24516868310842255"/>
    <x v="0"/>
    <x v="10"/>
  </r>
  <r>
    <x v="157"/>
    <x v="175"/>
    <s v="Omega s.r.o."/>
    <x v="1"/>
    <s v="Slezsko"/>
    <x v="1"/>
    <x v="1"/>
    <s v="Reproduktor BT"/>
    <s v="Fiala"/>
    <n v="6"/>
    <n v="895"/>
    <n v="0.08"/>
    <n v="5370"/>
    <n v="4341.09"/>
    <n v="1028.9099999999999"/>
    <n v="0.19160335195530723"/>
    <x v="1"/>
    <x v="9"/>
  </r>
  <r>
    <x v="158"/>
    <x v="176"/>
    <s v="Tomáš Král"/>
    <x v="0"/>
    <s v="Čechy"/>
    <x v="1"/>
    <x v="1"/>
    <s v="Reproduktor BT"/>
    <s v="Veselý"/>
    <n v="2"/>
    <n v="2042"/>
    <n v="0.03"/>
    <n v="4084"/>
    <n v="3181.43"/>
    <n v="902.57000000000016"/>
    <n v="0.22100146914789426"/>
    <x v="1"/>
    <x v="2"/>
  </r>
  <r>
    <x v="159"/>
    <x v="177"/>
    <s v="Jan Dvořák"/>
    <x v="0"/>
    <s v="Morava"/>
    <x v="0"/>
    <x v="1"/>
    <s v="Reproduktor BT"/>
    <s v="Veselý"/>
    <n v="4"/>
    <n v="2451"/>
    <n v="0.15"/>
    <n v="9804"/>
    <n v="6914.57"/>
    <n v="2889.4300000000003"/>
    <n v="0.29471950224398208"/>
    <x v="1"/>
    <x v="7"/>
  </r>
  <r>
    <x v="31"/>
    <x v="178"/>
    <s v="Jiří Hájek"/>
    <x v="0"/>
    <s v="Čechy"/>
    <x v="1"/>
    <x v="1"/>
    <s v="Reproduktor BT"/>
    <s v="Novák"/>
    <n v="3"/>
    <n v="2264"/>
    <n v="0.11"/>
    <n v="6792"/>
    <n v="5338.26"/>
    <n v="1453.7399999999998"/>
    <n v="0.21403710247349819"/>
    <x v="1"/>
    <x v="4"/>
  </r>
  <r>
    <x v="160"/>
    <x v="179"/>
    <s v="Ondřej Veselý"/>
    <x v="0"/>
    <s v="Praha"/>
    <x v="1"/>
    <x v="1"/>
    <s v="Reproduktor BT"/>
    <s v="Beneš"/>
    <n v="4"/>
    <n v="1103"/>
    <n v="0.12"/>
    <n v="4412"/>
    <n v="3327.47"/>
    <n v="1084.5300000000002"/>
    <n v="0.24581368993653677"/>
    <x v="1"/>
    <x v="4"/>
  </r>
  <r>
    <x v="161"/>
    <x v="180"/>
    <s v="Václav Veselý"/>
    <x v="0"/>
    <s v="Praha"/>
    <x v="0"/>
    <x v="1"/>
    <s v="Reproduktor BT"/>
    <s v="Beneš"/>
    <n v="2"/>
    <n v="1579"/>
    <n v="0.04"/>
    <n v="3158"/>
    <n v="2095.33"/>
    <n v="1062.67"/>
    <n v="0.33650094996833441"/>
    <x v="1"/>
    <x v="5"/>
  </r>
  <r>
    <x v="162"/>
    <x v="181"/>
    <s v="Omega s.r.o."/>
    <x v="1"/>
    <s v="Praha"/>
    <x v="2"/>
    <x v="1"/>
    <s v="Reproduktor BT"/>
    <s v="Novák"/>
    <n v="6"/>
    <n v="1458"/>
    <n v="0.18"/>
    <n v="8748"/>
    <n v="5940.39"/>
    <n v="2807.6099999999997"/>
    <n v="0.32094307270233191"/>
    <x v="1"/>
    <x v="5"/>
  </r>
  <r>
    <x v="54"/>
    <x v="182"/>
    <s v="Markéta Svoboda"/>
    <x v="0"/>
    <s v="Praha"/>
    <x v="0"/>
    <x v="1"/>
    <s v="Reproduktor BT"/>
    <s v="Beneš"/>
    <n v="3"/>
    <n v="1698"/>
    <n v="0.05"/>
    <n v="5094"/>
    <n v="4437.38"/>
    <n v="656.61999999999989"/>
    <n v="0.12890066745190418"/>
    <x v="2"/>
    <x v="6"/>
  </r>
  <r>
    <x v="69"/>
    <x v="183"/>
    <s v="Lucie Horák"/>
    <x v="0"/>
    <s v="Praha"/>
    <x v="0"/>
    <x v="1"/>
    <s v="Reproduktor BT"/>
    <s v="Novák"/>
    <n v="3"/>
    <n v="1093"/>
    <n v="0.15"/>
    <n v="3279"/>
    <n v="2179.0500000000002"/>
    <n v="1099.9499999999998"/>
    <n v="0.3354528819762122"/>
    <x v="2"/>
    <x v="6"/>
  </r>
  <r>
    <x v="147"/>
    <x v="184"/>
    <s v="Ondřej Novotný"/>
    <x v="0"/>
    <s v="Slezsko"/>
    <x v="0"/>
    <x v="1"/>
    <s v="Powerbanka 20k"/>
    <s v="Beneš"/>
    <n v="2"/>
    <n v="1123"/>
    <n v="0.09"/>
    <n v="2246"/>
    <n v="1545.57"/>
    <n v="700.43000000000006"/>
    <n v="0.31185663401602853"/>
    <x v="0"/>
    <x v="1"/>
  </r>
  <r>
    <x v="163"/>
    <x v="185"/>
    <s v="Eliška Novák"/>
    <x v="0"/>
    <s v="Slezsko"/>
    <x v="0"/>
    <x v="1"/>
    <s v="Powerbanka 20k"/>
    <s v="Fiala"/>
    <n v="2"/>
    <n v="1045"/>
    <n v="0.1"/>
    <n v="2090"/>
    <n v="1531.25"/>
    <n v="558.75"/>
    <n v="0.2673444976076555"/>
    <x v="0"/>
    <x v="1"/>
  </r>
  <r>
    <x v="2"/>
    <x v="186"/>
    <s v="Alena Němec"/>
    <x v="0"/>
    <s v="Čechy"/>
    <x v="1"/>
    <x v="1"/>
    <s v="Powerbanka 20k"/>
    <s v="Novák"/>
    <n v="2"/>
    <n v="807"/>
    <n v="0.04"/>
    <n v="1614"/>
    <n v="1303.4000000000001"/>
    <n v="310.59999999999991"/>
    <n v="0.1924411400247831"/>
    <x v="0"/>
    <x v="2"/>
  </r>
  <r>
    <x v="3"/>
    <x v="187"/>
    <s v="Lukáš Kučera"/>
    <x v="0"/>
    <s v="Slezsko"/>
    <x v="1"/>
    <x v="1"/>
    <s v="Powerbanka 20k"/>
    <s v="Veselý"/>
    <n v="1"/>
    <n v="1341"/>
    <n v="0.01"/>
    <n v="1341"/>
    <n v="1090.24"/>
    <n v="250.76"/>
    <n v="0.18699478001491424"/>
    <x v="0"/>
    <x v="3"/>
  </r>
  <r>
    <x v="164"/>
    <x v="188"/>
    <s v="Vltava s.r.o."/>
    <x v="1"/>
    <s v="Čechy"/>
    <x v="2"/>
    <x v="1"/>
    <s v="Powerbanka 20k"/>
    <s v="Svoboda"/>
    <n v="10"/>
    <n v="831"/>
    <n v="0.1"/>
    <n v="8310"/>
    <n v="6154.09"/>
    <n v="2155.91"/>
    <n v="0.25943561973525869"/>
    <x v="0"/>
    <x v="8"/>
  </r>
  <r>
    <x v="155"/>
    <x v="189"/>
    <s v="David Pospíšil"/>
    <x v="0"/>
    <s v="Praha"/>
    <x v="0"/>
    <x v="1"/>
    <s v="Powerbanka 20k"/>
    <s v="Dvořák"/>
    <n v="1"/>
    <n v="1201"/>
    <n v="0.09"/>
    <n v="1201"/>
    <n v="830.29"/>
    <n v="370.71000000000004"/>
    <n v="0.30866777685262287"/>
    <x v="0"/>
    <x v="5"/>
  </r>
  <r>
    <x v="165"/>
    <x v="190"/>
    <s v="Markéta Pokorný"/>
    <x v="0"/>
    <s v="Praha"/>
    <x v="0"/>
    <x v="1"/>
    <s v="Powerbanka 20k"/>
    <s v="Veselý"/>
    <n v="4"/>
    <n v="729"/>
    <n v="0.14000000000000001"/>
    <n v="2916"/>
    <n v="1908.3"/>
    <n v="1007.7"/>
    <n v="0.34557613168724283"/>
    <x v="0"/>
    <x v="5"/>
  </r>
  <r>
    <x v="166"/>
    <x v="191"/>
    <s v="Petra Beneš"/>
    <x v="0"/>
    <s v="Čechy"/>
    <x v="1"/>
    <x v="1"/>
    <s v="Powerbanka 20k"/>
    <s v="Veselý"/>
    <n v="3"/>
    <n v="720"/>
    <n v="0.05"/>
    <n v="2160"/>
    <n v="1696.85"/>
    <n v="463.15000000000009"/>
    <n v="0.21442129629629633"/>
    <x v="0"/>
    <x v="10"/>
  </r>
  <r>
    <x v="167"/>
    <x v="192"/>
    <s v="David Procházka"/>
    <x v="0"/>
    <s v="Slezsko"/>
    <x v="1"/>
    <x v="1"/>
    <s v="Powerbanka 20k"/>
    <s v="Dvořák"/>
    <n v="4"/>
    <n v="1090"/>
    <n v="0.14000000000000001"/>
    <n v="4360"/>
    <n v="2818.2"/>
    <n v="1541.8000000000002"/>
    <n v="0.3536238532110092"/>
    <x v="1"/>
    <x v="6"/>
  </r>
  <r>
    <x v="168"/>
    <x v="193"/>
    <s v="Alena Fiala"/>
    <x v="0"/>
    <s v="Morava"/>
    <x v="1"/>
    <x v="1"/>
    <s v="Powerbanka 20k"/>
    <s v="Dvořák"/>
    <n v="2"/>
    <n v="1296"/>
    <n v="0.08"/>
    <n v="2592"/>
    <n v="1937.58"/>
    <n v="654.42000000000007"/>
    <n v="0.25247685185185187"/>
    <x v="1"/>
    <x v="9"/>
  </r>
  <r>
    <x v="169"/>
    <x v="194"/>
    <s v="Václav Fiala"/>
    <x v="0"/>
    <s v="Praha"/>
    <x v="1"/>
    <x v="1"/>
    <s v="Powerbanka 20k"/>
    <s v="Fiala"/>
    <n v="5"/>
    <n v="852"/>
    <n v="0.09"/>
    <n v="4260"/>
    <n v="3341.36"/>
    <n v="918.63999999999987"/>
    <n v="0.21564319248826289"/>
    <x v="1"/>
    <x v="4"/>
  </r>
  <r>
    <x v="160"/>
    <x v="195"/>
    <s v="Michal Hájek"/>
    <x v="0"/>
    <s v="Čechy"/>
    <x v="0"/>
    <x v="1"/>
    <s v="Powerbanka 20k"/>
    <s v="Svoboda"/>
    <n v="2"/>
    <n v="1265"/>
    <n v="0.09"/>
    <n v="2530"/>
    <n v="1993.53"/>
    <n v="536.47"/>
    <n v="0.21204347826086958"/>
    <x v="1"/>
    <x v="4"/>
  </r>
  <r>
    <x v="162"/>
    <x v="196"/>
    <s v="Jiří Němec"/>
    <x v="0"/>
    <s v="Čechy"/>
    <x v="0"/>
    <x v="1"/>
    <s v="Powerbanka 20k"/>
    <s v="Beneš"/>
    <n v="3"/>
    <n v="1478"/>
    <n v="0.05"/>
    <n v="4434"/>
    <n v="3078.15"/>
    <n v="1355.85"/>
    <n v="0.30578484438430309"/>
    <x v="1"/>
    <x v="5"/>
  </r>
  <r>
    <x v="170"/>
    <x v="197"/>
    <s v="Anna Pospíšil"/>
    <x v="0"/>
    <s v="Praha"/>
    <x v="1"/>
    <x v="1"/>
    <s v="Powerbanka 20k"/>
    <s v="Veselý"/>
    <n v="1"/>
    <n v="1146"/>
    <n v="0.13"/>
    <n v="1146"/>
    <n v="783.66"/>
    <n v="362.34000000000003"/>
    <n v="0.3161780104712042"/>
    <x v="1"/>
    <x v="10"/>
  </r>
  <r>
    <x v="171"/>
    <x v="198"/>
    <s v="Petra Jelínek"/>
    <x v="0"/>
    <s v="Čechy"/>
    <x v="0"/>
    <x v="1"/>
    <s v="Powerbanka 20k"/>
    <s v="Novák"/>
    <n v="2"/>
    <n v="1150"/>
    <n v="0.14000000000000001"/>
    <n v="2300"/>
    <n v="1765.6"/>
    <n v="534.40000000000009"/>
    <n v="0.23234782608695656"/>
    <x v="1"/>
    <x v="10"/>
  </r>
  <r>
    <x v="172"/>
    <x v="199"/>
    <s v="Orion a.s."/>
    <x v="1"/>
    <s v="Praha"/>
    <x v="2"/>
    <x v="1"/>
    <s v="Powerbanka 20k"/>
    <s v="Král"/>
    <n v="6"/>
    <n v="860"/>
    <n v="0.13"/>
    <n v="5160"/>
    <n v="3791.64"/>
    <n v="1368.3600000000001"/>
    <n v="0.26518604651162792"/>
    <x v="2"/>
    <x v="6"/>
  </r>
  <r>
    <x v="173"/>
    <x v="200"/>
    <s v="Kappa s.r.o."/>
    <x v="1"/>
    <s v="Praha"/>
    <x v="2"/>
    <x v="1"/>
    <s v="Powerbanka 20k"/>
    <s v="Fiala"/>
    <n v="5"/>
    <n v="926"/>
    <n v="0.08"/>
    <n v="4630"/>
    <n v="3634.89"/>
    <n v="995.11000000000013"/>
    <n v="0.21492656587473005"/>
    <x v="2"/>
    <x v="0"/>
  </r>
  <r>
    <x v="125"/>
    <x v="201"/>
    <s v="Martina Beneš"/>
    <x v="0"/>
    <s v="Praha"/>
    <x v="0"/>
    <x v="1"/>
    <s v="Powerbanka 20k"/>
    <s v="Beneš"/>
    <n v="1"/>
    <n v="1267"/>
    <n v="0.11"/>
    <n v="1267"/>
    <n v="932.74"/>
    <n v="334.26"/>
    <n v="0.26382004735595893"/>
    <x v="2"/>
    <x v="0"/>
  </r>
  <r>
    <x v="174"/>
    <x v="202"/>
    <s v="Vltava s.r.o."/>
    <x v="1"/>
    <s v="Praha"/>
    <x v="1"/>
    <x v="1"/>
    <s v="Powerbanka 20k"/>
    <s v="Král"/>
    <n v="7"/>
    <n v="1264"/>
    <n v="0.04"/>
    <n v="8848"/>
    <n v="6546.28"/>
    <n v="2301.7200000000003"/>
    <n v="0.26014014466546115"/>
    <x v="2"/>
    <x v="1"/>
  </r>
  <r>
    <x v="175"/>
    <x v="203"/>
    <s v="Filip Jelínek"/>
    <x v="0"/>
    <s v="Praha"/>
    <x v="1"/>
    <x v="1"/>
    <s v="Powerbanka 20k"/>
    <s v="Beneš"/>
    <n v="3"/>
    <n v="1072"/>
    <n v="0"/>
    <n v="3216"/>
    <n v="2688.93"/>
    <n v="527.07000000000016"/>
    <n v="0.16388992537313438"/>
    <x v="2"/>
    <x v="9"/>
  </r>
  <r>
    <x v="176"/>
    <x v="204"/>
    <s v="Tomáš Novák"/>
    <x v="0"/>
    <s v="Slezsko"/>
    <x v="1"/>
    <x v="1"/>
    <s v="Powerbanka 20k"/>
    <s v="Svoboda"/>
    <n v="2"/>
    <n v="1158"/>
    <n v="0.05"/>
    <n v="2316"/>
    <n v="1926.6"/>
    <n v="389.40000000000009"/>
    <n v="0.16813471502590677"/>
    <x v="2"/>
    <x v="9"/>
  </r>
  <r>
    <x v="177"/>
    <x v="205"/>
    <s v="Jiří Černý"/>
    <x v="0"/>
    <s v="Čechy"/>
    <x v="0"/>
    <x v="1"/>
    <s v="Powerbanka 20k"/>
    <s v="Novák"/>
    <n v="3"/>
    <n v="769"/>
    <n v="0.06"/>
    <n v="2307"/>
    <n v="1737.56"/>
    <n v="569.44000000000005"/>
    <n v="0.2468313827481578"/>
    <x v="2"/>
    <x v="2"/>
  </r>
  <r>
    <x v="178"/>
    <x v="206"/>
    <s v="Vltava s.r.o."/>
    <x v="1"/>
    <s v="Morava"/>
    <x v="1"/>
    <x v="0"/>
    <s v="Pořadač pákový"/>
    <s v="Fiala"/>
    <n v="6"/>
    <n v="103"/>
    <n v="0"/>
    <n v="618"/>
    <n v="417.88"/>
    <n v="200.12"/>
    <n v="0.32381877022653721"/>
    <x v="0"/>
    <x v="9"/>
  </r>
  <r>
    <x v="179"/>
    <x v="207"/>
    <s v="Martina Novák"/>
    <x v="0"/>
    <s v="Praha"/>
    <x v="0"/>
    <x v="0"/>
    <s v="Pořadač pákový"/>
    <s v="Svoboda"/>
    <n v="2"/>
    <n v="108"/>
    <n v="0.09"/>
    <n v="216"/>
    <n v="151.96"/>
    <n v="64.039999999999992"/>
    <n v="0.29648148148148146"/>
    <x v="0"/>
    <x v="2"/>
  </r>
  <r>
    <x v="180"/>
    <x v="208"/>
    <s v="Václav Novotný"/>
    <x v="0"/>
    <s v="Slezsko"/>
    <x v="1"/>
    <x v="0"/>
    <s v="Pořadač pákový"/>
    <s v="Král"/>
    <n v="2"/>
    <n v="73"/>
    <n v="0.08"/>
    <n v="146"/>
    <n v="87.14"/>
    <n v="58.86"/>
    <n v="0.40315068493150685"/>
    <x v="0"/>
    <x v="11"/>
  </r>
  <r>
    <x v="181"/>
    <x v="209"/>
    <s v="David Novák"/>
    <x v="0"/>
    <s v="Čechy"/>
    <x v="0"/>
    <x v="0"/>
    <s v="Pořadač pákový"/>
    <s v="Dvořák"/>
    <n v="1"/>
    <n v="60"/>
    <n v="0.09"/>
    <n v="60"/>
    <n v="33.61"/>
    <n v="26.39"/>
    <n v="0.43983333333333335"/>
    <x v="0"/>
    <x v="8"/>
  </r>
  <r>
    <x v="182"/>
    <x v="210"/>
    <s v="Radek Hájek"/>
    <x v="0"/>
    <s v="Morava"/>
    <x v="2"/>
    <x v="0"/>
    <s v="Pořadač pákový"/>
    <s v="Kučera"/>
    <n v="3"/>
    <n v="79"/>
    <n v="0.04"/>
    <n v="237"/>
    <n v="177.46"/>
    <n v="59.539999999999992"/>
    <n v="0.25122362869198311"/>
    <x v="0"/>
    <x v="8"/>
  </r>
  <r>
    <x v="183"/>
    <x v="211"/>
    <s v="Ondřej Pokorný"/>
    <x v="0"/>
    <s v="Čechy"/>
    <x v="0"/>
    <x v="0"/>
    <s v="Pořadač pákový"/>
    <s v="Kučera"/>
    <n v="2"/>
    <n v="73"/>
    <n v="0"/>
    <n v="146"/>
    <n v="96.51"/>
    <n v="49.489999999999995"/>
    <n v="0.33897260273972601"/>
    <x v="0"/>
    <x v="8"/>
  </r>
  <r>
    <x v="184"/>
    <x v="212"/>
    <s v="Jan Fiala"/>
    <x v="0"/>
    <s v="Čechy"/>
    <x v="0"/>
    <x v="0"/>
    <s v="Pořadač pákový"/>
    <s v="Svoboda"/>
    <n v="3"/>
    <n v="87"/>
    <n v="0.01"/>
    <n v="261"/>
    <n v="178.17"/>
    <n v="82.830000000000013"/>
    <n v="0.31735632183908052"/>
    <x v="0"/>
    <x v="8"/>
  </r>
  <r>
    <x v="185"/>
    <x v="213"/>
    <s v="Petr Fiala"/>
    <x v="0"/>
    <s v="Morava"/>
    <x v="0"/>
    <x v="0"/>
    <s v="Pořadač pákový"/>
    <s v="Novák"/>
    <n v="1"/>
    <n v="69"/>
    <n v="0.2"/>
    <n v="69"/>
    <n v="42.46"/>
    <n v="26.54"/>
    <n v="0.38463768115942026"/>
    <x v="0"/>
    <x v="5"/>
  </r>
  <r>
    <x v="186"/>
    <x v="214"/>
    <s v="Omega s.r.o."/>
    <x v="1"/>
    <s v="Praha"/>
    <x v="2"/>
    <x v="0"/>
    <s v="Pořadač pákový"/>
    <s v="Kučera"/>
    <n v="7"/>
    <n v="71"/>
    <n v="7.0000000000000007E-2"/>
    <n v="497"/>
    <n v="372.27"/>
    <n v="124.73000000000002"/>
    <n v="0.25096579476861169"/>
    <x v="0"/>
    <x v="10"/>
  </r>
  <r>
    <x v="187"/>
    <x v="215"/>
    <s v="Lukáš Dvořák"/>
    <x v="0"/>
    <s v="Morava"/>
    <x v="0"/>
    <x v="0"/>
    <s v="Pořadač pákový"/>
    <s v="Svoboda"/>
    <n v="4"/>
    <n v="76"/>
    <n v="0.22"/>
    <n v="304"/>
    <n v="155.99"/>
    <n v="148.01"/>
    <n v="0.48687499999999995"/>
    <x v="1"/>
    <x v="6"/>
  </r>
  <r>
    <x v="8"/>
    <x v="216"/>
    <s v="Martin Hájek"/>
    <x v="0"/>
    <s v="Praha"/>
    <x v="1"/>
    <x v="0"/>
    <s v="Pořadač pákový"/>
    <s v="Fiala"/>
    <n v="3"/>
    <n v="95"/>
    <n v="0.06"/>
    <n v="285"/>
    <n v="169.25"/>
    <n v="115.75"/>
    <n v="0.40614035087719297"/>
    <x v="1"/>
    <x v="7"/>
  </r>
  <r>
    <x v="188"/>
    <x v="217"/>
    <s v="Petra Procházka"/>
    <x v="0"/>
    <s v="Slezsko"/>
    <x v="0"/>
    <x v="0"/>
    <s v="Pořadač pákový"/>
    <s v="Dvořák"/>
    <n v="4"/>
    <n v="100"/>
    <n v="0"/>
    <n v="400"/>
    <n v="280.11"/>
    <n v="119.88999999999999"/>
    <n v="0.29972499999999996"/>
    <x v="1"/>
    <x v="4"/>
  </r>
  <r>
    <x v="189"/>
    <x v="218"/>
    <s v="Martin Král"/>
    <x v="0"/>
    <s v="Slezsko"/>
    <x v="1"/>
    <x v="0"/>
    <s v="Pořadač pákový"/>
    <s v="Svoboda"/>
    <n v="2"/>
    <n v="73"/>
    <n v="0.11"/>
    <n v="146"/>
    <n v="87.89"/>
    <n v="58.11"/>
    <n v="0.39801369863013697"/>
    <x v="2"/>
    <x v="9"/>
  </r>
  <r>
    <x v="190"/>
    <x v="219"/>
    <s v="Beta a.s."/>
    <x v="1"/>
    <s v="Morava"/>
    <x v="2"/>
    <x v="3"/>
    <s v="Podložka na jógu"/>
    <s v="Veselý"/>
    <n v="10"/>
    <n v="504"/>
    <n v="0.02"/>
    <n v="5040"/>
    <n v="2860.2"/>
    <n v="2179.8000000000002"/>
    <n v="0.43250000000000005"/>
    <x v="0"/>
    <x v="1"/>
  </r>
  <r>
    <x v="191"/>
    <x v="220"/>
    <s v="Lucie Veselý"/>
    <x v="0"/>
    <s v="Slezsko"/>
    <x v="1"/>
    <x v="3"/>
    <s v="Podložka na jógu"/>
    <s v="Král"/>
    <n v="3"/>
    <n v="615"/>
    <n v="0.09"/>
    <n v="1845"/>
    <n v="834.33"/>
    <n v="1010.67"/>
    <n v="0.54778861788617883"/>
    <x v="0"/>
    <x v="2"/>
  </r>
  <r>
    <x v="192"/>
    <x v="221"/>
    <s v="Lukáš Hájek"/>
    <x v="0"/>
    <s v="Praha"/>
    <x v="0"/>
    <x v="3"/>
    <s v="Podložka na jógu"/>
    <s v="Beneš"/>
    <n v="4"/>
    <n v="1007"/>
    <n v="0.03"/>
    <n v="4028"/>
    <n v="2523.5700000000002"/>
    <n v="1504.4299999999998"/>
    <n v="0.37349304865938426"/>
    <x v="0"/>
    <x v="2"/>
  </r>
  <r>
    <x v="193"/>
    <x v="222"/>
    <s v="Gama s.r.o."/>
    <x v="1"/>
    <s v="Morava"/>
    <x v="0"/>
    <x v="3"/>
    <s v="Podložka na jógu"/>
    <s v="Kučera"/>
    <n v="8"/>
    <n v="521"/>
    <n v="0"/>
    <n v="4168"/>
    <n v="2885.05"/>
    <n v="1282.9499999999998"/>
    <n v="0.30780950095969284"/>
    <x v="0"/>
    <x v="7"/>
  </r>
  <r>
    <x v="194"/>
    <x v="223"/>
    <s v="David Pokorný"/>
    <x v="0"/>
    <s v="Praha"/>
    <x v="0"/>
    <x v="3"/>
    <s v="Podložka na jógu"/>
    <s v="Dvořák"/>
    <n v="2"/>
    <n v="458"/>
    <n v="7.0000000000000007E-2"/>
    <n v="916"/>
    <n v="689.91"/>
    <n v="226.09000000000003"/>
    <n v="0.24682314410480352"/>
    <x v="0"/>
    <x v="3"/>
  </r>
  <r>
    <x v="195"/>
    <x v="224"/>
    <s v="Omega s.r.o."/>
    <x v="1"/>
    <s v="Praha"/>
    <x v="2"/>
    <x v="3"/>
    <s v="Podložka na jógu"/>
    <s v="Veselý"/>
    <n v="6"/>
    <n v="858"/>
    <n v="0.1"/>
    <n v="5148"/>
    <n v="4074.82"/>
    <n v="1073.1799999999998"/>
    <n v="0.20846542346542343"/>
    <x v="0"/>
    <x v="8"/>
  </r>
  <r>
    <x v="45"/>
    <x v="225"/>
    <s v="Petr Fiala"/>
    <x v="0"/>
    <s v="Slezsko"/>
    <x v="1"/>
    <x v="3"/>
    <s v="Podložka na jógu"/>
    <s v="Kučera"/>
    <n v="2"/>
    <n v="756"/>
    <n v="0.3"/>
    <n v="1512"/>
    <n v="746.06"/>
    <n v="765.94"/>
    <n v="0.50657407407407407"/>
    <x v="0"/>
    <x v="10"/>
  </r>
  <r>
    <x v="196"/>
    <x v="226"/>
    <s v="Beta a.s."/>
    <x v="1"/>
    <s v="Čechy"/>
    <x v="1"/>
    <x v="3"/>
    <s v="Podložka na jógu"/>
    <s v="Svoboda"/>
    <n v="7"/>
    <n v="1055"/>
    <n v="0.17"/>
    <n v="7385"/>
    <n v="4071.7"/>
    <n v="3313.3"/>
    <n v="0.44865267433987815"/>
    <x v="1"/>
    <x v="6"/>
  </r>
  <r>
    <x v="197"/>
    <x v="227"/>
    <s v="Karel Svoboda"/>
    <x v="0"/>
    <s v="Praha"/>
    <x v="0"/>
    <x v="3"/>
    <s v="Podložka na jógu"/>
    <s v="Novák"/>
    <n v="2"/>
    <n v="603"/>
    <n v="0.05"/>
    <n v="1206"/>
    <n v="809.43"/>
    <n v="396.57000000000005"/>
    <n v="0.3288308457711443"/>
    <x v="1"/>
    <x v="1"/>
  </r>
  <r>
    <x v="198"/>
    <x v="228"/>
    <s v="Martin Novotný"/>
    <x v="0"/>
    <s v="Morava"/>
    <x v="1"/>
    <x v="3"/>
    <s v="Podložka na jógu"/>
    <s v="Král"/>
    <n v="3"/>
    <n v="763"/>
    <n v="0.01"/>
    <n v="2289"/>
    <n v="1319.63"/>
    <n v="969.36999999999989"/>
    <n v="0.4234906072520751"/>
    <x v="1"/>
    <x v="9"/>
  </r>
  <r>
    <x v="199"/>
    <x v="229"/>
    <s v="Martin Král"/>
    <x v="0"/>
    <s v="Morava"/>
    <x v="0"/>
    <x v="3"/>
    <s v="Podložka na jógu"/>
    <s v="Novák"/>
    <n v="1"/>
    <n v="504"/>
    <n v="0.03"/>
    <n v="504"/>
    <n v="323.3"/>
    <n v="180.7"/>
    <n v="0.35853174603174603"/>
    <x v="1"/>
    <x v="9"/>
  </r>
  <r>
    <x v="200"/>
    <x v="230"/>
    <s v="Michal Horák"/>
    <x v="0"/>
    <s v="Slezsko"/>
    <x v="0"/>
    <x v="3"/>
    <s v="Podložka na jógu"/>
    <s v="Veselý"/>
    <n v="1"/>
    <n v="753"/>
    <n v="0.14000000000000001"/>
    <n v="753"/>
    <n v="509.73"/>
    <n v="243.26999999999998"/>
    <n v="0.32306772908366532"/>
    <x v="1"/>
    <x v="11"/>
  </r>
  <r>
    <x v="124"/>
    <x v="231"/>
    <s v="Tereza Dvořák"/>
    <x v="0"/>
    <s v="Čechy"/>
    <x v="0"/>
    <x v="3"/>
    <s v="Podložka na jógu"/>
    <s v="Beneš"/>
    <n v="3"/>
    <n v="542"/>
    <n v="0.08"/>
    <n v="1626"/>
    <n v="1219.77"/>
    <n v="406.23"/>
    <n v="0.24983394833948341"/>
    <x v="1"/>
    <x v="4"/>
  </r>
  <r>
    <x v="201"/>
    <x v="232"/>
    <s v="Vltava s.r.o."/>
    <x v="1"/>
    <s v="Slezsko"/>
    <x v="2"/>
    <x v="3"/>
    <s v="Podložka na jógu"/>
    <s v="Fiala"/>
    <n v="3"/>
    <n v="819"/>
    <n v="0.08"/>
    <n v="2457"/>
    <n v="1581"/>
    <n v="876"/>
    <n v="0.35653235653235654"/>
    <x v="1"/>
    <x v="4"/>
  </r>
  <r>
    <x v="70"/>
    <x v="233"/>
    <s v="Jan Veselý"/>
    <x v="0"/>
    <s v="Morava"/>
    <x v="1"/>
    <x v="3"/>
    <s v="Podložka na jógu"/>
    <s v="Král"/>
    <n v="5"/>
    <n v="635"/>
    <n v="0.06"/>
    <n v="3175"/>
    <n v="1913.79"/>
    <n v="1261.21"/>
    <n v="0.39723149606299213"/>
    <x v="2"/>
    <x v="0"/>
  </r>
  <r>
    <x v="202"/>
    <x v="234"/>
    <s v="Václav Dvořák"/>
    <x v="0"/>
    <s v="Čechy"/>
    <x v="0"/>
    <x v="3"/>
    <s v="Podložka na jógu"/>
    <s v="Král"/>
    <n v="2"/>
    <n v="653"/>
    <n v="0.09"/>
    <n v="1306"/>
    <n v="784.38"/>
    <n v="521.62"/>
    <n v="0.39940275650842266"/>
    <x v="2"/>
    <x v="0"/>
  </r>
  <r>
    <x v="131"/>
    <x v="235"/>
    <s v="Eliška Svoboda"/>
    <x v="0"/>
    <s v="Slezsko"/>
    <x v="1"/>
    <x v="0"/>
    <s v="Pero gelové"/>
    <s v="Svoboda"/>
    <n v="1"/>
    <n v="45"/>
    <n v="0.02"/>
    <n v="45"/>
    <n v="19.059999999999999"/>
    <n v="25.94"/>
    <n v="0.57644444444444443"/>
    <x v="0"/>
    <x v="6"/>
  </r>
  <r>
    <x v="203"/>
    <x v="236"/>
    <s v="Jiří Svoboda"/>
    <x v="0"/>
    <s v="Čechy"/>
    <x v="0"/>
    <x v="0"/>
    <s v="Pero gelové"/>
    <s v="Svoboda"/>
    <n v="3"/>
    <n v="45"/>
    <n v="0.06"/>
    <n v="135"/>
    <n v="54.48"/>
    <n v="80.52000000000001"/>
    <n v="0.59644444444444455"/>
    <x v="0"/>
    <x v="1"/>
  </r>
  <r>
    <x v="147"/>
    <x v="237"/>
    <s v="Martin Dvořák"/>
    <x v="0"/>
    <s v="Čechy"/>
    <x v="0"/>
    <x v="0"/>
    <s v="Pero gelové"/>
    <s v="Veselý"/>
    <n v="1"/>
    <n v="30"/>
    <n v="0"/>
    <n v="30"/>
    <n v="22.21"/>
    <n v="7.7899999999999991"/>
    <n v="0.25966666666666666"/>
    <x v="0"/>
    <x v="1"/>
  </r>
  <r>
    <x v="204"/>
    <x v="238"/>
    <s v="Lucie Pospíšil"/>
    <x v="0"/>
    <s v="Praha"/>
    <x v="1"/>
    <x v="0"/>
    <s v="Pero gelové"/>
    <s v="Fiala"/>
    <n v="3"/>
    <n v="45"/>
    <n v="0.1"/>
    <n v="135"/>
    <n v="81.260000000000005"/>
    <n v="53.739999999999995"/>
    <n v="0.39807407407407402"/>
    <x v="0"/>
    <x v="3"/>
  </r>
  <r>
    <x v="205"/>
    <x v="239"/>
    <s v="Martin Dvořák"/>
    <x v="0"/>
    <s v="Morava"/>
    <x v="0"/>
    <x v="0"/>
    <s v="Pero gelové"/>
    <s v="Fiala"/>
    <n v="3"/>
    <n v="36"/>
    <n v="0.06"/>
    <n v="108"/>
    <n v="71.010000000000005"/>
    <n v="36.989999999999995"/>
    <n v="0.34249999999999997"/>
    <x v="0"/>
    <x v="3"/>
  </r>
  <r>
    <x v="206"/>
    <x v="240"/>
    <s v="Kateřina Svoboda"/>
    <x v="0"/>
    <s v="Slezsko"/>
    <x v="1"/>
    <x v="0"/>
    <s v="Pero gelové"/>
    <s v="Novák"/>
    <n v="4"/>
    <n v="20"/>
    <n v="0"/>
    <n v="80"/>
    <n v="51.28"/>
    <n v="28.72"/>
    <n v="0.35899999999999999"/>
    <x v="0"/>
    <x v="5"/>
  </r>
  <r>
    <x v="207"/>
    <x v="241"/>
    <s v="Lucie Černý"/>
    <x v="0"/>
    <s v="Praha"/>
    <x v="0"/>
    <x v="0"/>
    <s v="Pero gelové"/>
    <s v="Novák"/>
    <n v="5"/>
    <n v="36"/>
    <n v="0.1"/>
    <n v="180"/>
    <n v="88.52"/>
    <n v="91.48"/>
    <n v="0.50822222222222224"/>
    <x v="1"/>
    <x v="6"/>
  </r>
  <r>
    <x v="208"/>
    <x v="242"/>
    <s v="Alena Král"/>
    <x v="0"/>
    <s v="Čechy"/>
    <x v="0"/>
    <x v="0"/>
    <s v="Pero gelové"/>
    <s v="Veselý"/>
    <n v="2"/>
    <n v="28"/>
    <n v="0.14000000000000001"/>
    <n v="56"/>
    <n v="26.92"/>
    <n v="29.08"/>
    <n v="0.51928571428571424"/>
    <x v="1"/>
    <x v="7"/>
  </r>
  <r>
    <x v="51"/>
    <x v="243"/>
    <s v="Radek Pokorný"/>
    <x v="0"/>
    <s v="Čechy"/>
    <x v="1"/>
    <x v="0"/>
    <s v="Pero gelové"/>
    <s v="Svoboda"/>
    <n v="1"/>
    <n v="32"/>
    <n v="0.06"/>
    <n v="32"/>
    <n v="23.65"/>
    <n v="8.3500000000000014"/>
    <n v="0.26093750000000004"/>
    <x v="1"/>
    <x v="7"/>
  </r>
  <r>
    <x v="209"/>
    <x v="244"/>
    <s v="Markéta Pospíšil"/>
    <x v="0"/>
    <s v="Morava"/>
    <x v="0"/>
    <x v="0"/>
    <s v="Pero gelové"/>
    <s v="Dvořák"/>
    <n v="5"/>
    <n v="38"/>
    <n v="0.15"/>
    <n v="190"/>
    <n v="97.09"/>
    <n v="92.91"/>
    <n v="0.48899999999999999"/>
    <x v="1"/>
    <x v="11"/>
  </r>
  <r>
    <x v="172"/>
    <x v="245"/>
    <s v="Orion a.s."/>
    <x v="1"/>
    <s v="Morava"/>
    <x v="0"/>
    <x v="0"/>
    <s v="Pero gelové"/>
    <s v="Dvořák"/>
    <n v="6"/>
    <n v="25"/>
    <n v="0.11"/>
    <n v="150"/>
    <n v="93.35"/>
    <n v="56.650000000000006"/>
    <n v="0.37766666666666671"/>
    <x v="2"/>
    <x v="6"/>
  </r>
  <r>
    <x v="210"/>
    <x v="246"/>
    <s v="Karolína Novotný"/>
    <x v="0"/>
    <s v="Praha"/>
    <x v="0"/>
    <x v="0"/>
    <s v="Pero gelové"/>
    <s v="Svoboda"/>
    <n v="1"/>
    <n v="56"/>
    <n v="0.02"/>
    <n v="56"/>
    <n v="14.69"/>
    <n v="41.31"/>
    <n v="0.73767857142857152"/>
    <x v="2"/>
    <x v="6"/>
  </r>
  <r>
    <x v="211"/>
    <x v="247"/>
    <s v="Omega s.r.o."/>
    <x v="1"/>
    <s v="Slezsko"/>
    <x v="2"/>
    <x v="0"/>
    <s v="Pero gelové"/>
    <s v="Dvořák"/>
    <n v="4"/>
    <n v="88"/>
    <n v="7.0000000000000007E-2"/>
    <n v="352"/>
    <n v="127.76"/>
    <n v="224.24"/>
    <n v="0.63704545454545458"/>
    <x v="2"/>
    <x v="1"/>
  </r>
  <r>
    <x v="212"/>
    <x v="248"/>
    <s v="Anna Kučera"/>
    <x v="0"/>
    <s v="Slezsko"/>
    <x v="2"/>
    <x v="0"/>
    <s v="Papír A4 80g"/>
    <s v="Svoboda"/>
    <n v="3"/>
    <n v="104"/>
    <n v="0.05"/>
    <n v="312"/>
    <n v="221.75"/>
    <n v="90.25"/>
    <n v="0.28926282051282054"/>
    <x v="0"/>
    <x v="0"/>
  </r>
  <r>
    <x v="212"/>
    <x v="249"/>
    <s v="Orion a.s."/>
    <x v="1"/>
    <s v="Čechy"/>
    <x v="2"/>
    <x v="0"/>
    <s v="Papír A4 80g"/>
    <s v="Novák"/>
    <n v="8"/>
    <n v="90"/>
    <n v="0"/>
    <n v="720"/>
    <n v="492.86"/>
    <n v="227.14"/>
    <n v="0.31547222222222221"/>
    <x v="0"/>
    <x v="0"/>
  </r>
  <r>
    <x v="57"/>
    <x v="250"/>
    <s v="Lucie Beneš"/>
    <x v="0"/>
    <s v="Praha"/>
    <x v="0"/>
    <x v="0"/>
    <s v="Papír A4 80g"/>
    <s v="Kučera"/>
    <n v="3"/>
    <n v="108"/>
    <n v="0.1"/>
    <n v="324"/>
    <n v="206.29"/>
    <n v="117.71000000000001"/>
    <n v="0.3633024691358025"/>
    <x v="0"/>
    <x v="2"/>
  </r>
  <r>
    <x v="213"/>
    <x v="251"/>
    <s v="Anna Kučera"/>
    <x v="0"/>
    <s v="Slezsko"/>
    <x v="0"/>
    <x v="0"/>
    <s v="Papír A4 80g"/>
    <s v="Veselý"/>
    <n v="3"/>
    <n v="83"/>
    <n v="0.06"/>
    <n v="249"/>
    <n v="176.37"/>
    <n v="72.63"/>
    <n v="0.29168674698795177"/>
    <x v="0"/>
    <x v="7"/>
  </r>
  <r>
    <x v="214"/>
    <x v="252"/>
    <s v="Martin Hájek"/>
    <x v="0"/>
    <s v="Morava"/>
    <x v="0"/>
    <x v="0"/>
    <s v="Papír A4 80g"/>
    <s v="Král"/>
    <n v="2"/>
    <n v="106"/>
    <n v="0.06"/>
    <n v="212"/>
    <n v="174.38"/>
    <n v="37.620000000000005"/>
    <n v="0.17745283018867927"/>
    <x v="0"/>
    <x v="8"/>
  </r>
  <r>
    <x v="215"/>
    <x v="253"/>
    <s v="Delta a.s."/>
    <x v="1"/>
    <s v="Čechy"/>
    <x v="1"/>
    <x v="0"/>
    <s v="Papír A4 80g"/>
    <s v="Veselý"/>
    <n v="9"/>
    <n v="100"/>
    <n v="0.1"/>
    <n v="900"/>
    <n v="536.08000000000004"/>
    <n v="363.91999999999996"/>
    <n v="0.40435555555555552"/>
    <x v="0"/>
    <x v="4"/>
  </r>
  <r>
    <x v="6"/>
    <x v="254"/>
    <s v="Vltava s.r.o."/>
    <x v="1"/>
    <s v="Morava"/>
    <x v="0"/>
    <x v="0"/>
    <s v="Papír A4 80g"/>
    <s v="Král"/>
    <n v="8"/>
    <n v="85"/>
    <n v="0.16"/>
    <n v="680"/>
    <n v="348.12"/>
    <n v="331.88"/>
    <n v="0.48805882352941177"/>
    <x v="0"/>
    <x v="5"/>
  </r>
  <r>
    <x v="62"/>
    <x v="255"/>
    <s v="Beta a.s."/>
    <x v="1"/>
    <s v="Praha"/>
    <x v="2"/>
    <x v="0"/>
    <s v="Papír A4 80g"/>
    <s v="Novák"/>
    <n v="6"/>
    <n v="102"/>
    <n v="0.23"/>
    <n v="612"/>
    <n v="386.77"/>
    <n v="225.23000000000002"/>
    <n v="0.3680228758169935"/>
    <x v="0"/>
    <x v="10"/>
  </r>
  <r>
    <x v="216"/>
    <x v="256"/>
    <s v="Radek Procházka"/>
    <x v="0"/>
    <s v="Čechy"/>
    <x v="1"/>
    <x v="0"/>
    <s v="Papír A4 80g"/>
    <s v="Kučera"/>
    <n v="1"/>
    <n v="84"/>
    <n v="0.03"/>
    <n v="84"/>
    <n v="55.53"/>
    <n v="28.47"/>
    <n v="0.33892857142857141"/>
    <x v="1"/>
    <x v="11"/>
  </r>
  <r>
    <x v="217"/>
    <x v="257"/>
    <s v="Petr Svoboda"/>
    <x v="0"/>
    <s v="Morava"/>
    <x v="2"/>
    <x v="0"/>
    <s v="Papír A4 80g"/>
    <s v="Dvořák"/>
    <n v="1"/>
    <n v="95"/>
    <n v="0.04"/>
    <n v="95"/>
    <n v="63.54"/>
    <n v="31.46"/>
    <n v="0.3311578947368421"/>
    <x v="2"/>
    <x v="0"/>
  </r>
  <r>
    <x v="218"/>
    <x v="258"/>
    <s v="Filip Veselý"/>
    <x v="0"/>
    <s v="Čechy"/>
    <x v="0"/>
    <x v="0"/>
    <s v="Papír A4 80g"/>
    <s v="Novák"/>
    <n v="3"/>
    <n v="85"/>
    <n v="0.02"/>
    <n v="255"/>
    <n v="167.67"/>
    <n v="87.330000000000013"/>
    <n v="0.34247058823529419"/>
    <x v="2"/>
    <x v="1"/>
  </r>
  <r>
    <x v="219"/>
    <x v="259"/>
    <s v="Jiří Němec"/>
    <x v="0"/>
    <s v="Čechy"/>
    <x v="0"/>
    <x v="2"/>
    <s v="Pánev 28 cm"/>
    <s v="Král"/>
    <n v="2"/>
    <n v="771"/>
    <n v="0.06"/>
    <n v="1542"/>
    <n v="1033.21"/>
    <n v="508.78999999999996"/>
    <n v="0.3299546044098573"/>
    <x v="0"/>
    <x v="6"/>
  </r>
  <r>
    <x v="220"/>
    <x v="260"/>
    <s v="Martin Jelínek"/>
    <x v="0"/>
    <s v="Čechy"/>
    <x v="1"/>
    <x v="2"/>
    <s v="Pánev 28 cm"/>
    <s v="Novák"/>
    <n v="4"/>
    <n v="1145"/>
    <n v="7.0000000000000007E-2"/>
    <n v="4580"/>
    <n v="3298.3"/>
    <n v="1281.6999999999998"/>
    <n v="0.27984716157205236"/>
    <x v="0"/>
    <x v="1"/>
  </r>
  <r>
    <x v="221"/>
    <x v="261"/>
    <s v="Tomáš Černý"/>
    <x v="0"/>
    <s v="Čechy"/>
    <x v="0"/>
    <x v="2"/>
    <s v="Pánev 28 cm"/>
    <s v="Beneš"/>
    <n v="1"/>
    <n v="1058"/>
    <n v="0"/>
    <n v="1058"/>
    <n v="692.58"/>
    <n v="365.41999999999996"/>
    <n v="0.34538752362948955"/>
    <x v="0"/>
    <x v="1"/>
  </r>
  <r>
    <x v="222"/>
    <x v="262"/>
    <s v="Martina Novák"/>
    <x v="0"/>
    <s v="Slezsko"/>
    <x v="1"/>
    <x v="2"/>
    <s v="Pánev 28 cm"/>
    <s v="Dvořák"/>
    <n v="2"/>
    <n v="1106"/>
    <n v="0.11"/>
    <n v="2212"/>
    <n v="1573.76"/>
    <n v="638.24"/>
    <n v="0.28853526220614828"/>
    <x v="0"/>
    <x v="8"/>
  </r>
  <r>
    <x v="223"/>
    <x v="263"/>
    <s v="Alena Beneš"/>
    <x v="0"/>
    <s v="Čechy"/>
    <x v="0"/>
    <x v="2"/>
    <s v="Pánev 28 cm"/>
    <s v="Fiala"/>
    <n v="3"/>
    <n v="853"/>
    <n v="0"/>
    <n v="2559"/>
    <n v="2006.75"/>
    <n v="552.25"/>
    <n v="0.21580695584212584"/>
    <x v="0"/>
    <x v="4"/>
  </r>
  <r>
    <x v="62"/>
    <x v="264"/>
    <s v="Gama s.r.o."/>
    <x v="1"/>
    <s v="Morava"/>
    <x v="2"/>
    <x v="2"/>
    <s v="Pánev 28 cm"/>
    <s v="Beneš"/>
    <n v="7"/>
    <n v="716"/>
    <n v="0.22"/>
    <n v="5012"/>
    <n v="3451.93"/>
    <n v="1560.0700000000002"/>
    <n v="0.31126695929768561"/>
    <x v="0"/>
    <x v="10"/>
  </r>
  <r>
    <x v="224"/>
    <x v="265"/>
    <s v="Karolína Černý"/>
    <x v="0"/>
    <s v="Praha"/>
    <x v="0"/>
    <x v="2"/>
    <s v="Pánev 28 cm"/>
    <s v="Svoboda"/>
    <n v="2"/>
    <n v="1190"/>
    <n v="0"/>
    <n v="2380"/>
    <n v="1471.36"/>
    <n v="908.6400000000001"/>
    <n v="0.38178151260504206"/>
    <x v="1"/>
    <x v="6"/>
  </r>
  <r>
    <x v="225"/>
    <x v="266"/>
    <s v="Orion a.s."/>
    <x v="1"/>
    <s v="Praha"/>
    <x v="2"/>
    <x v="2"/>
    <s v="Pánev 28 cm"/>
    <s v="Beneš"/>
    <n v="5"/>
    <n v="619"/>
    <n v="0.11"/>
    <n v="3095"/>
    <n v="1938.89"/>
    <n v="1156.1099999999999"/>
    <n v="0.37354119547657511"/>
    <x v="1"/>
    <x v="6"/>
  </r>
  <r>
    <x v="226"/>
    <x v="267"/>
    <s v="Tereza Hájek"/>
    <x v="0"/>
    <s v="Morava"/>
    <x v="1"/>
    <x v="2"/>
    <s v="Pánev 28 cm"/>
    <s v="Novák"/>
    <n v="3"/>
    <n v="671"/>
    <n v="0.05"/>
    <n v="2013"/>
    <n v="1469.27"/>
    <n v="543.73"/>
    <n v="0.27010928961748637"/>
    <x v="1"/>
    <x v="1"/>
  </r>
  <r>
    <x v="227"/>
    <x v="268"/>
    <s v="Ondřej Dvořák"/>
    <x v="0"/>
    <s v="Morava"/>
    <x v="0"/>
    <x v="2"/>
    <s v="Pánev 28 cm"/>
    <s v="Dvořák"/>
    <n v="2"/>
    <n v="1249"/>
    <n v="0.09"/>
    <n v="2498"/>
    <n v="1583.17"/>
    <n v="914.82999999999993"/>
    <n v="0.36622497998398718"/>
    <x v="1"/>
    <x v="1"/>
  </r>
  <r>
    <x v="228"/>
    <x v="269"/>
    <s v="Vltava s.r.o."/>
    <x v="1"/>
    <s v="Praha"/>
    <x v="2"/>
    <x v="2"/>
    <s v="Pánev 28 cm"/>
    <s v="Veselý"/>
    <n v="9"/>
    <n v="959"/>
    <n v="0.04"/>
    <n v="8631"/>
    <n v="6801.51"/>
    <n v="1829.4899999999998"/>
    <n v="0.21196732707681609"/>
    <x v="1"/>
    <x v="8"/>
  </r>
  <r>
    <x v="229"/>
    <x v="270"/>
    <s v="David Kučera"/>
    <x v="0"/>
    <s v="Praha"/>
    <x v="0"/>
    <x v="2"/>
    <s v="Pánev 28 cm"/>
    <s v="Fiala"/>
    <n v="4"/>
    <n v="943"/>
    <n v="0.11"/>
    <n v="3772"/>
    <n v="2588.6799999999998"/>
    <n v="1183.3200000000002"/>
    <n v="0.31371155885471902"/>
    <x v="1"/>
    <x v="5"/>
  </r>
  <r>
    <x v="230"/>
    <x v="271"/>
    <s v="Lukáš Novotný"/>
    <x v="0"/>
    <s v="Morava"/>
    <x v="0"/>
    <x v="2"/>
    <s v="Pánev 28 cm"/>
    <s v="Kučera"/>
    <n v="2"/>
    <n v="1216"/>
    <n v="0.28000000000000003"/>
    <n v="2432"/>
    <n v="1067.21"/>
    <n v="1364.79"/>
    <n v="0.56118009868421048"/>
    <x v="1"/>
    <x v="5"/>
  </r>
  <r>
    <x v="231"/>
    <x v="272"/>
    <s v="Jana Fiala"/>
    <x v="0"/>
    <s v="Praha"/>
    <x v="0"/>
    <x v="2"/>
    <s v="Pánev 28 cm"/>
    <s v="Dvořák"/>
    <n v="1"/>
    <n v="1078"/>
    <n v="0.14000000000000001"/>
    <n v="1078"/>
    <n v="674.86"/>
    <n v="403.14"/>
    <n v="0.37397031539888681"/>
    <x v="1"/>
    <x v="10"/>
  </r>
  <r>
    <x v="232"/>
    <x v="273"/>
    <s v="Karel Novák"/>
    <x v="0"/>
    <s v="Praha"/>
    <x v="0"/>
    <x v="2"/>
    <s v="Pánev 28 cm"/>
    <s v="Beneš"/>
    <n v="3"/>
    <n v="1106"/>
    <n v="0.03"/>
    <n v="3318"/>
    <n v="2288.42"/>
    <n v="1029.58"/>
    <n v="0.31030138637733573"/>
    <x v="1"/>
    <x v="10"/>
  </r>
  <r>
    <x v="233"/>
    <x v="274"/>
    <s v="Alena Hájek"/>
    <x v="0"/>
    <s v="Slezsko"/>
    <x v="1"/>
    <x v="2"/>
    <s v="Pánev 28 cm"/>
    <s v="Svoboda"/>
    <n v="2"/>
    <n v="692"/>
    <n v="0.13"/>
    <n v="1384"/>
    <n v="890.99"/>
    <n v="493.01"/>
    <n v="0.35622109826589593"/>
    <x v="2"/>
    <x v="0"/>
  </r>
  <r>
    <x v="234"/>
    <x v="275"/>
    <s v="Tereza Horák"/>
    <x v="0"/>
    <s v="Morava"/>
    <x v="1"/>
    <x v="2"/>
    <s v="Pánev 28 cm"/>
    <s v="Fiala"/>
    <n v="2"/>
    <n v="999"/>
    <n v="0.05"/>
    <n v="1998"/>
    <n v="1307.54"/>
    <n v="690.46"/>
    <n v="0.34557557557557561"/>
    <x v="2"/>
    <x v="1"/>
  </r>
  <r>
    <x v="235"/>
    <x v="276"/>
    <s v="Filip Dvořák"/>
    <x v="0"/>
    <s v="Morava"/>
    <x v="0"/>
    <x v="2"/>
    <s v="Pánev 28 cm"/>
    <s v="Dvořák"/>
    <n v="2"/>
    <n v="639"/>
    <n v="0.05"/>
    <n v="1278"/>
    <n v="883.47"/>
    <n v="394.53"/>
    <n v="0.30870892018779339"/>
    <x v="2"/>
    <x v="2"/>
  </r>
  <r>
    <x v="113"/>
    <x v="277"/>
    <s v="Veronika Svoboda"/>
    <x v="0"/>
    <s v="Praha"/>
    <x v="0"/>
    <x v="1"/>
    <s v="Notebook 14&quot;"/>
    <s v="Král"/>
    <n v="3"/>
    <n v="17877"/>
    <n v="0.09"/>
    <n v="53631"/>
    <n v="43309.94"/>
    <n v="10321.059999999998"/>
    <n v="0.19244578695157646"/>
    <x v="0"/>
    <x v="6"/>
  </r>
  <r>
    <x v="236"/>
    <x v="278"/>
    <s v="Gama s.r.o."/>
    <x v="1"/>
    <s v="Morava"/>
    <x v="2"/>
    <x v="1"/>
    <s v="Notebook 14&quot;"/>
    <s v="Novák"/>
    <n v="10"/>
    <n v="21466"/>
    <n v="0.11"/>
    <n v="214660"/>
    <n v="156407.17000000001"/>
    <n v="58252.829999999987"/>
    <n v="0.27137254262554733"/>
    <x v="0"/>
    <x v="1"/>
  </r>
  <r>
    <x v="237"/>
    <x v="279"/>
    <s v="David Novotný"/>
    <x v="0"/>
    <s v="Morava"/>
    <x v="0"/>
    <x v="1"/>
    <s v="Notebook 14&quot;"/>
    <s v="Fiala"/>
    <n v="3"/>
    <n v="21767"/>
    <n v="0.09"/>
    <n v="65301"/>
    <n v="44715.24"/>
    <n v="20585.760000000002"/>
    <n v="0.31524417696513074"/>
    <x v="0"/>
    <x v="9"/>
  </r>
  <r>
    <x v="238"/>
    <x v="280"/>
    <s v="Martin Kučera"/>
    <x v="0"/>
    <s v="Čechy"/>
    <x v="0"/>
    <x v="1"/>
    <s v="Notebook 14&quot;"/>
    <s v="Dvořák"/>
    <n v="1"/>
    <n v="20168"/>
    <n v="0.01"/>
    <n v="20168"/>
    <n v="15360.27"/>
    <n v="4807.7299999999996"/>
    <n v="0.23838407378024593"/>
    <x v="0"/>
    <x v="3"/>
  </r>
  <r>
    <x v="239"/>
    <x v="281"/>
    <s v="Daniel Hájek"/>
    <x v="0"/>
    <s v="Čechy"/>
    <x v="1"/>
    <x v="1"/>
    <s v="Notebook 14&quot;"/>
    <s v="Fiala"/>
    <n v="4"/>
    <n v="20583"/>
    <n v="0.13"/>
    <n v="82332"/>
    <n v="59734.31"/>
    <n v="22597.690000000002"/>
    <n v="0.27447031530874999"/>
    <x v="0"/>
    <x v="3"/>
  </r>
  <r>
    <x v="194"/>
    <x v="282"/>
    <s v="Vltava s.r.o."/>
    <x v="1"/>
    <s v="Morava"/>
    <x v="2"/>
    <x v="1"/>
    <s v="Notebook 14&quot;"/>
    <s v="Fiala"/>
    <n v="5"/>
    <n v="18861"/>
    <n v="0.03"/>
    <n v="94305"/>
    <n v="74521.55"/>
    <n v="19783.449999999997"/>
    <n v="0.20978155983245847"/>
    <x v="0"/>
    <x v="3"/>
  </r>
  <r>
    <x v="240"/>
    <x v="283"/>
    <s v="Petra Hájek"/>
    <x v="0"/>
    <s v="Čechy"/>
    <x v="0"/>
    <x v="1"/>
    <s v="Notebook 14&quot;"/>
    <s v="Kučera"/>
    <n v="3"/>
    <n v="20270"/>
    <n v="0.01"/>
    <n v="60810"/>
    <n v="48445.61"/>
    <n v="12364.39"/>
    <n v="0.20332823548758427"/>
    <x v="0"/>
    <x v="8"/>
  </r>
  <r>
    <x v="185"/>
    <x v="284"/>
    <s v="Veronika Černý"/>
    <x v="0"/>
    <s v="Morava"/>
    <x v="1"/>
    <x v="1"/>
    <s v="Notebook 14&quot;"/>
    <s v="Král"/>
    <n v="2"/>
    <n v="18055"/>
    <n v="0.19"/>
    <n v="36110"/>
    <n v="23144.38"/>
    <n v="12965.619999999999"/>
    <n v="0.35905898643035167"/>
    <x v="0"/>
    <x v="5"/>
  </r>
  <r>
    <x v="120"/>
    <x v="285"/>
    <s v="Petra Král"/>
    <x v="0"/>
    <s v="Čechy"/>
    <x v="0"/>
    <x v="1"/>
    <s v="Notebook 14&quot;"/>
    <s v="Dvořák"/>
    <n v="4"/>
    <n v="22519"/>
    <n v="0.08"/>
    <n v="90076"/>
    <n v="70600.31"/>
    <n v="19475.690000000002"/>
    <n v="0.21621397486566901"/>
    <x v="1"/>
    <x v="11"/>
  </r>
  <r>
    <x v="241"/>
    <x v="286"/>
    <s v="Alfa s.r.o."/>
    <x v="1"/>
    <s v="Morava"/>
    <x v="1"/>
    <x v="1"/>
    <s v="Notebook 14&quot;"/>
    <s v="Veselý"/>
    <n v="13"/>
    <n v="21145"/>
    <n v="0"/>
    <n v="274885"/>
    <n v="224812.07"/>
    <n v="50072.929999999993"/>
    <n v="0.18215955763319203"/>
    <x v="1"/>
    <x v="4"/>
  </r>
  <r>
    <x v="242"/>
    <x v="287"/>
    <s v="Martina Novák"/>
    <x v="0"/>
    <s v="Čechy"/>
    <x v="1"/>
    <x v="1"/>
    <s v="Notebook 14&quot;"/>
    <s v="Novák"/>
    <n v="2"/>
    <n v="25465"/>
    <n v="0.14000000000000001"/>
    <n v="50930"/>
    <n v="29331.53"/>
    <n v="21598.47"/>
    <n v="0.42408148439033971"/>
    <x v="1"/>
    <x v="5"/>
  </r>
  <r>
    <x v="96"/>
    <x v="288"/>
    <s v="Veronika Veselý"/>
    <x v="0"/>
    <s v="Praha"/>
    <x v="1"/>
    <x v="1"/>
    <s v="Notebook 14&quot;"/>
    <s v="Fiala"/>
    <n v="3"/>
    <n v="23697"/>
    <n v="7.0000000000000007E-2"/>
    <n v="71091"/>
    <n v="52858.67"/>
    <n v="18232.330000000002"/>
    <n v="0.25646467204006135"/>
    <x v="1"/>
    <x v="10"/>
  </r>
  <r>
    <x v="97"/>
    <x v="289"/>
    <s v="Jana Černý"/>
    <x v="0"/>
    <s v="Praha"/>
    <x v="0"/>
    <x v="1"/>
    <s v="Notebook 14&quot;"/>
    <s v="Svoboda"/>
    <n v="1"/>
    <n v="22538"/>
    <n v="0.14000000000000001"/>
    <n v="22538"/>
    <n v="16416.080000000002"/>
    <n v="6121.9199999999983"/>
    <n v="0.27162658620995644"/>
    <x v="1"/>
    <x v="10"/>
  </r>
  <r>
    <x v="243"/>
    <x v="290"/>
    <s v="David Král"/>
    <x v="0"/>
    <s v="Čechy"/>
    <x v="0"/>
    <x v="1"/>
    <s v="Notebook 14&quot;"/>
    <s v="Veselý"/>
    <n v="2"/>
    <n v="20916"/>
    <n v="0.24"/>
    <n v="41832"/>
    <n v="24780.93"/>
    <n v="17051.07"/>
    <n v="0.40760829030407342"/>
    <x v="2"/>
    <x v="6"/>
  </r>
  <r>
    <x v="244"/>
    <x v="291"/>
    <s v="Eliška Král"/>
    <x v="0"/>
    <s v="Praha"/>
    <x v="0"/>
    <x v="1"/>
    <s v="Notebook 14&quot;"/>
    <s v="Kučera"/>
    <n v="3"/>
    <n v="24798"/>
    <n v="0.17"/>
    <n v="74394"/>
    <n v="47857.27"/>
    <n v="26536.730000000003"/>
    <n v="0.35670524504664358"/>
    <x v="2"/>
    <x v="0"/>
  </r>
  <r>
    <x v="126"/>
    <x v="292"/>
    <s v="Delta a.s."/>
    <x v="1"/>
    <s v="Čechy"/>
    <x v="2"/>
    <x v="1"/>
    <s v="Notebook 14&quot;"/>
    <s v="Kučera"/>
    <n v="6"/>
    <n v="18017"/>
    <n v="0.04"/>
    <n v="108102"/>
    <n v="94651.07"/>
    <n v="13450.929999999993"/>
    <n v="0.12442813268949689"/>
    <x v="2"/>
    <x v="1"/>
  </r>
  <r>
    <x v="245"/>
    <x v="293"/>
    <s v="Petra Fiala"/>
    <x v="0"/>
    <s v="Praha"/>
    <x v="0"/>
    <x v="1"/>
    <s v="Notebook 14&quot;"/>
    <s v="Kučera"/>
    <n v="1"/>
    <n v="21857"/>
    <n v="0.04"/>
    <n v="21857"/>
    <n v="17113.689999999999"/>
    <n v="4743.3100000000013"/>
    <n v="0.2170156014091596"/>
    <x v="2"/>
    <x v="1"/>
  </r>
  <r>
    <x v="246"/>
    <x v="294"/>
    <s v="Jiří Horák"/>
    <x v="0"/>
    <s v="Praha"/>
    <x v="0"/>
    <x v="1"/>
    <s v="Myš bezdrátová"/>
    <s v="Novák"/>
    <n v="5"/>
    <n v="602"/>
    <n v="0.05"/>
    <n v="3010"/>
    <n v="2309.33"/>
    <n v="700.67000000000007"/>
    <n v="0.23278073089700999"/>
    <x v="0"/>
    <x v="6"/>
  </r>
  <r>
    <x v="247"/>
    <x v="295"/>
    <s v="Omega s.r.o."/>
    <x v="1"/>
    <s v="Čechy"/>
    <x v="0"/>
    <x v="1"/>
    <s v="Myš bezdrátová"/>
    <s v="Kučera"/>
    <n v="10"/>
    <n v="573"/>
    <n v="0.09"/>
    <n v="5730"/>
    <n v="4550.54"/>
    <n v="1179.46"/>
    <n v="0.20583944153577663"/>
    <x v="0"/>
    <x v="9"/>
  </r>
  <r>
    <x v="248"/>
    <x v="296"/>
    <s v="Lukáš Veselý"/>
    <x v="0"/>
    <s v="Morava"/>
    <x v="1"/>
    <x v="1"/>
    <s v="Myš bezdrátová"/>
    <s v="Beneš"/>
    <n v="5"/>
    <n v="375"/>
    <n v="0"/>
    <n v="1875"/>
    <n v="1606.33"/>
    <n v="268.67000000000007"/>
    <n v="0.14329066666666671"/>
    <x v="0"/>
    <x v="9"/>
  </r>
  <r>
    <x v="249"/>
    <x v="297"/>
    <s v="Karel Král"/>
    <x v="0"/>
    <s v="Praha"/>
    <x v="0"/>
    <x v="1"/>
    <s v="Myš bezdrátová"/>
    <s v="Král"/>
    <n v="1"/>
    <n v="585"/>
    <n v="0.16"/>
    <n v="585"/>
    <n v="406.02"/>
    <n v="178.98000000000002"/>
    <n v="0.30594871794871797"/>
    <x v="1"/>
    <x v="6"/>
  </r>
  <r>
    <x v="250"/>
    <x v="298"/>
    <s v="Anna Beneš"/>
    <x v="0"/>
    <s v="Morava"/>
    <x v="0"/>
    <x v="1"/>
    <s v="Myš bezdrátová"/>
    <s v="Dvořák"/>
    <n v="2"/>
    <n v="420"/>
    <n v="0.1"/>
    <n v="840"/>
    <n v="565.55999999999995"/>
    <n v="274.44000000000005"/>
    <n v="0.32671428571428579"/>
    <x v="1"/>
    <x v="1"/>
  </r>
  <r>
    <x v="251"/>
    <x v="299"/>
    <s v="Beta a.s."/>
    <x v="1"/>
    <s v="Čechy"/>
    <x v="0"/>
    <x v="1"/>
    <s v="Myš bezdrátová"/>
    <s v="Beneš"/>
    <n v="7"/>
    <n v="940"/>
    <n v="0"/>
    <n v="6580"/>
    <n v="5508.4"/>
    <n v="1071.6000000000004"/>
    <n v="0.16285714285714292"/>
    <x v="1"/>
    <x v="9"/>
  </r>
  <r>
    <x v="119"/>
    <x v="300"/>
    <s v="Martin Fiala"/>
    <x v="0"/>
    <s v="Čechy"/>
    <x v="0"/>
    <x v="1"/>
    <s v="Myš bezdrátová"/>
    <s v="Svoboda"/>
    <n v="4"/>
    <n v="496"/>
    <n v="0.1"/>
    <n v="1984"/>
    <n v="1578.64"/>
    <n v="405.3599999999999"/>
    <n v="0.2043145161290322"/>
    <x v="1"/>
    <x v="7"/>
  </r>
  <r>
    <x v="252"/>
    <x v="301"/>
    <s v="Filip Černý"/>
    <x v="0"/>
    <s v="Praha"/>
    <x v="0"/>
    <x v="1"/>
    <s v="Myš bezdrátová"/>
    <s v="Svoboda"/>
    <n v="1"/>
    <n v="723"/>
    <n v="7.0000000000000007E-2"/>
    <n v="723"/>
    <n v="569.51"/>
    <n v="153.49"/>
    <n v="0.2122959889349931"/>
    <x v="1"/>
    <x v="8"/>
  </r>
  <r>
    <x v="124"/>
    <x v="302"/>
    <s v="Karolína Horák"/>
    <x v="0"/>
    <s v="Čechy"/>
    <x v="0"/>
    <x v="1"/>
    <s v="Myš bezdrátová"/>
    <s v="Beneš"/>
    <n v="2"/>
    <n v="713"/>
    <n v="7.0000000000000007E-2"/>
    <n v="1426"/>
    <n v="1137.7"/>
    <n v="288.29999999999995"/>
    <n v="0.20217391304347823"/>
    <x v="1"/>
    <x v="4"/>
  </r>
  <r>
    <x v="253"/>
    <x v="303"/>
    <s v="Michal Hájek"/>
    <x v="0"/>
    <s v="Morava"/>
    <x v="0"/>
    <x v="1"/>
    <s v="Myš bezdrátová"/>
    <s v="Svoboda"/>
    <n v="7"/>
    <n v="626"/>
    <n v="0.08"/>
    <n v="4382"/>
    <n v="3226.18"/>
    <n v="1155.8200000000002"/>
    <n v="0.26376540392514836"/>
    <x v="1"/>
    <x v="5"/>
  </r>
  <r>
    <x v="254"/>
    <x v="304"/>
    <s v="Petra Černý"/>
    <x v="0"/>
    <s v="Praha"/>
    <x v="0"/>
    <x v="1"/>
    <s v="Myš bezdrátová"/>
    <s v="Král"/>
    <n v="5"/>
    <n v="630"/>
    <n v="0.04"/>
    <n v="3150"/>
    <n v="2616.77"/>
    <n v="533.23"/>
    <n v="0.16927936507936509"/>
    <x v="2"/>
    <x v="0"/>
  </r>
  <r>
    <x v="255"/>
    <x v="305"/>
    <s v="Petr Hájek"/>
    <x v="0"/>
    <s v="Praha"/>
    <x v="1"/>
    <x v="1"/>
    <s v="Myš bezdrátová"/>
    <s v="Král"/>
    <n v="1"/>
    <n v="795"/>
    <n v="0.05"/>
    <n v="795"/>
    <n v="654.02"/>
    <n v="140.98000000000002"/>
    <n v="0.17733333333333334"/>
    <x v="2"/>
    <x v="2"/>
  </r>
  <r>
    <x v="235"/>
    <x v="306"/>
    <s v="Karel Dvořák"/>
    <x v="0"/>
    <s v="Praha"/>
    <x v="1"/>
    <x v="1"/>
    <s v="Myš bezdrátová"/>
    <s v="Dvořák"/>
    <n v="3"/>
    <n v="869"/>
    <n v="0.11"/>
    <n v="2607"/>
    <n v="1787.96"/>
    <n v="819.04"/>
    <n v="0.31416954353663212"/>
    <x v="2"/>
    <x v="2"/>
  </r>
  <r>
    <x v="235"/>
    <x v="307"/>
    <s v="Jiří Němec"/>
    <x v="0"/>
    <s v="Morava"/>
    <x v="1"/>
    <x v="1"/>
    <s v="Myš bezdrátová"/>
    <s v="Fiala"/>
    <n v="4"/>
    <n v="710"/>
    <n v="0.1"/>
    <n v="2840"/>
    <n v="2127.52"/>
    <n v="712.48"/>
    <n v="0.25087323943661971"/>
    <x v="2"/>
    <x v="2"/>
  </r>
  <r>
    <x v="80"/>
    <x v="308"/>
    <s v="Kappa s.r.o."/>
    <x v="1"/>
    <s v="Morava"/>
    <x v="1"/>
    <x v="1"/>
    <s v="Monitor 27&quot;"/>
    <s v="Fiala"/>
    <n v="6"/>
    <n v="5928"/>
    <n v="0.08"/>
    <n v="35568"/>
    <n v="27076.93"/>
    <n v="8491.07"/>
    <n v="0.23872778902384165"/>
    <x v="0"/>
    <x v="0"/>
  </r>
  <r>
    <x v="256"/>
    <x v="309"/>
    <s v="Martin Král"/>
    <x v="0"/>
    <s v="Slezsko"/>
    <x v="0"/>
    <x v="1"/>
    <s v="Monitor 27&quot;"/>
    <s v="Kučera"/>
    <n v="3"/>
    <n v="4119"/>
    <n v="0"/>
    <n v="12357"/>
    <n v="10570.79"/>
    <n v="1786.2099999999991"/>
    <n v="0.14455045723071935"/>
    <x v="0"/>
    <x v="0"/>
  </r>
  <r>
    <x v="257"/>
    <x v="310"/>
    <s v="Kateřina Procházka"/>
    <x v="0"/>
    <s v="Čechy"/>
    <x v="0"/>
    <x v="1"/>
    <s v="Monitor 27&quot;"/>
    <s v="Svoboda"/>
    <n v="1"/>
    <n v="5357"/>
    <n v="0.04"/>
    <n v="5357"/>
    <n v="3905.39"/>
    <n v="1451.6100000000001"/>
    <n v="0.27097442598469296"/>
    <x v="0"/>
    <x v="1"/>
  </r>
  <r>
    <x v="258"/>
    <x v="311"/>
    <s v="Alena Pospíšil"/>
    <x v="0"/>
    <s v="Morava"/>
    <x v="1"/>
    <x v="1"/>
    <s v="Monitor 27&quot;"/>
    <s v="Beneš"/>
    <n v="1"/>
    <n v="4748"/>
    <n v="0.04"/>
    <n v="4748"/>
    <n v="3331.37"/>
    <n v="1416.63"/>
    <n v="0.2983635214827296"/>
    <x v="0"/>
    <x v="7"/>
  </r>
  <r>
    <x v="259"/>
    <x v="312"/>
    <s v="Petra Dvořák"/>
    <x v="0"/>
    <s v="Praha"/>
    <x v="0"/>
    <x v="1"/>
    <s v="Monitor 27&quot;"/>
    <s v="Fiala"/>
    <n v="3"/>
    <n v="6312"/>
    <n v="0.12"/>
    <n v="18936"/>
    <n v="14628.53"/>
    <n v="4307.4699999999993"/>
    <n v="0.22747517955217572"/>
    <x v="0"/>
    <x v="4"/>
  </r>
  <r>
    <x v="260"/>
    <x v="313"/>
    <s v="Anna Veselý"/>
    <x v="0"/>
    <s v="Praha"/>
    <x v="0"/>
    <x v="1"/>
    <s v="Monitor 27&quot;"/>
    <s v="Svoboda"/>
    <n v="3"/>
    <n v="6577"/>
    <n v="0.1"/>
    <n v="19731"/>
    <n v="13414.88"/>
    <n v="6316.1200000000008"/>
    <n v="0.32011149967056918"/>
    <x v="0"/>
    <x v="10"/>
  </r>
  <r>
    <x v="261"/>
    <x v="314"/>
    <s v="Kateřina Veselý"/>
    <x v="0"/>
    <s v="Čechy"/>
    <x v="0"/>
    <x v="1"/>
    <s v="Monitor 27&quot;"/>
    <s v="Beneš"/>
    <n v="2"/>
    <n v="5443"/>
    <n v="0.03"/>
    <n v="10886"/>
    <n v="8583.64"/>
    <n v="2302.3600000000006"/>
    <n v="0.21149733602792584"/>
    <x v="0"/>
    <x v="10"/>
  </r>
  <r>
    <x v="28"/>
    <x v="315"/>
    <s v="Omega s.r.o."/>
    <x v="1"/>
    <s v="Praha"/>
    <x v="2"/>
    <x v="1"/>
    <s v="Monitor 27&quot;"/>
    <s v="Novák"/>
    <n v="5"/>
    <n v="4547"/>
    <n v="7.0000000000000007E-2"/>
    <n v="22735"/>
    <n v="17347.34"/>
    <n v="5387.66"/>
    <n v="0.23697646800087968"/>
    <x v="1"/>
    <x v="6"/>
  </r>
  <r>
    <x v="262"/>
    <x v="316"/>
    <s v="Tereza Král"/>
    <x v="0"/>
    <s v="Praha"/>
    <x v="0"/>
    <x v="1"/>
    <s v="Monitor 27&quot;"/>
    <s v="Beneš"/>
    <n v="3"/>
    <n v="5639"/>
    <n v="0.12"/>
    <n v="16917"/>
    <n v="10655.5"/>
    <n v="6261.5"/>
    <n v="0.37013063781994443"/>
    <x v="1"/>
    <x v="0"/>
  </r>
  <r>
    <x v="263"/>
    <x v="317"/>
    <s v="Filip Pokorný"/>
    <x v="0"/>
    <s v="Praha"/>
    <x v="1"/>
    <x v="1"/>
    <s v="Monitor 27&quot;"/>
    <s v="Beneš"/>
    <n v="3"/>
    <n v="4853"/>
    <n v="0.04"/>
    <n v="14559"/>
    <n v="10552.15"/>
    <n v="4006.8500000000004"/>
    <n v="0.27521464386290267"/>
    <x v="1"/>
    <x v="0"/>
  </r>
  <r>
    <x v="264"/>
    <x v="318"/>
    <s v="Václav Černý"/>
    <x v="0"/>
    <s v="Slezsko"/>
    <x v="1"/>
    <x v="1"/>
    <s v="Monitor 27&quot;"/>
    <s v="Kučera"/>
    <n v="3"/>
    <n v="4540"/>
    <n v="0"/>
    <n v="13620"/>
    <n v="11082"/>
    <n v="2538"/>
    <n v="0.18634361233480176"/>
    <x v="1"/>
    <x v="1"/>
  </r>
  <r>
    <x v="265"/>
    <x v="319"/>
    <s v="Martin Jelínek"/>
    <x v="0"/>
    <s v="Čechy"/>
    <x v="0"/>
    <x v="1"/>
    <s v="Monitor 27&quot;"/>
    <s v="Veselý"/>
    <n v="4"/>
    <n v="4622"/>
    <n v="0.04"/>
    <n v="18488"/>
    <n v="13300.08"/>
    <n v="5187.92"/>
    <n v="0.28061012548680225"/>
    <x v="1"/>
    <x v="2"/>
  </r>
  <r>
    <x v="266"/>
    <x v="320"/>
    <s v="Martin Fiala"/>
    <x v="0"/>
    <s v="Praha"/>
    <x v="0"/>
    <x v="1"/>
    <s v="Monitor 27&quot;"/>
    <s v="Kučera"/>
    <n v="3"/>
    <n v="6870"/>
    <n v="0.1"/>
    <n v="20610"/>
    <n v="14089.95"/>
    <n v="6520.0499999999993"/>
    <n v="0.31635371179039296"/>
    <x v="1"/>
    <x v="7"/>
  </r>
  <r>
    <x v="267"/>
    <x v="321"/>
    <s v="Karel Jelínek"/>
    <x v="0"/>
    <s v="Morava"/>
    <x v="0"/>
    <x v="1"/>
    <s v="Monitor 27&quot;"/>
    <s v="Svoboda"/>
    <n v="5"/>
    <n v="6071"/>
    <n v="7.0000000000000007E-2"/>
    <n v="30355"/>
    <n v="25934.67"/>
    <n v="4420.3300000000017"/>
    <n v="0.14562114972821616"/>
    <x v="1"/>
    <x v="5"/>
  </r>
  <r>
    <x v="268"/>
    <x v="322"/>
    <s v="Daniel Novotný"/>
    <x v="0"/>
    <s v="Morava"/>
    <x v="1"/>
    <x v="1"/>
    <s v="Monitor 27&quot;"/>
    <s v="Král"/>
    <n v="2"/>
    <n v="4482"/>
    <n v="0.18"/>
    <n v="8964"/>
    <n v="5820.98"/>
    <n v="3143.0200000000004"/>
    <n v="0.3506269522534583"/>
    <x v="1"/>
    <x v="10"/>
  </r>
  <r>
    <x v="269"/>
    <x v="323"/>
    <s v="Karolína Pokorný"/>
    <x v="0"/>
    <s v="Praha"/>
    <x v="0"/>
    <x v="1"/>
    <s v="Monitor 27&quot;"/>
    <s v="Novák"/>
    <n v="1"/>
    <n v="5173"/>
    <n v="0.06"/>
    <n v="5173"/>
    <n v="3584.28"/>
    <n v="1588.7199999999998"/>
    <n v="0.30711772665764542"/>
    <x v="2"/>
    <x v="6"/>
  </r>
  <r>
    <x v="270"/>
    <x v="324"/>
    <s v="Radek Beneš"/>
    <x v="0"/>
    <s v="Čechy"/>
    <x v="0"/>
    <x v="1"/>
    <s v="Monitor 27&quot;"/>
    <s v="Svoboda"/>
    <n v="1"/>
    <n v="5451"/>
    <n v="0.09"/>
    <n v="5451"/>
    <n v="4045.68"/>
    <n v="1405.3200000000002"/>
    <n v="0.25780957622454598"/>
    <x v="2"/>
    <x v="0"/>
  </r>
  <r>
    <x v="271"/>
    <x v="325"/>
    <s v="Jana Svoboda"/>
    <x v="0"/>
    <s v="Morava"/>
    <x v="1"/>
    <x v="1"/>
    <s v="Monitor 27&quot;"/>
    <s v="Kučera"/>
    <n v="2"/>
    <n v="5483"/>
    <n v="0.1"/>
    <n v="10966"/>
    <n v="8052.5"/>
    <n v="2913.5"/>
    <n v="0.26568484406346893"/>
    <x v="2"/>
    <x v="1"/>
  </r>
  <r>
    <x v="246"/>
    <x v="326"/>
    <s v="Martin Němec"/>
    <x v="0"/>
    <s v="Praha"/>
    <x v="0"/>
    <x v="2"/>
    <s v="Mixér stolní"/>
    <s v="Kučera"/>
    <n v="3"/>
    <n v="1172"/>
    <n v="0.14000000000000001"/>
    <n v="3516"/>
    <n v="2225.37"/>
    <n v="1290.6300000000001"/>
    <n v="0.36707337883959046"/>
    <x v="0"/>
    <x v="6"/>
  </r>
  <r>
    <x v="272"/>
    <x v="327"/>
    <s v="Karel Fiala"/>
    <x v="0"/>
    <s v="Slezsko"/>
    <x v="1"/>
    <x v="2"/>
    <s v="Mixér stolní"/>
    <s v="Kučera"/>
    <n v="3"/>
    <n v="1494"/>
    <n v="0.18"/>
    <n v="4482"/>
    <n v="2775.06"/>
    <n v="1706.94"/>
    <n v="0.3808433734939759"/>
    <x v="0"/>
    <x v="6"/>
  </r>
  <r>
    <x v="147"/>
    <x v="328"/>
    <s v="Markéta Procházka"/>
    <x v="0"/>
    <s v="Morava"/>
    <x v="1"/>
    <x v="2"/>
    <s v="Mixér stolní"/>
    <s v="Svoboda"/>
    <n v="4"/>
    <n v="1037"/>
    <n v="0.09"/>
    <n v="4148"/>
    <n v="2180.83"/>
    <n v="1967.17"/>
    <n v="0.47424541947926713"/>
    <x v="0"/>
    <x v="1"/>
  </r>
  <r>
    <x v="194"/>
    <x v="329"/>
    <s v="Martin Fiala"/>
    <x v="0"/>
    <s v="Slezsko"/>
    <x v="0"/>
    <x v="2"/>
    <s v="Mixér stolní"/>
    <s v="Kučera"/>
    <n v="2"/>
    <n v="1549"/>
    <n v="0.01"/>
    <n v="3098"/>
    <n v="2088.02"/>
    <n v="1009.98"/>
    <n v="0.32601032924467399"/>
    <x v="0"/>
    <x v="3"/>
  </r>
  <r>
    <x v="240"/>
    <x v="330"/>
    <s v="Jan Procházka"/>
    <x v="0"/>
    <s v="Praha"/>
    <x v="0"/>
    <x v="2"/>
    <s v="Mixér stolní"/>
    <s v="Kučera"/>
    <n v="1"/>
    <n v="2281"/>
    <n v="0.01"/>
    <n v="2281"/>
    <n v="1831.37"/>
    <n v="449.63000000000011"/>
    <n v="0.19711968434896979"/>
    <x v="0"/>
    <x v="8"/>
  </r>
  <r>
    <x v="59"/>
    <x v="331"/>
    <s v="Lukáš Hájek"/>
    <x v="0"/>
    <s v="Praha"/>
    <x v="0"/>
    <x v="2"/>
    <s v="Mixér stolní"/>
    <s v="Beneš"/>
    <n v="3"/>
    <n v="1294"/>
    <n v="0.14000000000000001"/>
    <n v="3882"/>
    <n v="2785.48"/>
    <n v="1096.52"/>
    <n v="0.28246264811952604"/>
    <x v="0"/>
    <x v="4"/>
  </r>
  <r>
    <x v="273"/>
    <x v="332"/>
    <s v="Lukáš Procházka"/>
    <x v="0"/>
    <s v="Čechy"/>
    <x v="0"/>
    <x v="2"/>
    <s v="Mixér stolní"/>
    <s v="Beneš"/>
    <n v="2"/>
    <n v="2302"/>
    <n v="0.13"/>
    <n v="4604"/>
    <n v="2868.59"/>
    <n v="1735.4099999999999"/>
    <n v="0.37693527367506513"/>
    <x v="0"/>
    <x v="4"/>
  </r>
  <r>
    <x v="274"/>
    <x v="333"/>
    <s v="Markéta Horák"/>
    <x v="0"/>
    <s v="Čechy"/>
    <x v="2"/>
    <x v="2"/>
    <s v="Mixér stolní"/>
    <s v="Dvořák"/>
    <n v="1"/>
    <n v="987"/>
    <n v="0.11"/>
    <n v="987"/>
    <n v="701.87"/>
    <n v="285.13"/>
    <n v="0.28888551165146908"/>
    <x v="1"/>
    <x v="0"/>
  </r>
  <r>
    <x v="275"/>
    <x v="334"/>
    <s v="Beta a.s."/>
    <x v="1"/>
    <s v="Slezsko"/>
    <x v="2"/>
    <x v="2"/>
    <s v="Mixér stolní"/>
    <s v="Král"/>
    <n v="8"/>
    <n v="1556"/>
    <n v="0"/>
    <n v="12448"/>
    <n v="9989.4500000000007"/>
    <n v="2458.5499999999993"/>
    <n v="0.19750562339331615"/>
    <x v="1"/>
    <x v="9"/>
  </r>
  <r>
    <x v="276"/>
    <x v="335"/>
    <s v="Lucie Černý"/>
    <x v="0"/>
    <s v="Morava"/>
    <x v="1"/>
    <x v="2"/>
    <s v="Mixér stolní"/>
    <s v="Fiala"/>
    <n v="2"/>
    <n v="1951"/>
    <n v="0.12"/>
    <n v="3902"/>
    <n v="2770.53"/>
    <n v="1131.4699999999998"/>
    <n v="0.28997180932854943"/>
    <x v="1"/>
    <x v="10"/>
  </r>
  <r>
    <x v="277"/>
    <x v="336"/>
    <s v="Tomáš Král"/>
    <x v="0"/>
    <s v="Morava"/>
    <x v="1"/>
    <x v="2"/>
    <s v="Mixér stolní"/>
    <s v="Fiala"/>
    <n v="3"/>
    <n v="1088"/>
    <n v="0.08"/>
    <n v="3264"/>
    <n v="2064.4499999999998"/>
    <n v="1199.5500000000002"/>
    <n v="0.36750919117647063"/>
    <x v="2"/>
    <x v="6"/>
  </r>
  <r>
    <x v="278"/>
    <x v="337"/>
    <s v="Ondřej Němec"/>
    <x v="0"/>
    <s v="Morava"/>
    <x v="0"/>
    <x v="2"/>
    <s v="Mixér stolní"/>
    <s v="Svoboda"/>
    <n v="3"/>
    <n v="1435"/>
    <n v="0.09"/>
    <n v="4305"/>
    <n v="2900.01"/>
    <n v="1404.9899999999998"/>
    <n v="0.32636236933797902"/>
    <x v="2"/>
    <x v="9"/>
  </r>
  <r>
    <x v="258"/>
    <x v="338"/>
    <s v="Eliška Jelínek"/>
    <x v="0"/>
    <s v="Praha"/>
    <x v="0"/>
    <x v="2"/>
    <s v="LED žárovka 10W"/>
    <s v="Kučera"/>
    <n v="2"/>
    <n v="81"/>
    <n v="0.1"/>
    <n v="162"/>
    <n v="108.28"/>
    <n v="53.72"/>
    <n v="0.33160493827160492"/>
    <x v="0"/>
    <x v="7"/>
  </r>
  <r>
    <x v="151"/>
    <x v="339"/>
    <s v="Gama s.r.o."/>
    <x v="1"/>
    <s v="Praha"/>
    <x v="0"/>
    <x v="2"/>
    <s v="LED žárovka 10W"/>
    <s v="Beneš"/>
    <n v="9"/>
    <n v="65"/>
    <n v="0.06"/>
    <n v="585"/>
    <n v="358.99"/>
    <n v="226.01"/>
    <n v="0.38634188034188033"/>
    <x v="0"/>
    <x v="3"/>
  </r>
  <r>
    <x v="279"/>
    <x v="340"/>
    <s v="Petra Procházka"/>
    <x v="0"/>
    <s v="Čechy"/>
    <x v="0"/>
    <x v="2"/>
    <s v="LED žárovka 10W"/>
    <s v="Novák"/>
    <n v="4"/>
    <n v="96"/>
    <n v="0.12"/>
    <n v="384"/>
    <n v="229.83"/>
    <n v="154.16999999999999"/>
    <n v="0.40148437499999995"/>
    <x v="0"/>
    <x v="3"/>
  </r>
  <r>
    <x v="93"/>
    <x v="341"/>
    <s v="Martin Pospíšil"/>
    <x v="0"/>
    <s v="Čechy"/>
    <x v="1"/>
    <x v="2"/>
    <s v="LED žárovka 10W"/>
    <s v="Fiala"/>
    <n v="5"/>
    <n v="82"/>
    <n v="0"/>
    <n v="410"/>
    <n v="314.22000000000003"/>
    <n v="95.779999999999973"/>
    <n v="0.23360975609756091"/>
    <x v="0"/>
    <x v="4"/>
  </r>
  <r>
    <x v="260"/>
    <x v="342"/>
    <s v="Alfa s.r.o."/>
    <x v="1"/>
    <s v="Morava"/>
    <x v="2"/>
    <x v="2"/>
    <s v="LED žárovka 10W"/>
    <s v="Kučera"/>
    <n v="6"/>
    <n v="54"/>
    <n v="0.3"/>
    <n v="324"/>
    <n v="189.98"/>
    <n v="134.02000000000001"/>
    <n v="0.413641975308642"/>
    <x v="0"/>
    <x v="10"/>
  </r>
  <r>
    <x v="280"/>
    <x v="343"/>
    <s v="Jan Černý"/>
    <x v="0"/>
    <s v="Čechy"/>
    <x v="0"/>
    <x v="2"/>
    <s v="LED žárovka 10W"/>
    <s v="Veselý"/>
    <n v="3"/>
    <n v="76"/>
    <n v="0.23"/>
    <n v="228"/>
    <n v="113.48"/>
    <n v="114.52"/>
    <n v="0.50228070175438599"/>
    <x v="0"/>
    <x v="10"/>
  </r>
  <r>
    <x v="281"/>
    <x v="344"/>
    <s v="Martina Němec"/>
    <x v="0"/>
    <s v="Čechy"/>
    <x v="0"/>
    <x v="2"/>
    <s v="LED žárovka 10W"/>
    <s v="Kučera"/>
    <n v="2"/>
    <n v="76"/>
    <n v="0.13"/>
    <n v="152"/>
    <n v="85.83"/>
    <n v="66.17"/>
    <n v="0.43532894736842104"/>
    <x v="0"/>
    <x v="10"/>
  </r>
  <r>
    <x v="282"/>
    <x v="345"/>
    <s v="Karel Pokorný"/>
    <x v="0"/>
    <s v="Čechy"/>
    <x v="0"/>
    <x v="2"/>
    <s v="LED žárovka 10W"/>
    <s v="Novák"/>
    <n v="7"/>
    <n v="71"/>
    <n v="0.06"/>
    <n v="497"/>
    <n v="320.69"/>
    <n v="176.31"/>
    <n v="0.35474849094567407"/>
    <x v="1"/>
    <x v="9"/>
  </r>
  <r>
    <x v="283"/>
    <x v="346"/>
    <s v="Tereza Novotný"/>
    <x v="0"/>
    <s v="Morava"/>
    <x v="0"/>
    <x v="2"/>
    <s v="LED žárovka 10W"/>
    <s v="Novák"/>
    <n v="3"/>
    <n v="51"/>
    <n v="0.01"/>
    <n v="153"/>
    <n v="106.48"/>
    <n v="46.519999999999996"/>
    <n v="0.30405228758169933"/>
    <x v="1"/>
    <x v="2"/>
  </r>
  <r>
    <x v="284"/>
    <x v="347"/>
    <s v="Eliška Dvořák"/>
    <x v="0"/>
    <s v="Morava"/>
    <x v="0"/>
    <x v="2"/>
    <s v="LED žárovka 10W"/>
    <s v="Kučera"/>
    <n v="5"/>
    <n v="98"/>
    <n v="0.01"/>
    <n v="490"/>
    <n v="343.85"/>
    <n v="146.14999999999998"/>
    <n v="0.29826530612244895"/>
    <x v="1"/>
    <x v="11"/>
  </r>
  <r>
    <x v="285"/>
    <x v="348"/>
    <s v="Alfa s.r.o."/>
    <x v="1"/>
    <s v="Čechy"/>
    <x v="2"/>
    <x v="2"/>
    <s v="LED žárovka 10W"/>
    <s v="Veselý"/>
    <n v="12"/>
    <n v="99"/>
    <n v="0.02"/>
    <n v="1188"/>
    <n v="916.87"/>
    <n v="271.13"/>
    <n v="0.22822390572390572"/>
    <x v="1"/>
    <x v="3"/>
  </r>
  <r>
    <x v="286"/>
    <x v="349"/>
    <s v="Beta a.s."/>
    <x v="1"/>
    <s v="Čechy"/>
    <x v="1"/>
    <x v="2"/>
    <s v="LED žárovka 10W"/>
    <s v="Svoboda"/>
    <n v="6"/>
    <n v="97"/>
    <n v="0.09"/>
    <n v="582"/>
    <n v="367.56"/>
    <n v="214.44"/>
    <n v="0.36845360824742268"/>
    <x v="1"/>
    <x v="3"/>
  </r>
  <r>
    <x v="241"/>
    <x v="350"/>
    <s v="Radek Král"/>
    <x v="0"/>
    <s v="Morava"/>
    <x v="0"/>
    <x v="2"/>
    <s v="LED žárovka 10W"/>
    <s v="Svoboda"/>
    <n v="3"/>
    <n v="106"/>
    <n v="0.05"/>
    <n v="318"/>
    <n v="202.06"/>
    <n v="115.94"/>
    <n v="0.36459119496855347"/>
    <x v="1"/>
    <x v="4"/>
  </r>
  <r>
    <x v="287"/>
    <x v="351"/>
    <s v="Jiří Horák"/>
    <x v="0"/>
    <s v="Čechy"/>
    <x v="1"/>
    <x v="2"/>
    <s v="LED žárovka 10W"/>
    <s v="Beneš"/>
    <n v="3"/>
    <n v="62"/>
    <n v="0.08"/>
    <n v="186"/>
    <n v="135.54"/>
    <n v="50.460000000000008"/>
    <n v="0.27129032258064523"/>
    <x v="1"/>
    <x v="5"/>
  </r>
  <r>
    <x v="230"/>
    <x v="352"/>
    <s v="Martina Dvořák"/>
    <x v="0"/>
    <s v="Praha"/>
    <x v="0"/>
    <x v="2"/>
    <s v="LED žárovka 10W"/>
    <s v="Novák"/>
    <n v="5"/>
    <n v="108"/>
    <n v="0.28000000000000003"/>
    <n v="540"/>
    <n v="314.45"/>
    <n v="225.55"/>
    <n v="0.41768518518518521"/>
    <x v="1"/>
    <x v="5"/>
  </r>
  <r>
    <x v="288"/>
    <x v="353"/>
    <s v="Anna Fiala"/>
    <x v="0"/>
    <s v="Čechy"/>
    <x v="0"/>
    <x v="2"/>
    <s v="LED žárovka 10W"/>
    <s v="Dvořák"/>
    <n v="3"/>
    <n v="96"/>
    <n v="0.14000000000000001"/>
    <n v="288"/>
    <n v="207.92"/>
    <n v="80.080000000000013"/>
    <n v="0.27805555555555561"/>
    <x v="1"/>
    <x v="10"/>
  </r>
  <r>
    <x v="289"/>
    <x v="354"/>
    <s v="Jana Dvořák"/>
    <x v="0"/>
    <s v="Čechy"/>
    <x v="0"/>
    <x v="2"/>
    <s v="LED žárovka 10W"/>
    <s v="Beneš"/>
    <n v="5"/>
    <n v="80"/>
    <n v="0.1"/>
    <n v="400"/>
    <n v="298.14"/>
    <n v="101.86000000000001"/>
    <n v="0.25465000000000004"/>
    <x v="2"/>
    <x v="0"/>
  </r>
  <r>
    <x v="56"/>
    <x v="355"/>
    <s v="Martin Pospíšil"/>
    <x v="0"/>
    <s v="Čechy"/>
    <x v="0"/>
    <x v="2"/>
    <s v="LED žárovka 10W"/>
    <s v="Novák"/>
    <n v="2"/>
    <n v="97"/>
    <n v="0.08"/>
    <n v="194"/>
    <n v="130.63999999999999"/>
    <n v="63.360000000000014"/>
    <n v="0.32659793814432997"/>
    <x v="2"/>
    <x v="1"/>
  </r>
  <r>
    <x v="127"/>
    <x v="356"/>
    <s v="Markéta Fiala"/>
    <x v="0"/>
    <s v="Čechy"/>
    <x v="0"/>
    <x v="2"/>
    <s v="LED žárovka 10W"/>
    <s v="Novák"/>
    <n v="2"/>
    <n v="95"/>
    <n v="0.08"/>
    <n v="190"/>
    <n v="109.82"/>
    <n v="80.180000000000007"/>
    <n v="0.42200000000000004"/>
    <x v="2"/>
    <x v="9"/>
  </r>
  <r>
    <x v="72"/>
    <x v="357"/>
    <s v="Karel Procházka"/>
    <x v="0"/>
    <s v="Morava"/>
    <x v="1"/>
    <x v="2"/>
    <s v="LED žárovka 10W"/>
    <s v="Veselý"/>
    <n v="4"/>
    <n v="101"/>
    <n v="7.0000000000000007E-2"/>
    <n v="404"/>
    <n v="287.38"/>
    <n v="116.62"/>
    <n v="0.2886633663366337"/>
    <x v="2"/>
    <x v="9"/>
  </r>
  <r>
    <x v="148"/>
    <x v="358"/>
    <s v="Kappa s.r.o."/>
    <x v="1"/>
    <s v="Morava"/>
    <x v="2"/>
    <x v="0"/>
    <s v="Laminovací fólie"/>
    <s v="Veselý"/>
    <n v="7"/>
    <n v="180"/>
    <n v="0.14000000000000001"/>
    <n v="1260"/>
    <n v="828.37"/>
    <n v="431.63"/>
    <n v="0.34256349206349207"/>
    <x v="0"/>
    <x v="9"/>
  </r>
  <r>
    <x v="2"/>
    <x v="359"/>
    <s v="Jan Fiala"/>
    <x v="0"/>
    <s v="Praha"/>
    <x v="0"/>
    <x v="0"/>
    <s v="Laminovací fólie"/>
    <s v="Beneš"/>
    <n v="1"/>
    <n v="240"/>
    <n v="0.05"/>
    <n v="240"/>
    <n v="160.86000000000001"/>
    <n v="79.139999999999986"/>
    <n v="0.32974999999999993"/>
    <x v="0"/>
    <x v="2"/>
  </r>
  <r>
    <x v="290"/>
    <x v="360"/>
    <s v="Delta a.s."/>
    <x v="1"/>
    <s v="Praha"/>
    <x v="1"/>
    <x v="0"/>
    <s v="Laminovací fólie"/>
    <s v="Svoboda"/>
    <n v="6"/>
    <n v="219"/>
    <n v="0.22"/>
    <n v="1314"/>
    <n v="795.3"/>
    <n v="518.70000000000005"/>
    <n v="0.39474885844748864"/>
    <x v="0"/>
    <x v="7"/>
  </r>
  <r>
    <x v="291"/>
    <x v="361"/>
    <s v="Karolína Pospíšil"/>
    <x v="0"/>
    <s v="Morava"/>
    <x v="0"/>
    <x v="0"/>
    <s v="Laminovací fólie"/>
    <s v="Kučera"/>
    <n v="2"/>
    <n v="223"/>
    <n v="0.03"/>
    <n v="446"/>
    <n v="347.68"/>
    <n v="98.32"/>
    <n v="0.22044843049327353"/>
    <x v="0"/>
    <x v="3"/>
  </r>
  <r>
    <x v="292"/>
    <x v="362"/>
    <s v="Vltava s.r.o."/>
    <x v="1"/>
    <s v="Slezsko"/>
    <x v="2"/>
    <x v="0"/>
    <s v="Laminovací fólie"/>
    <s v="Svoboda"/>
    <n v="10"/>
    <n v="153"/>
    <n v="0.15"/>
    <n v="1530"/>
    <n v="982.89"/>
    <n v="547.11"/>
    <n v="0.35758823529411765"/>
    <x v="0"/>
    <x v="8"/>
  </r>
  <r>
    <x v="182"/>
    <x v="363"/>
    <s v="Kappa s.r.o."/>
    <x v="1"/>
    <s v="Praha"/>
    <x v="2"/>
    <x v="0"/>
    <s v="Laminovací fólie"/>
    <s v="Beneš"/>
    <n v="9"/>
    <n v="280"/>
    <n v="0"/>
    <n v="2520"/>
    <n v="1536.3"/>
    <n v="983.7"/>
    <n v="0.3903571428571429"/>
    <x v="0"/>
    <x v="8"/>
  </r>
  <r>
    <x v="293"/>
    <x v="364"/>
    <s v="Jan Pospíšil"/>
    <x v="0"/>
    <s v="Čechy"/>
    <x v="1"/>
    <x v="0"/>
    <s v="Laminovací fólie"/>
    <s v="Král"/>
    <n v="1"/>
    <n v="128"/>
    <n v="7.0000000000000007E-2"/>
    <n v="128"/>
    <n v="91.97"/>
    <n v="36.03"/>
    <n v="0.28148437500000001"/>
    <x v="0"/>
    <x v="5"/>
  </r>
  <r>
    <x v="294"/>
    <x v="365"/>
    <s v="Daniel Horák"/>
    <x v="0"/>
    <s v="Čechy"/>
    <x v="0"/>
    <x v="0"/>
    <s v="Laminovací fólie"/>
    <s v="Král"/>
    <n v="2"/>
    <n v="115"/>
    <n v="0.12"/>
    <n v="230"/>
    <n v="117.86"/>
    <n v="112.14"/>
    <n v="0.48756521739130437"/>
    <x v="1"/>
    <x v="0"/>
  </r>
  <r>
    <x v="168"/>
    <x v="366"/>
    <s v="Anna Kučera"/>
    <x v="0"/>
    <s v="Čechy"/>
    <x v="0"/>
    <x v="0"/>
    <s v="Laminovací fólie"/>
    <s v="Dvořák"/>
    <n v="3"/>
    <n v="141"/>
    <n v="0.1"/>
    <n v="423"/>
    <n v="270.13"/>
    <n v="152.87"/>
    <n v="0.36139479905437355"/>
    <x v="1"/>
    <x v="9"/>
  </r>
  <r>
    <x v="295"/>
    <x v="367"/>
    <s v="Ondřej Němec"/>
    <x v="0"/>
    <s v="Morava"/>
    <x v="1"/>
    <x v="0"/>
    <s v="Laminovací fólie"/>
    <s v="Král"/>
    <n v="3"/>
    <n v="251"/>
    <n v="0.03"/>
    <n v="753"/>
    <n v="516.21"/>
    <n v="236.78999999999996"/>
    <n v="0.31446215139442224"/>
    <x v="1"/>
    <x v="9"/>
  </r>
  <r>
    <x v="296"/>
    <x v="368"/>
    <s v="Petr Němec"/>
    <x v="0"/>
    <s v="Čechy"/>
    <x v="1"/>
    <x v="0"/>
    <s v="Laminovací fólie"/>
    <s v="Beneš"/>
    <n v="3"/>
    <n v="194"/>
    <n v="0.01"/>
    <n v="582"/>
    <n v="312.8"/>
    <n v="269.2"/>
    <n v="0.46254295532646045"/>
    <x v="1"/>
    <x v="2"/>
  </r>
  <r>
    <x v="297"/>
    <x v="369"/>
    <s v="Alena Svoboda"/>
    <x v="0"/>
    <s v="Praha"/>
    <x v="1"/>
    <x v="0"/>
    <s v="Laminovací fólie"/>
    <s v="Kučera"/>
    <n v="2"/>
    <n v="236"/>
    <n v="0.05"/>
    <n v="472"/>
    <n v="326.91000000000003"/>
    <n v="145.08999999999997"/>
    <n v="0.3073940677966101"/>
    <x v="1"/>
    <x v="3"/>
  </r>
  <r>
    <x v="298"/>
    <x v="370"/>
    <s v="Daniel Jelínek"/>
    <x v="0"/>
    <s v="Morava"/>
    <x v="1"/>
    <x v="0"/>
    <s v="Laminovací fólie"/>
    <s v="Beneš"/>
    <n v="4"/>
    <n v="289"/>
    <n v="0.02"/>
    <n v="1156"/>
    <n v="753.43"/>
    <n v="402.57000000000005"/>
    <n v="0.34824394463667824"/>
    <x v="1"/>
    <x v="8"/>
  </r>
  <r>
    <x v="124"/>
    <x v="371"/>
    <s v="Orion a.s."/>
    <x v="1"/>
    <s v="Praha"/>
    <x v="0"/>
    <x v="0"/>
    <s v="Laminovací fólie"/>
    <s v="Svoboda"/>
    <n v="10"/>
    <n v="306"/>
    <n v="0.05"/>
    <n v="3060"/>
    <n v="2182.48"/>
    <n v="877.52"/>
    <n v="0.28677124183006536"/>
    <x v="1"/>
    <x v="4"/>
  </r>
  <r>
    <x v="299"/>
    <x v="372"/>
    <s v="Kateřina Pokorný"/>
    <x v="0"/>
    <s v="Morava"/>
    <x v="0"/>
    <x v="0"/>
    <s v="Laminovací fólie"/>
    <s v="Novák"/>
    <n v="5"/>
    <n v="215"/>
    <n v="0"/>
    <n v="1075"/>
    <n v="587.26"/>
    <n v="487.74"/>
    <n v="0.45371162790697678"/>
    <x v="1"/>
    <x v="5"/>
  </r>
  <r>
    <x v="300"/>
    <x v="373"/>
    <s v="Markéta Dvořák"/>
    <x v="0"/>
    <s v="Morava"/>
    <x v="1"/>
    <x v="0"/>
    <s v="Laminovací fólie"/>
    <s v="Král"/>
    <n v="1"/>
    <n v="211"/>
    <n v="0.14000000000000001"/>
    <n v="211"/>
    <n v="158.21"/>
    <n v="52.789999999999992"/>
    <n v="0.2501895734597156"/>
    <x v="2"/>
    <x v="6"/>
  </r>
  <r>
    <x v="301"/>
    <x v="374"/>
    <s v="Lucie Pokorný"/>
    <x v="0"/>
    <s v="Praha"/>
    <x v="1"/>
    <x v="0"/>
    <s v="Laminovací fólie"/>
    <s v="Novák"/>
    <n v="1"/>
    <n v="135"/>
    <n v="0.04"/>
    <n v="135"/>
    <n v="99.82"/>
    <n v="35.180000000000007"/>
    <n v="0.26059259259259265"/>
    <x v="2"/>
    <x v="6"/>
  </r>
  <r>
    <x v="70"/>
    <x v="375"/>
    <s v="Václav Němec"/>
    <x v="0"/>
    <s v="Morava"/>
    <x v="1"/>
    <x v="0"/>
    <s v="Laminovací fólie"/>
    <s v="Svoboda"/>
    <n v="2"/>
    <n v="185"/>
    <n v="0.03"/>
    <n v="370"/>
    <n v="267.63"/>
    <n v="102.37"/>
    <n v="0.27667567567567569"/>
    <x v="2"/>
    <x v="0"/>
  </r>
  <r>
    <x v="244"/>
    <x v="376"/>
    <s v="Vltava s.r.o."/>
    <x v="1"/>
    <s v="Čechy"/>
    <x v="2"/>
    <x v="0"/>
    <s v="Laminovací fólie"/>
    <s v="Veselý"/>
    <n v="8"/>
    <n v="228"/>
    <n v="0.02"/>
    <n v="1824"/>
    <n v="1274.77"/>
    <n v="549.23"/>
    <n v="0.30111293859649124"/>
    <x v="2"/>
    <x v="0"/>
  </r>
  <r>
    <x v="302"/>
    <x v="377"/>
    <s v="Orion a.s."/>
    <x v="1"/>
    <s v="Praha"/>
    <x v="0"/>
    <x v="0"/>
    <s v="Laminovací fólie"/>
    <s v="Kučera"/>
    <n v="6"/>
    <n v="145"/>
    <n v="0.14000000000000001"/>
    <n v="870"/>
    <n v="573.34"/>
    <n v="296.65999999999997"/>
    <n v="0.34098850574712641"/>
    <x v="2"/>
    <x v="2"/>
  </r>
  <r>
    <x v="303"/>
    <x v="378"/>
    <s v="Anna Dvořák"/>
    <x v="0"/>
    <s v="Praha"/>
    <x v="1"/>
    <x v="0"/>
    <s v="Laminovací fólie"/>
    <s v="Novák"/>
    <n v="2"/>
    <n v="135"/>
    <n v="0.11"/>
    <n v="270"/>
    <n v="167.48"/>
    <n v="102.52000000000001"/>
    <n v="0.37970370370370377"/>
    <x v="2"/>
    <x v="2"/>
  </r>
  <r>
    <x v="304"/>
    <x v="379"/>
    <s v="Václav Svoboda"/>
    <x v="0"/>
    <s v="Slezsko"/>
    <x v="0"/>
    <x v="0"/>
    <s v="Laminovací fólie"/>
    <s v="Novák"/>
    <n v="2"/>
    <n v="152"/>
    <n v="7.0000000000000007E-2"/>
    <n v="304"/>
    <n v="216.62"/>
    <n v="87.38"/>
    <n v="0.28743421052631579"/>
    <x v="2"/>
    <x v="2"/>
  </r>
  <r>
    <x v="305"/>
    <x v="380"/>
    <s v="Daniel Veselý"/>
    <x v="0"/>
    <s v="Slezsko"/>
    <x v="0"/>
    <x v="3"/>
    <s v="Láhev 1l"/>
    <s v="Dvořák"/>
    <n v="3"/>
    <n v="265"/>
    <n v="0.04"/>
    <n v="795"/>
    <n v="557.92999999999995"/>
    <n v="237.07000000000005"/>
    <n v="0.29820125786163526"/>
    <x v="0"/>
    <x v="6"/>
  </r>
  <r>
    <x v="104"/>
    <x v="381"/>
    <s v="Kateřina Horák"/>
    <x v="0"/>
    <s v="Praha"/>
    <x v="0"/>
    <x v="3"/>
    <s v="Láhev 1l"/>
    <s v="Král"/>
    <n v="3"/>
    <n v="291"/>
    <n v="0.1"/>
    <n v="873"/>
    <n v="510.45"/>
    <n v="362.55"/>
    <n v="0.41529209621993129"/>
    <x v="0"/>
    <x v="7"/>
  </r>
  <r>
    <x v="306"/>
    <x v="382"/>
    <s v="Lukáš Pokorný"/>
    <x v="0"/>
    <s v="Praha"/>
    <x v="0"/>
    <x v="3"/>
    <s v="Láhev 1l"/>
    <s v="Beneš"/>
    <n v="5"/>
    <n v="303"/>
    <n v="0.02"/>
    <n v="1515"/>
    <n v="1000.46"/>
    <n v="514.54"/>
    <n v="0.33963036303630362"/>
    <x v="0"/>
    <x v="7"/>
  </r>
  <r>
    <x v="307"/>
    <x v="383"/>
    <s v="Alena Němec"/>
    <x v="0"/>
    <s v="Morava"/>
    <x v="0"/>
    <x v="3"/>
    <s v="Láhev 1l"/>
    <s v="Beneš"/>
    <n v="2"/>
    <n v="424"/>
    <n v="0"/>
    <n v="848"/>
    <n v="550.76"/>
    <n v="297.24"/>
    <n v="0.3505188679245283"/>
    <x v="0"/>
    <x v="11"/>
  </r>
  <r>
    <x v="58"/>
    <x v="384"/>
    <s v="Delta a.s."/>
    <x v="1"/>
    <s v="Praha"/>
    <x v="1"/>
    <x v="3"/>
    <s v="Láhev 1l"/>
    <s v="Dvořák"/>
    <n v="9"/>
    <n v="268"/>
    <n v="0.09"/>
    <n v="2412"/>
    <n v="1093.48"/>
    <n v="1318.52"/>
    <n v="0.54665008291873962"/>
    <x v="0"/>
    <x v="8"/>
  </r>
  <r>
    <x v="308"/>
    <x v="385"/>
    <s v="Karolína Král"/>
    <x v="0"/>
    <s v="Morava"/>
    <x v="1"/>
    <x v="3"/>
    <s v="Láhev 1l"/>
    <s v="Fiala"/>
    <n v="2"/>
    <n v="243"/>
    <n v="0.09"/>
    <n v="486"/>
    <n v="333.3"/>
    <n v="152.69999999999999"/>
    <n v="0.31419753086419749"/>
    <x v="0"/>
    <x v="10"/>
  </r>
  <r>
    <x v="45"/>
    <x v="386"/>
    <s v="Orion a.s."/>
    <x v="1"/>
    <s v="Čechy"/>
    <x v="2"/>
    <x v="3"/>
    <s v="Láhev 1l"/>
    <s v="Dvořák"/>
    <n v="11"/>
    <n v="221"/>
    <n v="0.19"/>
    <n v="2431"/>
    <n v="1527.49"/>
    <n v="903.51"/>
    <n v="0.37166186754422048"/>
    <x v="0"/>
    <x v="10"/>
  </r>
  <r>
    <x v="309"/>
    <x v="387"/>
    <s v="Karolína Beneš"/>
    <x v="0"/>
    <s v="Praha"/>
    <x v="0"/>
    <x v="3"/>
    <s v="Láhev 1l"/>
    <s v="Beneš"/>
    <n v="2"/>
    <n v="320"/>
    <n v="0.13"/>
    <n v="640"/>
    <n v="451.84"/>
    <n v="188.16000000000003"/>
    <n v="0.29400000000000004"/>
    <x v="1"/>
    <x v="3"/>
  </r>
  <r>
    <x v="310"/>
    <x v="388"/>
    <s v="Orion a.s."/>
    <x v="1"/>
    <s v="Slezsko"/>
    <x v="2"/>
    <x v="3"/>
    <s v="Láhev 1l"/>
    <s v="Kučera"/>
    <n v="9"/>
    <n v="212"/>
    <n v="0.12"/>
    <n v="1908"/>
    <n v="1121.44"/>
    <n v="786.56"/>
    <n v="0.41224318658280917"/>
    <x v="1"/>
    <x v="10"/>
  </r>
  <r>
    <x v="311"/>
    <x v="389"/>
    <s v="Martin Novotný"/>
    <x v="0"/>
    <s v="Morava"/>
    <x v="0"/>
    <x v="1"/>
    <s v="Klávesnice mechanická"/>
    <s v="Fiala"/>
    <n v="2"/>
    <n v="2014"/>
    <n v="7.0000000000000007E-2"/>
    <n v="4028"/>
    <n v="3051.75"/>
    <n v="976.25"/>
    <n v="0.24236593843098311"/>
    <x v="0"/>
    <x v="9"/>
  </r>
  <r>
    <x v="312"/>
    <x v="390"/>
    <s v="Orion a.s."/>
    <x v="1"/>
    <s v="Čechy"/>
    <x v="2"/>
    <x v="1"/>
    <s v="Klávesnice mechanická"/>
    <s v="Fiala"/>
    <n v="8"/>
    <n v="1962"/>
    <n v="0.03"/>
    <n v="15696"/>
    <n v="12356.63"/>
    <n v="3339.3700000000008"/>
    <n v="0.2127529306829766"/>
    <x v="0"/>
    <x v="7"/>
  </r>
  <r>
    <x v="313"/>
    <x v="391"/>
    <s v="Omega s.r.o."/>
    <x v="1"/>
    <s v="Praha"/>
    <x v="2"/>
    <x v="1"/>
    <s v="Klávesnice mechanická"/>
    <s v="Fiala"/>
    <n v="8"/>
    <n v="1415"/>
    <n v="0.06"/>
    <n v="11320"/>
    <n v="8192.58"/>
    <n v="3127.42"/>
    <n v="0.27627385159010603"/>
    <x v="0"/>
    <x v="3"/>
  </r>
  <r>
    <x v="314"/>
    <x v="392"/>
    <s v="Petr Černý"/>
    <x v="0"/>
    <s v="Morava"/>
    <x v="1"/>
    <x v="1"/>
    <s v="Klávesnice mechanická"/>
    <s v="Novák"/>
    <n v="1"/>
    <n v="2780"/>
    <n v="0.13"/>
    <n v="2780"/>
    <n v="2020.76"/>
    <n v="759.24"/>
    <n v="0.27310791366906473"/>
    <x v="1"/>
    <x v="7"/>
  </r>
  <r>
    <x v="315"/>
    <x v="393"/>
    <s v="Orion a.s."/>
    <x v="1"/>
    <s v="Čechy"/>
    <x v="2"/>
    <x v="1"/>
    <s v="Klávesnice mechanická"/>
    <s v="Dvořák"/>
    <n v="6"/>
    <n v="1733"/>
    <n v="0.22"/>
    <n v="10398"/>
    <n v="6363.74"/>
    <n v="4034.26"/>
    <n v="0.38798422773610314"/>
    <x v="1"/>
    <x v="11"/>
  </r>
  <r>
    <x v="316"/>
    <x v="394"/>
    <s v="Martina Pospíšil"/>
    <x v="0"/>
    <s v="Morava"/>
    <x v="0"/>
    <x v="1"/>
    <s v="Klávesnice mechanická"/>
    <s v="Dvořák"/>
    <n v="3"/>
    <n v="2644"/>
    <n v="0.02"/>
    <n v="7932"/>
    <n v="6199.73"/>
    <n v="1732.2700000000004"/>
    <n v="0.21839006555723656"/>
    <x v="1"/>
    <x v="4"/>
  </r>
  <r>
    <x v="317"/>
    <x v="395"/>
    <s v="Petr Kučera"/>
    <x v="0"/>
    <s v="Praha"/>
    <x v="0"/>
    <x v="1"/>
    <s v="Klávesnice mechanická"/>
    <s v="Svoboda"/>
    <n v="1"/>
    <n v="1476"/>
    <n v="0.09"/>
    <n v="1476"/>
    <n v="1077.4100000000001"/>
    <n v="398.58999999999992"/>
    <n v="0.2700474254742547"/>
    <x v="1"/>
    <x v="10"/>
  </r>
  <r>
    <x v="268"/>
    <x v="396"/>
    <s v="Petra Hájek"/>
    <x v="0"/>
    <s v="Praha"/>
    <x v="0"/>
    <x v="1"/>
    <s v="Klávesnice mechanická"/>
    <s v="Král"/>
    <n v="3"/>
    <n v="3183"/>
    <n v="0.18"/>
    <n v="9549"/>
    <n v="6114.65"/>
    <n v="3434.3500000000004"/>
    <n v="0.35965546130484871"/>
    <x v="1"/>
    <x v="10"/>
  </r>
  <r>
    <x v="318"/>
    <x v="397"/>
    <s v="Vltava s.r.o."/>
    <x v="1"/>
    <s v="Čechy"/>
    <x v="1"/>
    <x v="1"/>
    <s v="Klávesnice mechanická"/>
    <s v="Král"/>
    <n v="7"/>
    <n v="3162"/>
    <n v="0.11"/>
    <n v="22134"/>
    <n v="15998.66"/>
    <n v="6135.34"/>
    <n v="0.27719074726664861"/>
    <x v="2"/>
    <x v="0"/>
  </r>
  <r>
    <x v="319"/>
    <x v="398"/>
    <s v="Václav Beneš"/>
    <x v="0"/>
    <s v="Praha"/>
    <x v="1"/>
    <x v="3"/>
    <s v="Fitness náramek"/>
    <s v="Veselý"/>
    <n v="4"/>
    <n v="750"/>
    <n v="0.02"/>
    <n v="3000"/>
    <n v="2310.12"/>
    <n v="689.88000000000011"/>
    <n v="0.22996000000000003"/>
    <x v="0"/>
    <x v="2"/>
  </r>
  <r>
    <x v="320"/>
    <x v="399"/>
    <s v="Karolína Hájek"/>
    <x v="0"/>
    <s v="Morava"/>
    <x v="1"/>
    <x v="3"/>
    <s v="Fitness náramek"/>
    <s v="Dvořák"/>
    <n v="3"/>
    <n v="1272"/>
    <n v="0.05"/>
    <n v="3816"/>
    <n v="2705.45"/>
    <n v="1110.5500000000002"/>
    <n v="0.29102463312368976"/>
    <x v="0"/>
    <x v="3"/>
  </r>
  <r>
    <x v="85"/>
    <x v="400"/>
    <s v="Veronika Němec"/>
    <x v="0"/>
    <s v="Čechy"/>
    <x v="0"/>
    <x v="3"/>
    <s v="Fitness náramek"/>
    <s v="Král"/>
    <n v="1"/>
    <n v="1423"/>
    <n v="0.16"/>
    <n v="1423"/>
    <n v="831.36"/>
    <n v="591.64"/>
    <n v="0.41576950105411103"/>
    <x v="0"/>
    <x v="5"/>
  </r>
  <r>
    <x v="18"/>
    <x v="401"/>
    <s v="Omega s.r.o."/>
    <x v="1"/>
    <s v="Praha"/>
    <x v="2"/>
    <x v="3"/>
    <s v="Fitness náramek"/>
    <s v="Kučera"/>
    <n v="14"/>
    <n v="1364"/>
    <n v="0.09"/>
    <n v="19096"/>
    <n v="10908.56"/>
    <n v="8187.4400000000005"/>
    <n v="0.42875157100963557"/>
    <x v="0"/>
    <x v="10"/>
  </r>
  <r>
    <x v="321"/>
    <x v="402"/>
    <s v="Jana Novotný"/>
    <x v="0"/>
    <s v="Morava"/>
    <x v="0"/>
    <x v="3"/>
    <s v="Fitness náramek"/>
    <s v="Svoboda"/>
    <n v="4"/>
    <n v="1066"/>
    <n v="0.06"/>
    <n v="4264"/>
    <n v="2872.27"/>
    <n v="1391.73"/>
    <n v="0.32639071294559102"/>
    <x v="0"/>
    <x v="10"/>
  </r>
  <r>
    <x v="224"/>
    <x v="403"/>
    <s v="Karel Černý"/>
    <x v="0"/>
    <s v="Praha"/>
    <x v="0"/>
    <x v="3"/>
    <s v="Fitness náramek"/>
    <s v="Novák"/>
    <n v="2"/>
    <n v="903"/>
    <n v="0.14000000000000001"/>
    <n v="1806"/>
    <n v="933.77"/>
    <n v="872.23"/>
    <n v="0.48296234772978958"/>
    <x v="1"/>
    <x v="6"/>
  </r>
  <r>
    <x v="322"/>
    <x v="404"/>
    <s v="Beta a.s."/>
    <x v="1"/>
    <s v="Čechy"/>
    <x v="2"/>
    <x v="3"/>
    <s v="Fitness náramek"/>
    <s v="Novák"/>
    <n v="9"/>
    <n v="1092"/>
    <n v="7.0000000000000007E-2"/>
    <n v="9828"/>
    <n v="5672.05"/>
    <n v="4155.95"/>
    <n v="0.42286833536833535"/>
    <x v="1"/>
    <x v="9"/>
  </r>
  <r>
    <x v="47"/>
    <x v="405"/>
    <s v="Gama s.r.o."/>
    <x v="1"/>
    <s v="Čechy"/>
    <x v="2"/>
    <x v="3"/>
    <s v="Fitness náramek"/>
    <s v="Kučera"/>
    <n v="9"/>
    <n v="944"/>
    <n v="0.08"/>
    <n v="8496"/>
    <n v="5299.28"/>
    <n v="3196.7200000000003"/>
    <n v="0.3762617702448211"/>
    <x v="1"/>
    <x v="2"/>
  </r>
  <r>
    <x v="323"/>
    <x v="406"/>
    <s v="Lucie Procházka"/>
    <x v="0"/>
    <s v="Čechy"/>
    <x v="0"/>
    <x v="3"/>
    <s v="Fitness náramek"/>
    <s v="Fiala"/>
    <n v="3"/>
    <n v="1184"/>
    <n v="0.13"/>
    <n v="3552"/>
    <n v="2467.4"/>
    <n v="1084.5999999999999"/>
    <n v="0.30534909909909907"/>
    <x v="1"/>
    <x v="11"/>
  </r>
  <r>
    <x v="324"/>
    <x v="407"/>
    <s v="Michal Svoboda"/>
    <x v="0"/>
    <s v="Čechy"/>
    <x v="0"/>
    <x v="3"/>
    <s v="Fitness náramek"/>
    <s v="Veselý"/>
    <n v="3"/>
    <n v="1056"/>
    <n v="0.08"/>
    <n v="3168"/>
    <n v="2308.0500000000002"/>
    <n v="859.94999999999982"/>
    <n v="0.27144886363636356"/>
    <x v="1"/>
    <x v="3"/>
  </r>
  <r>
    <x v="325"/>
    <x v="408"/>
    <s v="Markéta Hájek"/>
    <x v="0"/>
    <s v="Praha"/>
    <x v="1"/>
    <x v="3"/>
    <s v="Fitness náramek"/>
    <s v="Dvořák"/>
    <n v="1"/>
    <n v="944"/>
    <n v="0.11"/>
    <n v="944"/>
    <n v="531.38"/>
    <n v="412.62"/>
    <n v="0.43709745762711866"/>
    <x v="1"/>
    <x v="10"/>
  </r>
  <r>
    <x v="310"/>
    <x v="409"/>
    <s v="Lucie Kučera"/>
    <x v="0"/>
    <s v="Morava"/>
    <x v="0"/>
    <x v="3"/>
    <s v="Fitness náramek"/>
    <s v="Svoboda"/>
    <n v="1"/>
    <n v="1170"/>
    <n v="0.25"/>
    <n v="1170"/>
    <n v="646.69000000000005"/>
    <n v="523.30999999999995"/>
    <n v="0.44727350427350421"/>
    <x v="1"/>
    <x v="10"/>
  </r>
  <r>
    <x v="326"/>
    <x v="410"/>
    <s v="Martina Horák"/>
    <x v="0"/>
    <s v="Čechy"/>
    <x v="2"/>
    <x v="3"/>
    <s v="Fitness náramek"/>
    <s v="Svoboda"/>
    <n v="2"/>
    <n v="871"/>
    <n v="0.06"/>
    <n v="1742"/>
    <n v="1177.33"/>
    <n v="564.67000000000007"/>
    <n v="0.32415040183696903"/>
    <x v="2"/>
    <x v="1"/>
  </r>
  <r>
    <x v="37"/>
    <x v="411"/>
    <s v="Omega s.r.o."/>
    <x v="1"/>
    <s v="Praha"/>
    <x v="2"/>
    <x v="3"/>
    <s v="Fitness náramek"/>
    <s v="Kučera"/>
    <n v="9"/>
    <n v="1222"/>
    <n v="0"/>
    <n v="10998"/>
    <n v="5656.21"/>
    <n v="5341.79"/>
    <n v="0.48570558283324239"/>
    <x v="2"/>
    <x v="2"/>
  </r>
  <r>
    <x v="327"/>
    <x v="412"/>
    <s v="Kateřina Veselý"/>
    <x v="0"/>
    <s v="Slezsko"/>
    <x v="0"/>
    <x v="2"/>
    <s v="Čistička vzduchu"/>
    <s v="Fiala"/>
    <n v="5"/>
    <n v="4067"/>
    <n v="0.19"/>
    <n v="20335"/>
    <n v="10861.68"/>
    <n v="9473.32"/>
    <n v="0.46586279813130071"/>
    <x v="0"/>
    <x v="6"/>
  </r>
  <r>
    <x v="91"/>
    <x v="413"/>
    <s v="Jana Svoboda"/>
    <x v="0"/>
    <s v="Čechy"/>
    <x v="0"/>
    <x v="2"/>
    <s v="Čistička vzduchu"/>
    <s v="Dvořák"/>
    <n v="2"/>
    <n v="5281"/>
    <n v="0.05"/>
    <n v="10562"/>
    <n v="6836.96"/>
    <n v="3725.04"/>
    <n v="0.35268320393864799"/>
    <x v="0"/>
    <x v="0"/>
  </r>
  <r>
    <x v="221"/>
    <x v="414"/>
    <s v="Jiří Dvořák"/>
    <x v="0"/>
    <s v="Morava"/>
    <x v="0"/>
    <x v="2"/>
    <s v="Čistička vzduchu"/>
    <s v="Král"/>
    <n v="1"/>
    <n v="5123"/>
    <n v="0.19"/>
    <n v="5123"/>
    <n v="2578.48"/>
    <n v="2544.52"/>
    <n v="0.49668553581885616"/>
    <x v="0"/>
    <x v="1"/>
  </r>
  <r>
    <x v="74"/>
    <x v="415"/>
    <s v="Markéta Hájek"/>
    <x v="0"/>
    <s v="Čechy"/>
    <x v="1"/>
    <x v="2"/>
    <s v="Čistička vzduchu"/>
    <s v="Novák"/>
    <n v="4"/>
    <n v="5331"/>
    <n v="0.03"/>
    <n v="21324"/>
    <n v="13720.59"/>
    <n v="7603.41"/>
    <n v="0.35656584130557117"/>
    <x v="0"/>
    <x v="9"/>
  </r>
  <r>
    <x v="328"/>
    <x v="416"/>
    <s v="Václav Novotný"/>
    <x v="0"/>
    <s v="Čechy"/>
    <x v="1"/>
    <x v="2"/>
    <s v="Čistička vzduchu"/>
    <s v="Beneš"/>
    <n v="5"/>
    <n v="3260"/>
    <n v="0.05"/>
    <n v="16300"/>
    <n v="12136.26"/>
    <n v="4163.74"/>
    <n v="0.25544417177914108"/>
    <x v="0"/>
    <x v="7"/>
  </r>
  <r>
    <x v="150"/>
    <x v="417"/>
    <s v="Kappa s.r.o."/>
    <x v="1"/>
    <s v="Morava"/>
    <x v="2"/>
    <x v="2"/>
    <s v="Čistička vzduchu"/>
    <s v="Novák"/>
    <n v="11"/>
    <n v="6031"/>
    <n v="7.0000000000000007E-2"/>
    <n v="66341"/>
    <n v="49583.16"/>
    <n v="16757.839999999997"/>
    <n v="0.25260155861382849"/>
    <x v="0"/>
    <x v="11"/>
  </r>
  <r>
    <x v="329"/>
    <x v="418"/>
    <s v="Petra Novotný"/>
    <x v="0"/>
    <s v="Čechy"/>
    <x v="0"/>
    <x v="2"/>
    <s v="Čistička vzduchu"/>
    <s v="Novák"/>
    <n v="2"/>
    <n v="4827"/>
    <n v="0.01"/>
    <n v="9654"/>
    <n v="6572.32"/>
    <n v="3081.6800000000003"/>
    <n v="0.31921276154961675"/>
    <x v="0"/>
    <x v="11"/>
  </r>
  <r>
    <x v="330"/>
    <x v="419"/>
    <s v="Delta a.s."/>
    <x v="1"/>
    <s v="Čechy"/>
    <x v="0"/>
    <x v="2"/>
    <s v="Čistička vzduchu"/>
    <s v="Svoboda"/>
    <n v="9"/>
    <n v="4376"/>
    <n v="0"/>
    <n v="39384"/>
    <n v="30586.02"/>
    <n v="8797.98"/>
    <n v="0.2233897014015844"/>
    <x v="0"/>
    <x v="8"/>
  </r>
  <r>
    <x v="331"/>
    <x v="420"/>
    <s v="Orion a.s."/>
    <x v="1"/>
    <s v="Čechy"/>
    <x v="1"/>
    <x v="2"/>
    <s v="Čistička vzduchu"/>
    <s v="Kučera"/>
    <n v="9"/>
    <n v="6373"/>
    <n v="7.0000000000000007E-2"/>
    <n v="57357"/>
    <n v="38599.9"/>
    <n v="18757.099999999999"/>
    <n v="0.32702372857715706"/>
    <x v="0"/>
    <x v="4"/>
  </r>
  <r>
    <x v="332"/>
    <x v="421"/>
    <s v="Petr Dvořák"/>
    <x v="0"/>
    <s v="Čechy"/>
    <x v="1"/>
    <x v="2"/>
    <s v="Čistička vzduchu"/>
    <s v="Fiala"/>
    <n v="2"/>
    <n v="4031"/>
    <n v="0"/>
    <n v="8062"/>
    <n v="5896.26"/>
    <n v="2165.7399999999998"/>
    <n v="0.26863557429918133"/>
    <x v="0"/>
    <x v="4"/>
  </r>
  <r>
    <x v="5"/>
    <x v="422"/>
    <s v="Martin Novotný"/>
    <x v="0"/>
    <s v="Čechy"/>
    <x v="1"/>
    <x v="2"/>
    <s v="Čistička vzduchu"/>
    <s v="Král"/>
    <n v="1"/>
    <n v="4100"/>
    <n v="0.11"/>
    <n v="4100"/>
    <n v="2745.83"/>
    <n v="1354.17"/>
    <n v="0.33028536585365853"/>
    <x v="0"/>
    <x v="4"/>
  </r>
  <r>
    <x v="333"/>
    <x v="423"/>
    <s v="Martina Beneš"/>
    <x v="0"/>
    <s v="Morava"/>
    <x v="0"/>
    <x v="2"/>
    <s v="Čistička vzduchu"/>
    <s v="Beneš"/>
    <n v="2"/>
    <n v="4974"/>
    <n v="0.17"/>
    <n v="9948"/>
    <n v="5544.42"/>
    <n v="4403.58"/>
    <n v="0.44265983112183355"/>
    <x v="0"/>
    <x v="10"/>
  </r>
  <r>
    <x v="19"/>
    <x v="424"/>
    <s v="Jana Veselý"/>
    <x v="0"/>
    <s v="Praha"/>
    <x v="2"/>
    <x v="2"/>
    <s v="Čistička vzduchu"/>
    <s v="Kučera"/>
    <n v="4"/>
    <n v="5392"/>
    <n v="0.2"/>
    <n v="21568"/>
    <n v="12039.3"/>
    <n v="9528.7000000000007"/>
    <n v="0.44179803412462909"/>
    <x v="0"/>
    <x v="10"/>
  </r>
  <r>
    <x v="334"/>
    <x v="425"/>
    <s v="Karel Černý"/>
    <x v="0"/>
    <s v="Morava"/>
    <x v="0"/>
    <x v="2"/>
    <s v="Čistička vzduchu"/>
    <s v="Fiala"/>
    <n v="3"/>
    <n v="5037"/>
    <n v="0.17"/>
    <n v="15111"/>
    <n v="10540.7"/>
    <n v="4570.2999999999993"/>
    <n v="0.30244854741578975"/>
    <x v="1"/>
    <x v="6"/>
  </r>
  <r>
    <x v="335"/>
    <x v="426"/>
    <s v="Petra Pokorný"/>
    <x v="0"/>
    <s v="Čechy"/>
    <x v="1"/>
    <x v="2"/>
    <s v="Čistička vzduchu"/>
    <s v="Svoboda"/>
    <n v="6"/>
    <n v="3509"/>
    <n v="0.01"/>
    <n v="21054"/>
    <n v="16783.43"/>
    <n v="4270.57"/>
    <n v="0.20283889047211931"/>
    <x v="1"/>
    <x v="0"/>
  </r>
  <r>
    <x v="336"/>
    <x v="427"/>
    <s v="Filip Pospíšil"/>
    <x v="0"/>
    <s v="Praha"/>
    <x v="1"/>
    <x v="2"/>
    <s v="Čistička vzduchu"/>
    <s v="Veselý"/>
    <n v="3"/>
    <n v="4657"/>
    <n v="0.01"/>
    <n v="13971"/>
    <n v="9646.83"/>
    <n v="4324.17"/>
    <n v="0.30951041442989047"/>
    <x v="1"/>
    <x v="9"/>
  </r>
  <r>
    <x v="228"/>
    <x v="428"/>
    <s v="Veronika Němec"/>
    <x v="0"/>
    <s v="Slezsko"/>
    <x v="0"/>
    <x v="2"/>
    <s v="Čistička vzduchu"/>
    <s v="Král"/>
    <n v="3"/>
    <n v="5490"/>
    <n v="0.05"/>
    <n v="16470"/>
    <n v="10357.370000000001"/>
    <n v="6112.6299999999992"/>
    <n v="0.37113721918639947"/>
    <x v="1"/>
    <x v="8"/>
  </r>
  <r>
    <x v="337"/>
    <x v="429"/>
    <s v="Lukáš Pokorný"/>
    <x v="0"/>
    <s v="Slezsko"/>
    <x v="1"/>
    <x v="2"/>
    <s v="Čistička vzduchu"/>
    <s v="Dvořák"/>
    <n v="3"/>
    <n v="6077"/>
    <n v="0.12"/>
    <n v="18231"/>
    <n v="11941.51"/>
    <n v="6289.49"/>
    <n v="0.34498875541659807"/>
    <x v="1"/>
    <x v="4"/>
  </r>
  <r>
    <x v="277"/>
    <x v="430"/>
    <s v="Jan Procházka"/>
    <x v="0"/>
    <s v="Čechy"/>
    <x v="0"/>
    <x v="2"/>
    <s v="Čistička vzduchu"/>
    <s v="Dvořák"/>
    <n v="5"/>
    <n v="7640"/>
    <n v="0"/>
    <n v="38200"/>
    <n v="27559.93"/>
    <n v="10640.07"/>
    <n v="0.27853586387434554"/>
    <x v="2"/>
    <x v="6"/>
  </r>
  <r>
    <x v="234"/>
    <x v="431"/>
    <s v="Ondřej Svoboda"/>
    <x v="0"/>
    <s v="Praha"/>
    <x v="2"/>
    <x v="2"/>
    <s v="Čistička vzduchu"/>
    <s v="Fiala"/>
    <n v="3"/>
    <n v="3714"/>
    <n v="0.06"/>
    <n v="11142"/>
    <n v="6557.51"/>
    <n v="4584.49"/>
    <n v="0.41146024053132291"/>
    <x v="2"/>
    <x v="1"/>
  </r>
  <r>
    <x v="338"/>
    <x v="432"/>
    <s v="Karolína Horák"/>
    <x v="0"/>
    <s v="Morava"/>
    <x v="1"/>
    <x v="2"/>
    <s v="Čistička vzduchu"/>
    <s v="Dvořák"/>
    <n v="2"/>
    <n v="4444"/>
    <n v="0.05"/>
    <n v="8888"/>
    <n v="6094.32"/>
    <n v="2793.6800000000003"/>
    <n v="0.31432043204320437"/>
    <x v="2"/>
    <x v="2"/>
  </r>
  <r>
    <x v="339"/>
    <x v="433"/>
    <s v="Radek Král"/>
    <x v="0"/>
    <s v="Morava"/>
    <x v="0"/>
    <x v="3"/>
    <s v="Činka 10 kg"/>
    <s v="Svoboda"/>
    <n v="2"/>
    <n v="608"/>
    <n v="0.08"/>
    <n v="1216"/>
    <n v="678.06"/>
    <n v="537.94000000000005"/>
    <n v="0.44238486842105268"/>
    <x v="0"/>
    <x v="0"/>
  </r>
  <r>
    <x v="203"/>
    <x v="434"/>
    <s v="Veronika Fiala"/>
    <x v="0"/>
    <s v="Morava"/>
    <x v="0"/>
    <x v="3"/>
    <s v="Činka 10 kg"/>
    <s v="Dvořák"/>
    <n v="2"/>
    <n v="480"/>
    <n v="0.1"/>
    <n v="960"/>
    <n v="701.87"/>
    <n v="258.13"/>
    <n v="0.26888541666666665"/>
    <x v="0"/>
    <x v="1"/>
  </r>
  <r>
    <x v="340"/>
    <x v="435"/>
    <s v="Vltava s.r.o."/>
    <x v="1"/>
    <s v="Morava"/>
    <x v="0"/>
    <x v="3"/>
    <s v="Činka 10 kg"/>
    <s v="Dvořák"/>
    <n v="10"/>
    <n v="494"/>
    <n v="0.03"/>
    <n v="4940"/>
    <n v="4219.71"/>
    <n v="720.29"/>
    <n v="0.1458076923076923"/>
    <x v="0"/>
    <x v="9"/>
  </r>
  <r>
    <x v="341"/>
    <x v="436"/>
    <s v="Alena Jelínek"/>
    <x v="0"/>
    <s v="Praha"/>
    <x v="1"/>
    <x v="3"/>
    <s v="Činka 10 kg"/>
    <s v="Novák"/>
    <n v="2"/>
    <n v="546"/>
    <n v="0.12"/>
    <n v="1092"/>
    <n v="681.04"/>
    <n v="410.96000000000004"/>
    <n v="0.37633699633699635"/>
    <x v="0"/>
    <x v="7"/>
  </r>
  <r>
    <x v="342"/>
    <x v="437"/>
    <s v="Tereza Novák"/>
    <x v="0"/>
    <s v="Čechy"/>
    <x v="1"/>
    <x v="3"/>
    <s v="Činka 10 kg"/>
    <s v="Kučera"/>
    <n v="1"/>
    <n v="507"/>
    <n v="0.13"/>
    <n v="507"/>
    <n v="362.29"/>
    <n v="144.70999999999998"/>
    <n v="0.28542406311637075"/>
    <x v="0"/>
    <x v="7"/>
  </r>
  <r>
    <x v="104"/>
    <x v="438"/>
    <s v="Lucie Černý"/>
    <x v="0"/>
    <s v="Morava"/>
    <x v="1"/>
    <x v="3"/>
    <s v="Činka 10 kg"/>
    <s v="Dvořák"/>
    <n v="3"/>
    <n v="620"/>
    <n v="7.0000000000000007E-2"/>
    <n v="1860"/>
    <n v="991.56"/>
    <n v="868.44"/>
    <n v="0.46690322580645166"/>
    <x v="0"/>
    <x v="7"/>
  </r>
  <r>
    <x v="328"/>
    <x v="439"/>
    <s v="Orion a.s."/>
    <x v="1"/>
    <s v="Slezsko"/>
    <x v="2"/>
    <x v="3"/>
    <s v="Činka 10 kg"/>
    <s v="Dvořák"/>
    <n v="7"/>
    <n v="755"/>
    <n v="0.04"/>
    <n v="5285"/>
    <n v="3649.54"/>
    <n v="1635.46"/>
    <n v="0.30945316934720907"/>
    <x v="0"/>
    <x v="7"/>
  </r>
  <r>
    <x v="343"/>
    <x v="440"/>
    <s v="Kateřina Fiala"/>
    <x v="0"/>
    <s v="Čechy"/>
    <x v="0"/>
    <x v="3"/>
    <s v="Činka 10 kg"/>
    <s v="Fiala"/>
    <n v="1"/>
    <n v="773"/>
    <n v="0.09"/>
    <n v="773"/>
    <n v="454.96"/>
    <n v="318.04000000000002"/>
    <n v="0.41143596377749031"/>
    <x v="0"/>
    <x v="11"/>
  </r>
  <r>
    <x v="344"/>
    <x v="441"/>
    <s v="Veronika Kučera"/>
    <x v="0"/>
    <s v="Čechy"/>
    <x v="0"/>
    <x v="3"/>
    <s v="Činka 10 kg"/>
    <s v="Dvořák"/>
    <n v="1"/>
    <n v="481"/>
    <n v="0"/>
    <n v="481"/>
    <n v="335.78"/>
    <n v="145.22000000000003"/>
    <n v="0.30191268191268195"/>
    <x v="0"/>
    <x v="4"/>
  </r>
  <r>
    <x v="345"/>
    <x v="442"/>
    <s v="Alena Horák"/>
    <x v="0"/>
    <s v="Praha"/>
    <x v="0"/>
    <x v="3"/>
    <s v="Činka 10 kg"/>
    <s v="Král"/>
    <n v="2"/>
    <n v="524"/>
    <n v="0.12"/>
    <n v="1048"/>
    <n v="701.23"/>
    <n v="346.77"/>
    <n v="0.33088740458015264"/>
    <x v="0"/>
    <x v="10"/>
  </r>
  <r>
    <x v="346"/>
    <x v="443"/>
    <s v="Ondřej Černý"/>
    <x v="0"/>
    <s v="Morava"/>
    <x v="0"/>
    <x v="3"/>
    <s v="Činka 10 kg"/>
    <s v="Beneš"/>
    <n v="3"/>
    <n v="437"/>
    <n v="0.22"/>
    <n v="1311"/>
    <n v="644.37"/>
    <n v="666.63"/>
    <n v="0.50848970251716252"/>
    <x v="1"/>
    <x v="6"/>
  </r>
  <r>
    <x v="347"/>
    <x v="444"/>
    <s v="Karolína Jelínek"/>
    <x v="0"/>
    <s v="Morava"/>
    <x v="1"/>
    <x v="3"/>
    <s v="Činka 10 kg"/>
    <s v="Beneš"/>
    <n v="2"/>
    <n v="499"/>
    <n v="0"/>
    <n v="998"/>
    <n v="710.57"/>
    <n v="287.42999999999995"/>
    <n v="0.28800601202404802"/>
    <x v="1"/>
    <x v="0"/>
  </r>
  <r>
    <x v="141"/>
    <x v="445"/>
    <s v="Michal Pokorný"/>
    <x v="0"/>
    <s v="Čechy"/>
    <x v="0"/>
    <x v="3"/>
    <s v="Činka 10 kg"/>
    <s v="Beneš"/>
    <n v="2"/>
    <n v="503"/>
    <n v="0.05"/>
    <n v="1006"/>
    <n v="686.17"/>
    <n v="319.83000000000004"/>
    <n v="0.31792246520874756"/>
    <x v="1"/>
    <x v="1"/>
  </r>
  <r>
    <x v="348"/>
    <x v="446"/>
    <s v="Karolína Pospíšil"/>
    <x v="0"/>
    <s v="Praha"/>
    <x v="0"/>
    <x v="3"/>
    <s v="Činka 10 kg"/>
    <s v="Veselý"/>
    <n v="1"/>
    <n v="609"/>
    <n v="0.03"/>
    <n v="609"/>
    <n v="429.95"/>
    <n v="179.05"/>
    <n v="0.29400656814449921"/>
    <x v="1"/>
    <x v="2"/>
  </r>
  <r>
    <x v="349"/>
    <x v="447"/>
    <s v="Anna Fiala"/>
    <x v="0"/>
    <s v="Čechy"/>
    <x v="0"/>
    <x v="3"/>
    <s v="Činka 10 kg"/>
    <s v="Král"/>
    <n v="4"/>
    <n v="476"/>
    <n v="0.09"/>
    <n v="1904"/>
    <n v="1207.3"/>
    <n v="696.7"/>
    <n v="0.36591386554621852"/>
    <x v="1"/>
    <x v="7"/>
  </r>
  <r>
    <x v="349"/>
    <x v="448"/>
    <s v="Petr Pospíšil"/>
    <x v="0"/>
    <s v="Praha"/>
    <x v="1"/>
    <x v="3"/>
    <s v="Činka 10 kg"/>
    <s v="Novák"/>
    <n v="2"/>
    <n v="493"/>
    <n v="0.03"/>
    <n v="986"/>
    <n v="620.51"/>
    <n v="365.49"/>
    <n v="0.3706795131845842"/>
    <x v="1"/>
    <x v="7"/>
  </r>
  <r>
    <x v="350"/>
    <x v="449"/>
    <s v="Martina Hájek"/>
    <x v="0"/>
    <s v="Morava"/>
    <x v="1"/>
    <x v="3"/>
    <s v="Činka 10 kg"/>
    <s v="Beneš"/>
    <n v="3"/>
    <n v="493"/>
    <n v="0"/>
    <n v="1479"/>
    <n v="1050.8499999999999"/>
    <n v="428.15000000000009"/>
    <n v="0.28948613928329958"/>
    <x v="1"/>
    <x v="7"/>
  </r>
  <r>
    <x v="284"/>
    <x v="450"/>
    <s v="Anna Novák"/>
    <x v="0"/>
    <s v="Praha"/>
    <x v="0"/>
    <x v="3"/>
    <s v="Činka 10 kg"/>
    <s v="Fiala"/>
    <n v="1"/>
    <n v="536"/>
    <n v="0.08"/>
    <n v="536"/>
    <n v="382.7"/>
    <n v="153.30000000000001"/>
    <n v="0.28600746268656718"/>
    <x v="1"/>
    <x v="11"/>
  </r>
  <r>
    <x v="351"/>
    <x v="451"/>
    <s v="Jan Pokorný"/>
    <x v="0"/>
    <s v="Praha"/>
    <x v="1"/>
    <x v="3"/>
    <s v="Činka 10 kg"/>
    <s v="Kučera"/>
    <n v="3"/>
    <n v="748"/>
    <n v="7.0000000000000007E-2"/>
    <n v="2244"/>
    <n v="1396.21"/>
    <n v="847.79"/>
    <n v="0.37780303030303031"/>
    <x v="1"/>
    <x v="3"/>
  </r>
  <r>
    <x v="352"/>
    <x v="452"/>
    <s v="Alfa s.r.o."/>
    <x v="1"/>
    <s v="Praha"/>
    <x v="2"/>
    <x v="3"/>
    <s v="Činka 10 kg"/>
    <s v="Svoboda"/>
    <n v="9"/>
    <n v="604"/>
    <n v="0.03"/>
    <n v="5436"/>
    <n v="4486.21"/>
    <n v="949.79"/>
    <n v="0.17472222222222222"/>
    <x v="2"/>
    <x v="6"/>
  </r>
  <r>
    <x v="300"/>
    <x v="453"/>
    <s v="Kateřina Pokorný"/>
    <x v="0"/>
    <s v="Praha"/>
    <x v="0"/>
    <x v="3"/>
    <s v="Činka 10 kg"/>
    <s v="Fiala"/>
    <n v="4"/>
    <n v="652"/>
    <n v="0.12"/>
    <n v="2608"/>
    <n v="1711.33"/>
    <n v="896.67000000000007"/>
    <n v="0.34381518404907979"/>
    <x v="2"/>
    <x v="6"/>
  </r>
  <r>
    <x v="353"/>
    <x v="454"/>
    <s v="Beta a.s."/>
    <x v="1"/>
    <s v="Morava"/>
    <x v="2"/>
    <x v="3"/>
    <s v="Činka 10 kg"/>
    <s v="Kučera"/>
    <n v="8"/>
    <n v="804"/>
    <n v="0.12"/>
    <n v="6432"/>
    <n v="4462.79"/>
    <n v="1969.21"/>
    <n v="0.30615827114427863"/>
    <x v="2"/>
    <x v="0"/>
  </r>
  <r>
    <x v="354"/>
    <x v="455"/>
    <s v="Petr Dvořák"/>
    <x v="0"/>
    <s v="Čechy"/>
    <x v="0"/>
    <x v="3"/>
    <s v="Činka 10 kg"/>
    <s v="Král"/>
    <n v="5"/>
    <n v="422"/>
    <n v="7.0000000000000007E-2"/>
    <n v="2110"/>
    <n v="1229.95"/>
    <n v="880.05"/>
    <n v="0.417085308056872"/>
    <x v="2"/>
    <x v="2"/>
  </r>
  <r>
    <x v="355"/>
    <x v="456"/>
    <s v="Alena Svoboda"/>
    <x v="0"/>
    <s v="Čechy"/>
    <x v="0"/>
    <x v="3"/>
    <s v="Běžecké boty"/>
    <s v="Král"/>
    <n v="3"/>
    <n v="3791"/>
    <n v="0.14000000000000001"/>
    <n v="11373"/>
    <n v="7683.64"/>
    <n v="3689.3599999999997"/>
    <n v="0.32439637738503468"/>
    <x v="0"/>
    <x v="9"/>
  </r>
  <r>
    <x v="356"/>
    <x v="457"/>
    <s v="Tomáš Němec"/>
    <x v="0"/>
    <s v="Morava"/>
    <x v="2"/>
    <x v="3"/>
    <s v="Běžecké boty"/>
    <s v="Beneš"/>
    <n v="3"/>
    <n v="2355"/>
    <n v="0.13"/>
    <n v="7065"/>
    <n v="3568.62"/>
    <n v="3496.38"/>
    <n v="0.49488747346072187"/>
    <x v="0"/>
    <x v="2"/>
  </r>
  <r>
    <x v="357"/>
    <x v="458"/>
    <s v="Alfa s.r.o."/>
    <x v="1"/>
    <s v="Slezsko"/>
    <x v="2"/>
    <x v="3"/>
    <s v="Běžecké boty"/>
    <s v="Král"/>
    <n v="9"/>
    <n v="1991"/>
    <n v="0.14000000000000001"/>
    <n v="17919"/>
    <n v="10375.85"/>
    <n v="7543.15"/>
    <n v="0.42095820079245494"/>
    <x v="0"/>
    <x v="3"/>
  </r>
  <r>
    <x v="330"/>
    <x v="459"/>
    <s v="Gama s.r.o."/>
    <x v="1"/>
    <s v="Čechy"/>
    <x v="2"/>
    <x v="3"/>
    <s v="Běžecké boty"/>
    <s v="Novák"/>
    <n v="11"/>
    <n v="2158"/>
    <n v="0.16"/>
    <n v="23738"/>
    <n v="15786.86"/>
    <n v="7951.1399999999994"/>
    <n v="0.33495408206251576"/>
    <x v="0"/>
    <x v="8"/>
  </r>
  <r>
    <x v="186"/>
    <x v="460"/>
    <s v="Gama s.r.o."/>
    <x v="1"/>
    <s v="Praha"/>
    <x v="2"/>
    <x v="3"/>
    <s v="Běžecké boty"/>
    <s v="Kučera"/>
    <n v="5"/>
    <n v="1748"/>
    <n v="0.03"/>
    <n v="8740"/>
    <n v="6014.31"/>
    <n v="2725.6899999999996"/>
    <n v="0.3118638443935926"/>
    <x v="0"/>
    <x v="10"/>
  </r>
  <r>
    <x v="336"/>
    <x v="461"/>
    <s v="David Jelínek"/>
    <x v="0"/>
    <s v="Čechy"/>
    <x v="1"/>
    <x v="3"/>
    <s v="Běžecké boty"/>
    <s v="Kučera"/>
    <n v="5"/>
    <n v="3430"/>
    <n v="0"/>
    <n v="17150"/>
    <n v="11466.76"/>
    <n v="5683.24"/>
    <n v="0.33138425655976678"/>
    <x v="1"/>
    <x v="9"/>
  </r>
  <r>
    <x v="358"/>
    <x v="462"/>
    <s v="Václav Veselý"/>
    <x v="0"/>
    <s v="Praha"/>
    <x v="1"/>
    <x v="3"/>
    <s v="Běžecké boty"/>
    <s v="Beneš"/>
    <n v="4"/>
    <n v="3403"/>
    <n v="0.12"/>
    <n v="13612"/>
    <n v="9150.4"/>
    <n v="4461.6000000000004"/>
    <n v="0.32776961504554808"/>
    <x v="1"/>
    <x v="2"/>
  </r>
  <r>
    <x v="359"/>
    <x v="463"/>
    <s v="Anna Hájek"/>
    <x v="0"/>
    <s v="Čechy"/>
    <x v="1"/>
    <x v="3"/>
    <s v="Běžecké boty"/>
    <s v="Novák"/>
    <n v="3"/>
    <n v="2668"/>
    <n v="0.12"/>
    <n v="8004"/>
    <n v="4399.8100000000004"/>
    <n v="3604.1899999999996"/>
    <n v="0.45029860069965011"/>
    <x v="1"/>
    <x v="2"/>
  </r>
  <r>
    <x v="360"/>
    <x v="464"/>
    <s v="Veronika Svoboda"/>
    <x v="0"/>
    <s v="Praha"/>
    <x v="0"/>
    <x v="3"/>
    <s v="Běžecké boty"/>
    <s v="Veselý"/>
    <n v="2"/>
    <n v="2165"/>
    <n v="0.14000000000000001"/>
    <n v="4330"/>
    <n v="2432.9"/>
    <n v="1897.1"/>
    <n v="0.43812933025404155"/>
    <x v="1"/>
    <x v="7"/>
  </r>
  <r>
    <x v="361"/>
    <x v="465"/>
    <s v="Jan Beneš"/>
    <x v="0"/>
    <s v="Morava"/>
    <x v="0"/>
    <x v="3"/>
    <s v="Běžecké boty"/>
    <s v="Beneš"/>
    <n v="3"/>
    <n v="2573"/>
    <n v="0.04"/>
    <n v="7719"/>
    <n v="5719.15"/>
    <n v="1999.8500000000004"/>
    <n v="0.25908148723927976"/>
    <x v="1"/>
    <x v="3"/>
  </r>
  <r>
    <x v="242"/>
    <x v="466"/>
    <s v="Jan Veselý"/>
    <x v="0"/>
    <s v="Morava"/>
    <x v="0"/>
    <x v="3"/>
    <s v="Běžecké boty"/>
    <s v="Beneš"/>
    <n v="3"/>
    <n v="2131"/>
    <n v="0.11"/>
    <n v="6393"/>
    <n v="3743.08"/>
    <n v="2649.92"/>
    <n v="0.41450336305333962"/>
    <x v="1"/>
    <x v="5"/>
  </r>
  <r>
    <x v="362"/>
    <x v="467"/>
    <s v="Vltava s.r.o."/>
    <x v="1"/>
    <s v="Čechy"/>
    <x v="2"/>
    <x v="3"/>
    <s v="Běžecké boty"/>
    <s v="Kučera"/>
    <n v="9"/>
    <n v="1666"/>
    <n v="0.01"/>
    <n v="14994"/>
    <n v="11026.58"/>
    <n v="3967.42"/>
    <n v="0.26460050686941444"/>
    <x v="2"/>
    <x v="0"/>
  </r>
  <r>
    <x v="363"/>
    <x v="468"/>
    <s v="Eliška Pospíšil"/>
    <x v="0"/>
    <s v="Praha"/>
    <x v="1"/>
    <x v="3"/>
    <s v="Běžecké boty"/>
    <s v="Veselý"/>
    <n v="2"/>
    <n v="1976"/>
    <n v="0"/>
    <n v="3952"/>
    <n v="2300.17"/>
    <n v="1651.83"/>
    <n v="0.41797317813765178"/>
    <x v="2"/>
    <x v="9"/>
  </r>
  <r>
    <x v="364"/>
    <x v="469"/>
    <s v="Kappa s.r.o."/>
    <x v="1"/>
    <s v="Morava"/>
    <x v="2"/>
    <x v="3"/>
    <s v="Běžecké boty"/>
    <s v="Dvořák"/>
    <n v="9"/>
    <n v="3172"/>
    <n v="0.02"/>
    <n v="28548"/>
    <n v="20378.400000000001"/>
    <n v="8169.5999999999985"/>
    <n v="0.28617065994115171"/>
    <x v="2"/>
    <x v="2"/>
  </r>
  <r>
    <x v="365"/>
    <x v="470"/>
    <s v="Beta a.s."/>
    <x v="1"/>
    <s v="Slezsko"/>
    <x v="2"/>
    <x v="3"/>
    <s v="Batoh sportovní"/>
    <s v="Svoboda"/>
    <n v="9"/>
    <n v="943"/>
    <n v="0.2"/>
    <n v="8487"/>
    <n v="4654.05"/>
    <n v="3832.95"/>
    <n v="0.45162601626016258"/>
    <x v="0"/>
    <x v="6"/>
  </r>
  <r>
    <x v="366"/>
    <x v="471"/>
    <s v="Beta a.s."/>
    <x v="1"/>
    <s v="Praha"/>
    <x v="2"/>
    <x v="3"/>
    <s v="Batoh sportovní"/>
    <s v="Svoboda"/>
    <n v="10"/>
    <n v="1319"/>
    <n v="0.06"/>
    <n v="13190"/>
    <n v="6554.92"/>
    <n v="6635.08"/>
    <n v="0.5030386656557998"/>
    <x v="0"/>
    <x v="6"/>
  </r>
  <r>
    <x v="24"/>
    <x v="472"/>
    <s v="Veronika Němec"/>
    <x v="0"/>
    <s v="Čechy"/>
    <x v="1"/>
    <x v="3"/>
    <s v="Batoh sportovní"/>
    <s v="Dvořák"/>
    <n v="2"/>
    <n v="1250"/>
    <n v="0.02"/>
    <n v="2500"/>
    <n v="1588.64"/>
    <n v="911.3599999999999"/>
    <n v="0.36454399999999998"/>
    <x v="0"/>
    <x v="0"/>
  </r>
  <r>
    <x v="367"/>
    <x v="473"/>
    <s v="Daniel Pospíšil"/>
    <x v="0"/>
    <s v="Čechy"/>
    <x v="0"/>
    <x v="3"/>
    <s v="Batoh sportovní"/>
    <s v="Kučera"/>
    <n v="3"/>
    <n v="1847"/>
    <n v="0.14000000000000001"/>
    <n v="5541"/>
    <n v="3662.35"/>
    <n v="1878.65"/>
    <n v="0.33904529868254829"/>
    <x v="0"/>
    <x v="9"/>
  </r>
  <r>
    <x v="368"/>
    <x v="474"/>
    <s v="Daniel Hájek"/>
    <x v="0"/>
    <s v="Slezsko"/>
    <x v="1"/>
    <x v="3"/>
    <s v="Batoh sportovní"/>
    <s v="Novák"/>
    <n v="4"/>
    <n v="1827"/>
    <n v="0.14000000000000001"/>
    <n v="7308"/>
    <n v="4425.21"/>
    <n v="2882.79"/>
    <n v="0.39447044334975367"/>
    <x v="0"/>
    <x v="2"/>
  </r>
  <r>
    <x v="369"/>
    <x v="475"/>
    <s v="Gama s.r.o."/>
    <x v="1"/>
    <s v="Praha"/>
    <x v="1"/>
    <x v="3"/>
    <s v="Batoh sportovní"/>
    <s v="Beneš"/>
    <n v="8"/>
    <n v="808"/>
    <n v="0.09"/>
    <n v="6464"/>
    <n v="3734.98"/>
    <n v="2729.02"/>
    <n v="0.42218749999999999"/>
    <x v="0"/>
    <x v="11"/>
  </r>
  <r>
    <x v="370"/>
    <x v="476"/>
    <s v="Lukáš Král"/>
    <x v="0"/>
    <s v="Praha"/>
    <x v="0"/>
    <x v="3"/>
    <s v="Batoh sportovní"/>
    <s v="Král"/>
    <n v="1"/>
    <n v="1145"/>
    <n v="0.06"/>
    <n v="1145"/>
    <n v="709.2"/>
    <n v="435.79999999999995"/>
    <n v="0.38061135371179033"/>
    <x v="0"/>
    <x v="4"/>
  </r>
  <r>
    <x v="371"/>
    <x v="477"/>
    <s v="Karel Fiala"/>
    <x v="0"/>
    <s v="Praha"/>
    <x v="0"/>
    <x v="3"/>
    <s v="Batoh sportovní"/>
    <s v="Kučera"/>
    <n v="4"/>
    <n v="1452"/>
    <n v="0.17"/>
    <n v="5808"/>
    <n v="2856.6"/>
    <n v="2951.4"/>
    <n v="0.50816115702479336"/>
    <x v="0"/>
    <x v="5"/>
  </r>
  <r>
    <x v="371"/>
    <x v="478"/>
    <s v="Petr Dvořák"/>
    <x v="0"/>
    <s v="Čechy"/>
    <x v="1"/>
    <x v="3"/>
    <s v="Batoh sportovní"/>
    <s v="Dvořák"/>
    <n v="1"/>
    <n v="903"/>
    <n v="0.23"/>
    <n v="903"/>
    <n v="609"/>
    <n v="294"/>
    <n v="0.32558139534883723"/>
    <x v="0"/>
    <x v="5"/>
  </r>
  <r>
    <x v="372"/>
    <x v="479"/>
    <s v="Radek Pokorný"/>
    <x v="0"/>
    <s v="Praha"/>
    <x v="0"/>
    <x v="3"/>
    <s v="Batoh sportovní"/>
    <s v="Kučera"/>
    <n v="5"/>
    <n v="1046"/>
    <n v="0.12"/>
    <n v="5230"/>
    <n v="2767.15"/>
    <n v="2462.85"/>
    <n v="0.47090822179732311"/>
    <x v="0"/>
    <x v="10"/>
  </r>
  <r>
    <x v="373"/>
    <x v="480"/>
    <s v="Tereza Jelínek"/>
    <x v="0"/>
    <s v="Slezsko"/>
    <x v="0"/>
    <x v="3"/>
    <s v="Batoh sportovní"/>
    <s v="Novák"/>
    <n v="4"/>
    <n v="933"/>
    <n v="0.06"/>
    <n v="3732"/>
    <n v="2719.48"/>
    <n v="1012.52"/>
    <n v="0.27130760986066454"/>
    <x v="1"/>
    <x v="6"/>
  </r>
  <r>
    <x v="374"/>
    <x v="481"/>
    <s v="Karolína Procházka"/>
    <x v="0"/>
    <s v="Slezsko"/>
    <x v="0"/>
    <x v="3"/>
    <s v="Batoh sportovní"/>
    <s v="Novák"/>
    <n v="6"/>
    <n v="1020"/>
    <n v="0.03"/>
    <n v="6120"/>
    <n v="4183.8100000000004"/>
    <n v="1936.1899999999996"/>
    <n v="0.31637091503267967"/>
    <x v="1"/>
    <x v="1"/>
  </r>
  <r>
    <x v="375"/>
    <x v="482"/>
    <s v="Orion a.s."/>
    <x v="1"/>
    <s v="Čechy"/>
    <x v="2"/>
    <x v="3"/>
    <s v="Batoh sportovní"/>
    <s v="Veselý"/>
    <n v="10"/>
    <n v="1229"/>
    <n v="0.11"/>
    <n v="12290"/>
    <n v="6601.5"/>
    <n v="5688.5"/>
    <n v="0.46285598047192839"/>
    <x v="1"/>
    <x v="2"/>
  </r>
  <r>
    <x v="376"/>
    <x v="483"/>
    <s v="Orion a.s."/>
    <x v="1"/>
    <s v="Morava"/>
    <x v="2"/>
    <x v="3"/>
    <s v="Batoh sportovní"/>
    <s v="Kučera"/>
    <n v="11"/>
    <n v="1116"/>
    <n v="0.18"/>
    <n v="12276"/>
    <n v="8089.5"/>
    <n v="4186.5"/>
    <n v="0.34103128054740955"/>
    <x v="1"/>
    <x v="7"/>
  </r>
  <r>
    <x v="377"/>
    <x v="484"/>
    <s v="Petr Beneš"/>
    <x v="0"/>
    <s v="Čechy"/>
    <x v="1"/>
    <x v="3"/>
    <s v="Batoh sportovní"/>
    <s v="Dvořák"/>
    <n v="4"/>
    <n v="1820"/>
    <n v="0.13"/>
    <n v="7280"/>
    <n v="4493.3999999999996"/>
    <n v="2786.6000000000004"/>
    <n v="0.38277472527472534"/>
    <x v="1"/>
    <x v="11"/>
  </r>
  <r>
    <x v="378"/>
    <x v="485"/>
    <s v="Václav Novák"/>
    <x v="0"/>
    <s v="Čechy"/>
    <x v="0"/>
    <x v="3"/>
    <s v="Batoh sportovní"/>
    <s v="Novák"/>
    <n v="4"/>
    <n v="1221"/>
    <n v="0.05"/>
    <n v="4884"/>
    <n v="3280.28"/>
    <n v="1603.7199999999998"/>
    <n v="0.32836199836199831"/>
    <x v="1"/>
    <x v="11"/>
  </r>
  <r>
    <x v="379"/>
    <x v="486"/>
    <s v="Ondřej Černý"/>
    <x v="0"/>
    <s v="Morava"/>
    <x v="0"/>
    <x v="3"/>
    <s v="Batoh sportovní"/>
    <s v="Beneš"/>
    <n v="2"/>
    <n v="1498"/>
    <n v="0.12"/>
    <n v="2996"/>
    <n v="1858.08"/>
    <n v="1137.92"/>
    <n v="0.37981308411214953"/>
    <x v="1"/>
    <x v="11"/>
  </r>
  <r>
    <x v="380"/>
    <x v="487"/>
    <s v="Ondřej Pokorný"/>
    <x v="0"/>
    <s v="Morava"/>
    <x v="0"/>
    <x v="3"/>
    <s v="Batoh sportovní"/>
    <s v="Svoboda"/>
    <n v="7"/>
    <n v="1290"/>
    <n v="0"/>
    <n v="9030"/>
    <n v="5887.77"/>
    <n v="3142.2299999999996"/>
    <n v="0.34797674418604646"/>
    <x v="1"/>
    <x v="3"/>
  </r>
  <r>
    <x v="243"/>
    <x v="488"/>
    <s v="Jan Kučera"/>
    <x v="0"/>
    <s v="Praha"/>
    <x v="2"/>
    <x v="3"/>
    <s v="Batoh sportovní"/>
    <s v="Dvořák"/>
    <n v="4"/>
    <n v="1008"/>
    <n v="0.12"/>
    <n v="4032"/>
    <n v="2263.88"/>
    <n v="1768.12"/>
    <n v="0.43852182539682538"/>
    <x v="2"/>
    <x v="6"/>
  </r>
  <r>
    <x v="190"/>
    <x v="489"/>
    <s v="Karel Novák"/>
    <x v="0"/>
    <s v="Praha"/>
    <x v="0"/>
    <x v="3"/>
    <s v="Bandáž kolene"/>
    <s v="Veselý"/>
    <n v="2"/>
    <n v="364"/>
    <n v="0.14000000000000001"/>
    <n v="728"/>
    <n v="444.07"/>
    <n v="283.93"/>
    <n v="0.39001373626373625"/>
    <x v="0"/>
    <x v="1"/>
  </r>
  <r>
    <x v="92"/>
    <x v="490"/>
    <s v="Alena Kučera"/>
    <x v="0"/>
    <s v="Morava"/>
    <x v="0"/>
    <x v="3"/>
    <s v="Bandáž kolene"/>
    <s v="Veselý"/>
    <n v="3"/>
    <n v="287"/>
    <n v="0.08"/>
    <n v="861"/>
    <n v="536.47"/>
    <n v="324.52999999999997"/>
    <n v="0.3769221835075493"/>
    <x v="0"/>
    <x v="1"/>
  </r>
  <r>
    <x v="381"/>
    <x v="491"/>
    <s v="Kappa s.r.o."/>
    <x v="1"/>
    <s v="Čechy"/>
    <x v="2"/>
    <x v="3"/>
    <s v="Bandáž kolene"/>
    <s v="Král"/>
    <n v="7"/>
    <n v="329"/>
    <n v="0.11"/>
    <n v="2303"/>
    <n v="1267.23"/>
    <n v="1035.77"/>
    <n v="0.44974815458098133"/>
    <x v="0"/>
    <x v="8"/>
  </r>
  <r>
    <x v="382"/>
    <x v="492"/>
    <s v="Martin Kučera"/>
    <x v="0"/>
    <s v="Praha"/>
    <x v="0"/>
    <x v="3"/>
    <s v="Bandáž kolene"/>
    <s v="Svoboda"/>
    <n v="2"/>
    <n v="512"/>
    <n v="0.01"/>
    <n v="1024"/>
    <n v="623.27"/>
    <n v="400.73"/>
    <n v="0.39133789062500002"/>
    <x v="0"/>
    <x v="4"/>
  </r>
  <r>
    <x v="59"/>
    <x v="493"/>
    <s v="Lukáš Kučera"/>
    <x v="0"/>
    <s v="Čechy"/>
    <x v="0"/>
    <x v="3"/>
    <s v="Bandáž kolene"/>
    <s v="Kučera"/>
    <n v="2"/>
    <n v="382"/>
    <n v="7.0000000000000007E-2"/>
    <n v="764"/>
    <n v="388.57"/>
    <n v="375.43"/>
    <n v="0.49140052356020941"/>
    <x v="0"/>
    <x v="4"/>
  </r>
  <r>
    <x v="383"/>
    <x v="494"/>
    <s v="Beta a.s."/>
    <x v="1"/>
    <s v="Čechy"/>
    <x v="0"/>
    <x v="3"/>
    <s v="Bandáž kolene"/>
    <s v="Dvořák"/>
    <n v="10"/>
    <n v="416"/>
    <n v="0.09"/>
    <n v="4160"/>
    <n v="2969.31"/>
    <n v="1190.69"/>
    <n v="0.28622355769230773"/>
    <x v="1"/>
    <x v="6"/>
  </r>
  <r>
    <x v="384"/>
    <x v="495"/>
    <s v="Markéta Svoboda"/>
    <x v="0"/>
    <s v="Čechy"/>
    <x v="0"/>
    <x v="3"/>
    <s v="Bandáž kolene"/>
    <s v="Veselý"/>
    <n v="2"/>
    <n v="374"/>
    <n v="7.0000000000000007E-2"/>
    <n v="748"/>
    <n v="543.73"/>
    <n v="204.26999999999998"/>
    <n v="0.27308823529411763"/>
    <x v="1"/>
    <x v="0"/>
  </r>
  <r>
    <x v="385"/>
    <x v="496"/>
    <s v="Vltava s.r.o."/>
    <x v="1"/>
    <s v="Čechy"/>
    <x v="2"/>
    <x v="3"/>
    <s v="Bandáž kolene"/>
    <s v="Král"/>
    <n v="8"/>
    <n v="253"/>
    <n v="0.13"/>
    <n v="2024"/>
    <n v="1047.1199999999999"/>
    <n v="976.88000000000011"/>
    <n v="0.48264822134387358"/>
    <x v="1"/>
    <x v="11"/>
  </r>
  <r>
    <x v="386"/>
    <x v="497"/>
    <s v="Kappa s.r.o."/>
    <x v="1"/>
    <s v="Praha"/>
    <x v="2"/>
    <x v="3"/>
    <s v="Bandáž kolene"/>
    <s v="Fiala"/>
    <n v="8"/>
    <n v="267"/>
    <n v="0"/>
    <n v="2136"/>
    <n v="1874.39"/>
    <n v="261.6099999999999"/>
    <n v="0.12247659176029958"/>
    <x v="1"/>
    <x v="3"/>
  </r>
  <r>
    <x v="231"/>
    <x v="498"/>
    <s v="Daniel Veselý"/>
    <x v="0"/>
    <s v="Čechy"/>
    <x v="1"/>
    <x v="3"/>
    <s v="Bandáž kolene"/>
    <s v="Beneš"/>
    <n v="3"/>
    <n v="288"/>
    <n v="0.08"/>
    <n v="864"/>
    <n v="534.32000000000005"/>
    <n v="329.67999999999995"/>
    <n v="0.38157407407407401"/>
    <x v="1"/>
    <x v="10"/>
  </r>
  <r>
    <x v="189"/>
    <x v="499"/>
    <s v="Radek Černý"/>
    <x v="0"/>
    <s v="Praha"/>
    <x v="0"/>
    <x v="3"/>
    <s v="Bandáž kolene"/>
    <s v="Fiala"/>
    <n v="2"/>
    <n v="433"/>
    <n v="0"/>
    <n v="866"/>
    <n v="532.80999999999995"/>
    <n v="333.19000000000005"/>
    <n v="0.38474595842956127"/>
    <x v="2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28E4D-A01B-463C-8CBC-FB218A67DBBF}" name="Marza%" cacheId="1" applyNumberFormats="0" applyBorderFormats="0" applyFontFormats="0" applyPatternFormats="0" applyAlignmentFormats="0" applyWidthHeightFormats="1" dataCaption="Hodnoty" updatedVersion="8" minRefreshableVersion="3" itemPrintTitles="1" createdVersion="8" indent="0" compact="0" compactData="0" multipleFieldFilters="0" chartFormat="32">
  <location ref="J5:J6" firstHeaderRow="1" firstDataRow="1" firstDataCol="0"/>
  <pivotFields count="23">
    <pivotField compact="0" numFmtId="14" outline="0" showAll="0">
      <items count="388">
        <item x="365"/>
        <item x="327"/>
        <item x="112"/>
        <item x="246"/>
        <item x="219"/>
        <item x="131"/>
        <item x="305"/>
        <item x="113"/>
        <item x="272"/>
        <item x="366"/>
        <item x="80"/>
        <item x="132"/>
        <item x="256"/>
        <item x="24"/>
        <item x="339"/>
        <item x="0"/>
        <item x="100"/>
        <item x="91"/>
        <item x="212"/>
        <item x="203"/>
        <item x="220"/>
        <item x="147"/>
        <item x="257"/>
        <item x="190"/>
        <item x="163"/>
        <item x="221"/>
        <item x="133"/>
        <item x="114"/>
        <item x="39"/>
        <item x="1"/>
        <item x="92"/>
        <item x="236"/>
        <item x="355"/>
        <item x="148"/>
        <item x="247"/>
        <item x="311"/>
        <item x="178"/>
        <item x="74"/>
        <item x="340"/>
        <item x="17"/>
        <item x="101"/>
        <item x="149"/>
        <item x="134"/>
        <item x="237"/>
        <item x="248"/>
        <item x="40"/>
        <item x="367"/>
        <item x="25"/>
        <item x="57"/>
        <item x="368"/>
        <item x="191"/>
        <item x="179"/>
        <item x="102"/>
        <item x="192"/>
        <item x="41"/>
        <item x="81"/>
        <item x="319"/>
        <item x="2"/>
        <item x="82"/>
        <item x="356"/>
        <item x="312"/>
        <item x="290"/>
        <item x="193"/>
        <item x="341"/>
        <item x="213"/>
        <item x="83"/>
        <item x="103"/>
        <item x="342"/>
        <item x="258"/>
        <item x="104"/>
        <item x="328"/>
        <item x="306"/>
        <item x="115"/>
        <item x="369"/>
        <item x="180"/>
        <item x="150"/>
        <item x="343"/>
        <item x="135"/>
        <item x="307"/>
        <item x="42"/>
        <item x="329"/>
        <item x="3"/>
        <item x="204"/>
        <item x="291"/>
        <item x="151"/>
        <item x="136"/>
        <item x="152"/>
        <item x="238"/>
        <item x="320"/>
        <item x="239"/>
        <item x="279"/>
        <item x="357"/>
        <item x="313"/>
        <item x="194"/>
        <item x="205"/>
        <item x="84"/>
        <item x="164"/>
        <item x="292"/>
        <item x="181"/>
        <item x="214"/>
        <item x="182"/>
        <item x="183"/>
        <item x="195"/>
        <item x="330"/>
        <item x="153"/>
        <item x="240"/>
        <item x="381"/>
        <item x="222"/>
        <item x="58"/>
        <item x="184"/>
        <item x="382"/>
        <item x="4"/>
        <item x="215"/>
        <item x="331"/>
        <item x="59"/>
        <item x="332"/>
        <item x="259"/>
        <item x="93"/>
        <item x="273"/>
        <item x="137"/>
        <item x="60"/>
        <item x="223"/>
        <item x="344"/>
        <item x="43"/>
        <item x="154"/>
        <item x="370"/>
        <item x="5"/>
        <item x="6"/>
        <item x="105"/>
        <item x="106"/>
        <item x="138"/>
        <item x="293"/>
        <item x="139"/>
        <item x="155"/>
        <item x="206"/>
        <item x="85"/>
        <item x="371"/>
        <item x="185"/>
        <item x="165"/>
        <item x="26"/>
        <item x="116"/>
        <item x="372"/>
        <item x="260"/>
        <item x="18"/>
        <item x="308"/>
        <item x="261"/>
        <item x="333"/>
        <item x="44"/>
        <item x="280"/>
        <item x="166"/>
        <item x="61"/>
        <item x="19"/>
        <item x="345"/>
        <item x="186"/>
        <item x="156"/>
        <item x="62"/>
        <item x="45"/>
        <item x="281"/>
        <item x="117"/>
        <item x="321"/>
        <item x="46"/>
        <item x="27"/>
        <item x="167"/>
        <item x="140"/>
        <item x="207"/>
        <item x="249"/>
        <item x="7"/>
        <item x="63"/>
        <item x="196"/>
        <item x="224"/>
        <item x="346"/>
        <item x="383"/>
        <item x="373"/>
        <item x="64"/>
        <item x="28"/>
        <item x="334"/>
        <item x="187"/>
        <item x="225"/>
        <item x="86"/>
        <item x="262"/>
        <item x="65"/>
        <item x="75"/>
        <item x="384"/>
        <item x="347"/>
        <item x="118"/>
        <item x="20"/>
        <item x="335"/>
        <item x="29"/>
        <item x="294"/>
        <item x="263"/>
        <item x="87"/>
        <item x="274"/>
        <item x="226"/>
        <item x="107"/>
        <item x="227"/>
        <item x="374"/>
        <item x="264"/>
        <item x="66"/>
        <item x="141"/>
        <item x="250"/>
        <item x="142"/>
        <item x="197"/>
        <item x="275"/>
        <item x="198"/>
        <item x="336"/>
        <item x="322"/>
        <item x="76"/>
        <item x="88"/>
        <item x="168"/>
        <item x="199"/>
        <item x="251"/>
        <item x="282"/>
        <item x="157"/>
        <item x="295"/>
        <item x="296"/>
        <item x="265"/>
        <item x="348"/>
        <item x="47"/>
        <item x="48"/>
        <item x="49"/>
        <item x="358"/>
        <item x="50"/>
        <item x="158"/>
        <item x="359"/>
        <item x="375"/>
        <item x="283"/>
        <item x="349"/>
        <item x="143"/>
        <item x="350"/>
        <item x="119"/>
        <item x="208"/>
        <item x="89"/>
        <item x="108"/>
        <item x="266"/>
        <item x="314"/>
        <item x="51"/>
        <item x="376"/>
        <item x="360"/>
        <item x="30"/>
        <item x="159"/>
        <item x="8"/>
        <item x="284"/>
        <item x="377"/>
        <item x="378"/>
        <item x="379"/>
        <item x="209"/>
        <item x="120"/>
        <item x="216"/>
        <item x="67"/>
        <item x="323"/>
        <item x="200"/>
        <item x="385"/>
        <item x="315"/>
        <item x="386"/>
        <item x="380"/>
        <item x="309"/>
        <item x="9"/>
        <item x="297"/>
        <item x="361"/>
        <item x="324"/>
        <item x="285"/>
        <item x="68"/>
        <item x="286"/>
        <item x="351"/>
        <item x="94"/>
        <item x="121"/>
        <item x="95"/>
        <item x="10"/>
        <item x="252"/>
        <item x="122"/>
        <item x="298"/>
        <item x="123"/>
        <item x="77"/>
        <item x="228"/>
        <item x="188"/>
        <item x="11"/>
        <item x="337"/>
        <item x="124"/>
        <item x="201"/>
        <item x="21"/>
        <item x="316"/>
        <item x="169"/>
        <item x="22"/>
        <item x="31"/>
        <item x="160"/>
        <item x="52"/>
        <item x="241"/>
        <item x="78"/>
        <item x="12"/>
        <item x="161"/>
        <item x="267"/>
        <item x="242"/>
        <item x="253"/>
        <item x="162"/>
        <item x="23"/>
        <item x="287"/>
        <item x="229"/>
        <item x="299"/>
        <item x="230"/>
        <item x="32"/>
        <item x="170"/>
        <item x="317"/>
        <item x="276"/>
        <item x="231"/>
        <item x="53"/>
        <item x="96"/>
        <item x="325"/>
        <item x="90"/>
        <item x="33"/>
        <item x="109"/>
        <item x="310"/>
        <item x="232"/>
        <item x="288"/>
        <item x="144"/>
        <item x="171"/>
        <item x="268"/>
        <item x="97"/>
        <item x="54"/>
        <item x="98"/>
        <item x="277"/>
        <item x="352"/>
        <item x="79"/>
        <item x="269"/>
        <item x="300"/>
        <item x="172"/>
        <item x="301"/>
        <item x="69"/>
        <item x="210"/>
        <item x="34"/>
        <item x="243"/>
        <item x="70"/>
        <item x="353"/>
        <item x="233"/>
        <item x="362"/>
        <item x="173"/>
        <item x="289"/>
        <item x="244"/>
        <item x="202"/>
        <item x="125"/>
        <item x="217"/>
        <item x="270"/>
        <item x="254"/>
        <item x="318"/>
        <item x="55"/>
        <item x="174"/>
        <item x="211"/>
        <item x="234"/>
        <item x="13"/>
        <item x="145"/>
        <item x="126"/>
        <item x="56"/>
        <item x="218"/>
        <item x="271"/>
        <item x="14"/>
        <item x="326"/>
        <item x="245"/>
        <item x="15"/>
        <item x="35"/>
        <item x="189"/>
        <item x="278"/>
        <item x="71"/>
        <item x="363"/>
        <item x="175"/>
        <item x="176"/>
        <item x="110"/>
        <item x="36"/>
        <item x="127"/>
        <item x="99"/>
        <item x="128"/>
        <item x="16"/>
        <item x="72"/>
        <item x="146"/>
        <item x="177"/>
        <item x="338"/>
        <item x="129"/>
        <item x="354"/>
        <item x="255"/>
        <item x="302"/>
        <item x="73"/>
        <item x="303"/>
        <item x="130"/>
        <item x="304"/>
        <item x="37"/>
        <item x="364"/>
        <item x="235"/>
        <item x="38"/>
        <item x="1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</pivotField>
    <pivotField compact="0" outline="0" dragToRow="0" dragToCol="0" dragToPage="0" showAll="0" defaultSubtotal="0"/>
    <pivotField dataField="1" compact="0" outline="0" dragToRow="0" dragToCol="0" dragToPage="0" showAll="0" defaultSubtotal="0"/>
  </pivotFields>
  <rowItems count="1">
    <i/>
  </rowItems>
  <colItems count="1">
    <i/>
  </colItems>
  <dataFields count="1">
    <dataField name="Marza_pr%" fld="22" baseField="1" baseItem="1" numFmtId="10"/>
  </dataFields>
  <formats count="18"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18" type="button" dataOnly="0" labelOnly="1" outline="0"/>
    </format>
    <format dxfId="95">
      <pivotArea dataOnly="0" labelOnly="1" grandRow="1" outline="0" fieldPosition="0"/>
    </format>
    <format dxfId="94">
      <pivotArea dataOnly="0" labelOnly="1" outline="0" axis="axisValues" fieldPosition="0"/>
    </format>
    <format dxfId="93">
      <pivotArea dataOnly="0" labelOnly="1" grandRow="1" outline="0" fieldPosition="0"/>
    </format>
    <format dxfId="92">
      <pivotArea grandRow="1" outline="0" collapsedLevelsAreSubtotals="1" fieldPosition="0"/>
    </format>
    <format dxfId="91">
      <pivotArea outline="0" fieldPosition="0">
        <references count="1">
          <reference field="4294967294" count="1">
            <x v="0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dataOnly="0" labelOnly="1" outline="0" axis="axisValues" fieldPosition="0"/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dataOnly="0" labelOnly="1" outline="0" axis="axisValues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dataOnly="0" labelOnly="1" outline="0" axis="axisValues" fieldPosition="0"/>
    </format>
    <format dxfId="81">
      <pivotArea dataOnly="0" labelOnly="1" outline="0" axis="axisValues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59262-AC61-489A-BEED-ACD2A47B38B6}" name="Trzba" cacheId="1" applyNumberFormats="0" applyBorderFormats="0" applyFontFormats="0" applyPatternFormats="0" applyAlignmentFormats="0" applyWidthHeightFormats="1" dataCaption="Hodnoty" updatedVersion="8" minRefreshableVersion="3" itemPrintTitles="1" createdVersion="8" indent="0" showHeaders="0" outline="1" outlineData="1" multipleFieldFilters="0">
  <location ref="D5:D6" firstHeaderRow="1" firstDataRow="1" firstDataCol="0"/>
  <pivotFields count="23">
    <pivotField numFmtId="14" showAll="0">
      <items count="388">
        <item x="365"/>
        <item x="327"/>
        <item x="112"/>
        <item x="246"/>
        <item x="219"/>
        <item x="131"/>
        <item x="305"/>
        <item x="113"/>
        <item x="272"/>
        <item x="366"/>
        <item x="80"/>
        <item x="132"/>
        <item x="256"/>
        <item x="24"/>
        <item x="339"/>
        <item x="0"/>
        <item x="100"/>
        <item x="91"/>
        <item x="212"/>
        <item x="203"/>
        <item x="220"/>
        <item x="147"/>
        <item x="257"/>
        <item x="190"/>
        <item x="163"/>
        <item x="221"/>
        <item x="133"/>
        <item x="114"/>
        <item x="39"/>
        <item x="1"/>
        <item x="92"/>
        <item x="236"/>
        <item x="355"/>
        <item x="148"/>
        <item x="247"/>
        <item x="311"/>
        <item x="178"/>
        <item x="74"/>
        <item x="340"/>
        <item x="17"/>
        <item x="101"/>
        <item x="149"/>
        <item x="134"/>
        <item x="237"/>
        <item x="248"/>
        <item x="40"/>
        <item x="367"/>
        <item x="25"/>
        <item x="57"/>
        <item x="368"/>
        <item x="191"/>
        <item x="179"/>
        <item x="102"/>
        <item x="192"/>
        <item x="41"/>
        <item x="81"/>
        <item x="319"/>
        <item x="2"/>
        <item x="82"/>
        <item x="356"/>
        <item x="312"/>
        <item x="290"/>
        <item x="193"/>
        <item x="341"/>
        <item x="213"/>
        <item x="83"/>
        <item x="103"/>
        <item x="342"/>
        <item x="258"/>
        <item x="104"/>
        <item x="328"/>
        <item x="306"/>
        <item x="115"/>
        <item x="369"/>
        <item x="180"/>
        <item x="150"/>
        <item x="343"/>
        <item x="135"/>
        <item x="307"/>
        <item x="42"/>
        <item x="329"/>
        <item x="3"/>
        <item x="204"/>
        <item x="291"/>
        <item x="151"/>
        <item x="136"/>
        <item x="152"/>
        <item x="238"/>
        <item x="320"/>
        <item x="239"/>
        <item x="279"/>
        <item x="357"/>
        <item x="313"/>
        <item x="194"/>
        <item x="205"/>
        <item x="84"/>
        <item x="164"/>
        <item x="292"/>
        <item x="181"/>
        <item x="214"/>
        <item x="182"/>
        <item x="183"/>
        <item x="195"/>
        <item x="330"/>
        <item x="153"/>
        <item x="240"/>
        <item x="381"/>
        <item x="222"/>
        <item x="58"/>
        <item x="184"/>
        <item x="382"/>
        <item x="4"/>
        <item x="215"/>
        <item x="331"/>
        <item x="59"/>
        <item x="332"/>
        <item x="259"/>
        <item x="93"/>
        <item x="273"/>
        <item x="137"/>
        <item x="60"/>
        <item x="223"/>
        <item x="344"/>
        <item x="43"/>
        <item x="154"/>
        <item x="370"/>
        <item x="5"/>
        <item x="6"/>
        <item x="105"/>
        <item x="106"/>
        <item x="138"/>
        <item x="293"/>
        <item x="139"/>
        <item x="155"/>
        <item x="206"/>
        <item x="85"/>
        <item x="371"/>
        <item x="185"/>
        <item x="165"/>
        <item x="26"/>
        <item x="116"/>
        <item x="372"/>
        <item x="260"/>
        <item x="18"/>
        <item x="308"/>
        <item x="261"/>
        <item x="333"/>
        <item x="44"/>
        <item x="280"/>
        <item x="166"/>
        <item x="61"/>
        <item x="19"/>
        <item x="345"/>
        <item x="186"/>
        <item x="156"/>
        <item x="62"/>
        <item x="45"/>
        <item x="281"/>
        <item x="117"/>
        <item x="321"/>
        <item x="46"/>
        <item x="27"/>
        <item x="167"/>
        <item x="140"/>
        <item x="207"/>
        <item x="249"/>
        <item x="7"/>
        <item x="63"/>
        <item x="196"/>
        <item x="224"/>
        <item x="346"/>
        <item x="383"/>
        <item x="373"/>
        <item x="64"/>
        <item x="28"/>
        <item x="334"/>
        <item x="187"/>
        <item x="225"/>
        <item x="86"/>
        <item x="262"/>
        <item x="65"/>
        <item x="75"/>
        <item x="384"/>
        <item x="347"/>
        <item x="118"/>
        <item x="20"/>
        <item x="335"/>
        <item x="29"/>
        <item x="294"/>
        <item x="263"/>
        <item x="87"/>
        <item x="274"/>
        <item x="226"/>
        <item x="107"/>
        <item x="227"/>
        <item x="374"/>
        <item x="264"/>
        <item x="66"/>
        <item x="141"/>
        <item x="250"/>
        <item x="142"/>
        <item x="197"/>
        <item x="275"/>
        <item x="198"/>
        <item x="336"/>
        <item x="322"/>
        <item x="76"/>
        <item x="88"/>
        <item x="168"/>
        <item x="199"/>
        <item x="251"/>
        <item x="282"/>
        <item x="157"/>
        <item x="295"/>
        <item x="296"/>
        <item x="265"/>
        <item x="348"/>
        <item x="47"/>
        <item x="48"/>
        <item x="49"/>
        <item x="358"/>
        <item x="50"/>
        <item x="158"/>
        <item x="359"/>
        <item x="375"/>
        <item x="283"/>
        <item x="349"/>
        <item x="143"/>
        <item x="350"/>
        <item x="119"/>
        <item x="208"/>
        <item x="89"/>
        <item x="108"/>
        <item x="266"/>
        <item x="314"/>
        <item x="51"/>
        <item x="376"/>
        <item x="360"/>
        <item x="30"/>
        <item x="159"/>
        <item x="8"/>
        <item x="284"/>
        <item x="377"/>
        <item x="378"/>
        <item x="379"/>
        <item x="209"/>
        <item x="120"/>
        <item x="216"/>
        <item x="67"/>
        <item x="323"/>
        <item x="200"/>
        <item x="385"/>
        <item x="315"/>
        <item x="386"/>
        <item x="380"/>
        <item x="309"/>
        <item x="9"/>
        <item x="297"/>
        <item x="361"/>
        <item x="324"/>
        <item x="285"/>
        <item x="68"/>
        <item x="286"/>
        <item x="351"/>
        <item x="94"/>
        <item x="121"/>
        <item x="95"/>
        <item x="10"/>
        <item x="252"/>
        <item x="122"/>
        <item x="298"/>
        <item x="123"/>
        <item x="77"/>
        <item x="228"/>
        <item x="188"/>
        <item x="11"/>
        <item x="337"/>
        <item x="124"/>
        <item x="201"/>
        <item x="21"/>
        <item x="316"/>
        <item x="169"/>
        <item x="22"/>
        <item x="31"/>
        <item x="160"/>
        <item x="52"/>
        <item x="241"/>
        <item x="78"/>
        <item x="12"/>
        <item x="161"/>
        <item x="267"/>
        <item x="242"/>
        <item x="253"/>
        <item x="162"/>
        <item x="23"/>
        <item x="287"/>
        <item x="229"/>
        <item x="299"/>
        <item x="230"/>
        <item x="32"/>
        <item x="170"/>
        <item x="317"/>
        <item x="276"/>
        <item x="231"/>
        <item x="53"/>
        <item x="96"/>
        <item x="325"/>
        <item x="90"/>
        <item x="33"/>
        <item x="109"/>
        <item x="310"/>
        <item x="232"/>
        <item x="288"/>
        <item x="144"/>
        <item x="171"/>
        <item x="268"/>
        <item x="97"/>
        <item x="54"/>
        <item x="98"/>
        <item x="277"/>
        <item x="352"/>
        <item x="79"/>
        <item x="269"/>
        <item x="300"/>
        <item x="172"/>
        <item x="301"/>
        <item x="69"/>
        <item x="210"/>
        <item x="34"/>
        <item x="243"/>
        <item x="70"/>
        <item x="353"/>
        <item x="233"/>
        <item x="362"/>
        <item x="173"/>
        <item x="289"/>
        <item x="244"/>
        <item x="202"/>
        <item x="125"/>
        <item x="217"/>
        <item x="270"/>
        <item x="254"/>
        <item x="318"/>
        <item x="55"/>
        <item x="174"/>
        <item x="211"/>
        <item x="234"/>
        <item x="13"/>
        <item x="145"/>
        <item x="126"/>
        <item x="56"/>
        <item x="218"/>
        <item x="271"/>
        <item x="14"/>
        <item x="326"/>
        <item x="245"/>
        <item x="15"/>
        <item x="35"/>
        <item x="189"/>
        <item x="278"/>
        <item x="71"/>
        <item x="363"/>
        <item x="175"/>
        <item x="176"/>
        <item x="110"/>
        <item x="36"/>
        <item x="127"/>
        <item x="99"/>
        <item x="128"/>
        <item x="16"/>
        <item x="72"/>
        <item x="146"/>
        <item x="177"/>
        <item x="338"/>
        <item x="129"/>
        <item x="354"/>
        <item x="255"/>
        <item x="302"/>
        <item x="73"/>
        <item x="303"/>
        <item x="130"/>
        <item x="304"/>
        <item x="37"/>
        <item x="364"/>
        <item x="235"/>
        <item x="38"/>
        <item x="1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9" showAll="0"/>
    <pivotField showAll="0">
      <items count="4">
        <item x="0"/>
        <item x="1"/>
        <item x="2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Tržba" fld="12" baseField="0" baseItem="0" numFmtId="164"/>
  </dataFields>
  <formats count="22">
    <format dxfId="120">
      <pivotArea type="all" dataOnly="0" outline="0" fieldPosition="0"/>
    </format>
    <format dxfId="119">
      <pivotArea outline="0" collapsedLevelsAreSubtotals="1" fieldPosition="0"/>
    </format>
    <format dxfId="118">
      <pivotArea field="18" type="button" dataOnly="0" labelOnly="1" outline="0"/>
    </format>
    <format dxfId="117">
      <pivotArea dataOnly="0" labelOnly="1" grandRow="1" outline="0" fieldPosition="0"/>
    </format>
    <format dxfId="116">
      <pivotArea dataOnly="0" labelOnly="1" outline="0" axis="axisValues" fieldPosition="0"/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dataOnly="0" labelOnly="1" outline="0" axis="axisValues" fieldPosition="0"/>
    </format>
    <format dxfId="112">
      <pivotArea type="all" dataOnly="0" outline="0" fieldPosition="0"/>
    </format>
    <format dxfId="111">
      <pivotArea dataOnly="0" labelOnly="1" outline="0" axis="axisValues" fieldPosition="0"/>
    </format>
    <format dxfId="110">
      <pivotArea dataOnly="0" labelOnly="1" outline="0" axis="axisValues" fieldPosition="0"/>
    </format>
    <format dxfId="109">
      <pivotArea outline="0" collapsedLevelsAreSubtotals="1" fieldPosition="0"/>
    </format>
    <format dxfId="108">
      <pivotArea outline="0" collapsedLevelsAreSubtotals="1" fieldPosition="0"/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dataOnly="0" labelOnly="1" outline="0" axis="axisValues" fieldPosition="0"/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dataOnly="0" labelOnly="1" outline="0" axis="axisValues" fieldPosition="0"/>
    </format>
    <format dxfId="101">
      <pivotArea outline="0" collapsedLevelsAreSubtotals="1" fieldPosition="0"/>
    </format>
    <format dxfId="100">
      <pivotArea outline="0" collapsedLevelsAreSubtotals="1" fieldPosition="0"/>
    </format>
    <format dxfId="99">
      <pivotArea outline="0" collapsedLevelsAreSubtotals="1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42A9E-C807-49FE-81FB-C2493C68BD7D}" name="Kontingenčná tabuľka4" cacheId="1" applyNumberFormats="0" applyBorderFormats="0" applyFontFormats="0" applyPatternFormats="0" applyAlignmentFormats="0" applyWidthHeightFormats="1" dataCaption="Hodnoty" updatedVersion="8" minRefreshableVersion="3" itemPrintTitles="1" createdVersion="8" indent="0" outline="1" outlineData="1" multipleFieldFilters="0">
  <location ref="H5:H6" firstHeaderRow="1" firstDataRow="1" firstDataCol="0"/>
  <pivotFields count="23">
    <pivotField numFmtId="14" showAll="0">
      <items count="388">
        <item x="365"/>
        <item x="327"/>
        <item x="112"/>
        <item x="246"/>
        <item x="219"/>
        <item x="131"/>
        <item x="305"/>
        <item x="113"/>
        <item x="272"/>
        <item x="366"/>
        <item x="80"/>
        <item x="132"/>
        <item x="256"/>
        <item x="24"/>
        <item x="339"/>
        <item x="0"/>
        <item x="100"/>
        <item x="91"/>
        <item x="212"/>
        <item x="203"/>
        <item x="220"/>
        <item x="147"/>
        <item x="257"/>
        <item x="190"/>
        <item x="163"/>
        <item x="221"/>
        <item x="133"/>
        <item x="114"/>
        <item x="39"/>
        <item x="1"/>
        <item x="92"/>
        <item x="236"/>
        <item x="355"/>
        <item x="148"/>
        <item x="247"/>
        <item x="311"/>
        <item x="178"/>
        <item x="74"/>
        <item x="340"/>
        <item x="17"/>
        <item x="101"/>
        <item x="149"/>
        <item x="134"/>
        <item x="237"/>
        <item x="248"/>
        <item x="40"/>
        <item x="367"/>
        <item x="25"/>
        <item x="57"/>
        <item x="368"/>
        <item x="191"/>
        <item x="179"/>
        <item x="102"/>
        <item x="192"/>
        <item x="41"/>
        <item x="81"/>
        <item x="319"/>
        <item x="2"/>
        <item x="82"/>
        <item x="356"/>
        <item x="312"/>
        <item x="290"/>
        <item x="193"/>
        <item x="341"/>
        <item x="213"/>
        <item x="83"/>
        <item x="103"/>
        <item x="342"/>
        <item x="258"/>
        <item x="104"/>
        <item x="328"/>
        <item x="306"/>
        <item x="115"/>
        <item x="369"/>
        <item x="180"/>
        <item x="150"/>
        <item x="343"/>
        <item x="135"/>
        <item x="307"/>
        <item x="42"/>
        <item x="329"/>
        <item x="3"/>
        <item x="204"/>
        <item x="291"/>
        <item x="151"/>
        <item x="136"/>
        <item x="152"/>
        <item x="238"/>
        <item x="320"/>
        <item x="239"/>
        <item x="279"/>
        <item x="357"/>
        <item x="313"/>
        <item x="194"/>
        <item x="205"/>
        <item x="84"/>
        <item x="164"/>
        <item x="292"/>
        <item x="181"/>
        <item x="214"/>
        <item x="182"/>
        <item x="183"/>
        <item x="195"/>
        <item x="330"/>
        <item x="153"/>
        <item x="240"/>
        <item x="381"/>
        <item x="222"/>
        <item x="58"/>
        <item x="184"/>
        <item x="382"/>
        <item x="4"/>
        <item x="215"/>
        <item x="331"/>
        <item x="59"/>
        <item x="332"/>
        <item x="259"/>
        <item x="93"/>
        <item x="273"/>
        <item x="137"/>
        <item x="60"/>
        <item x="223"/>
        <item x="344"/>
        <item x="43"/>
        <item x="154"/>
        <item x="370"/>
        <item x="5"/>
        <item x="6"/>
        <item x="105"/>
        <item x="106"/>
        <item x="138"/>
        <item x="293"/>
        <item x="139"/>
        <item x="155"/>
        <item x="206"/>
        <item x="85"/>
        <item x="371"/>
        <item x="185"/>
        <item x="165"/>
        <item x="26"/>
        <item x="116"/>
        <item x="372"/>
        <item x="260"/>
        <item x="18"/>
        <item x="308"/>
        <item x="261"/>
        <item x="333"/>
        <item x="44"/>
        <item x="280"/>
        <item x="166"/>
        <item x="61"/>
        <item x="19"/>
        <item x="345"/>
        <item x="186"/>
        <item x="156"/>
        <item x="62"/>
        <item x="45"/>
        <item x="281"/>
        <item x="117"/>
        <item x="321"/>
        <item x="46"/>
        <item x="27"/>
        <item x="167"/>
        <item x="140"/>
        <item x="207"/>
        <item x="249"/>
        <item x="7"/>
        <item x="63"/>
        <item x="196"/>
        <item x="224"/>
        <item x="346"/>
        <item x="383"/>
        <item x="373"/>
        <item x="64"/>
        <item x="28"/>
        <item x="334"/>
        <item x="187"/>
        <item x="225"/>
        <item x="86"/>
        <item x="262"/>
        <item x="65"/>
        <item x="75"/>
        <item x="384"/>
        <item x="347"/>
        <item x="118"/>
        <item x="20"/>
        <item x="335"/>
        <item x="29"/>
        <item x="294"/>
        <item x="263"/>
        <item x="87"/>
        <item x="274"/>
        <item x="226"/>
        <item x="107"/>
        <item x="227"/>
        <item x="374"/>
        <item x="264"/>
        <item x="66"/>
        <item x="141"/>
        <item x="250"/>
        <item x="142"/>
        <item x="197"/>
        <item x="275"/>
        <item x="198"/>
        <item x="336"/>
        <item x="322"/>
        <item x="76"/>
        <item x="88"/>
        <item x="168"/>
        <item x="199"/>
        <item x="251"/>
        <item x="282"/>
        <item x="157"/>
        <item x="295"/>
        <item x="296"/>
        <item x="265"/>
        <item x="348"/>
        <item x="47"/>
        <item x="48"/>
        <item x="49"/>
        <item x="358"/>
        <item x="50"/>
        <item x="158"/>
        <item x="359"/>
        <item x="375"/>
        <item x="283"/>
        <item x="349"/>
        <item x="143"/>
        <item x="350"/>
        <item x="119"/>
        <item x="208"/>
        <item x="89"/>
        <item x="108"/>
        <item x="266"/>
        <item x="314"/>
        <item x="51"/>
        <item x="376"/>
        <item x="360"/>
        <item x="30"/>
        <item x="159"/>
        <item x="8"/>
        <item x="284"/>
        <item x="377"/>
        <item x="378"/>
        <item x="379"/>
        <item x="209"/>
        <item x="120"/>
        <item x="216"/>
        <item x="67"/>
        <item x="323"/>
        <item x="200"/>
        <item x="385"/>
        <item x="315"/>
        <item x="386"/>
        <item x="380"/>
        <item x="309"/>
        <item x="9"/>
        <item x="297"/>
        <item x="361"/>
        <item x="324"/>
        <item x="285"/>
        <item x="68"/>
        <item x="286"/>
        <item x="351"/>
        <item x="94"/>
        <item x="121"/>
        <item x="95"/>
        <item x="10"/>
        <item x="252"/>
        <item x="122"/>
        <item x="298"/>
        <item x="123"/>
        <item x="77"/>
        <item x="228"/>
        <item x="188"/>
        <item x="11"/>
        <item x="337"/>
        <item x="124"/>
        <item x="201"/>
        <item x="21"/>
        <item x="316"/>
        <item x="169"/>
        <item x="22"/>
        <item x="31"/>
        <item x="160"/>
        <item x="52"/>
        <item x="241"/>
        <item x="78"/>
        <item x="12"/>
        <item x="161"/>
        <item x="267"/>
        <item x="242"/>
        <item x="253"/>
        <item x="162"/>
        <item x="23"/>
        <item x="287"/>
        <item x="229"/>
        <item x="299"/>
        <item x="230"/>
        <item x="32"/>
        <item x="170"/>
        <item x="317"/>
        <item x="276"/>
        <item x="231"/>
        <item x="53"/>
        <item x="96"/>
        <item x="325"/>
        <item x="90"/>
        <item x="33"/>
        <item x="109"/>
        <item x="310"/>
        <item x="232"/>
        <item x="288"/>
        <item x="144"/>
        <item x="171"/>
        <item x="268"/>
        <item x="97"/>
        <item x="54"/>
        <item x="98"/>
        <item x="277"/>
        <item x="352"/>
        <item x="79"/>
        <item x="269"/>
        <item x="300"/>
        <item x="172"/>
        <item x="301"/>
        <item x="69"/>
        <item x="210"/>
        <item x="34"/>
        <item x="243"/>
        <item x="70"/>
        <item x="353"/>
        <item x="233"/>
        <item x="362"/>
        <item x="173"/>
        <item x="289"/>
        <item x="244"/>
        <item x="202"/>
        <item x="125"/>
        <item x="217"/>
        <item x="270"/>
        <item x="254"/>
        <item x="318"/>
        <item x="55"/>
        <item x="174"/>
        <item x="211"/>
        <item x="234"/>
        <item x="13"/>
        <item x="145"/>
        <item x="126"/>
        <item x="56"/>
        <item x="218"/>
        <item x="271"/>
        <item x="14"/>
        <item x="326"/>
        <item x="245"/>
        <item x="15"/>
        <item x="35"/>
        <item x="189"/>
        <item x="278"/>
        <item x="71"/>
        <item x="363"/>
        <item x="175"/>
        <item x="176"/>
        <item x="110"/>
        <item x="36"/>
        <item x="127"/>
        <item x="99"/>
        <item x="128"/>
        <item x="16"/>
        <item x="72"/>
        <item x="146"/>
        <item x="177"/>
        <item x="338"/>
        <item x="129"/>
        <item x="354"/>
        <item x="255"/>
        <item x="302"/>
        <item x="73"/>
        <item x="303"/>
        <item x="130"/>
        <item x="304"/>
        <item x="37"/>
        <item x="364"/>
        <item x="235"/>
        <item x="38"/>
        <item x="1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9" showAll="0"/>
    <pivotField showAll="0">
      <items count="4">
        <item x="0"/>
        <item x="1"/>
        <item x="2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Náklady" fld="13" baseField="0" baseItem="0" numFmtId="164"/>
  </dataFields>
  <formats count="22">
    <format dxfId="142">
      <pivotArea type="all" dataOnly="0" outline="0" fieldPosition="0"/>
    </format>
    <format dxfId="141">
      <pivotArea outline="0" collapsedLevelsAreSubtotals="1" fieldPosition="0"/>
    </format>
    <format dxfId="140">
      <pivotArea field="18" type="button" dataOnly="0" labelOnly="1" outline="0"/>
    </format>
    <format dxfId="139">
      <pivotArea dataOnly="0" labelOnly="1" grandRow="1" outline="0" fieldPosition="0"/>
    </format>
    <format dxfId="138">
      <pivotArea dataOnly="0" labelOnly="1" outline="0" axis="axisValues" fieldPosition="0"/>
    </format>
    <format dxfId="137">
      <pivotArea type="all" dataOnly="0" outline="0" fieldPosition="0"/>
    </format>
    <format dxfId="136">
      <pivotArea outline="0" collapsedLevelsAreSubtotals="1" fieldPosition="0"/>
    </format>
    <format dxfId="135">
      <pivotArea dataOnly="0" labelOnly="1" outline="0" axis="axisValues" fieldPosition="0"/>
    </format>
    <format dxfId="134">
      <pivotArea type="all" dataOnly="0" outline="0" fieldPosition="0"/>
    </format>
    <format dxfId="133">
      <pivotArea dataOnly="0" labelOnly="1" outline="0" axis="axisValues" fieldPosition="0"/>
    </format>
    <format dxfId="132">
      <pivotArea dataOnly="0" labelOnly="1" outline="0" axis="axisValues" fieldPosition="0"/>
    </format>
    <format dxfId="131">
      <pivotArea outline="0" collapsedLevelsAreSubtotals="1" fieldPosition="0"/>
    </format>
    <format dxfId="130">
      <pivotArea outline="0" collapsedLevelsAreSubtotals="1" fieldPosition="0"/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dataOnly="0" labelOnly="1" outline="0" axis="axisValues" fieldPosition="0"/>
    </format>
    <format dxfId="126">
      <pivotArea type="all" dataOnly="0" outline="0" fieldPosition="0"/>
    </format>
    <format dxfId="125">
      <pivotArea outline="0" collapsedLevelsAreSubtotals="1" fieldPosition="0"/>
    </format>
    <format dxfId="124">
      <pivotArea dataOnly="0" labelOnly="1" outline="0" axis="axisValues" fieldPosition="0"/>
    </format>
    <format dxfId="123">
      <pivotArea outline="0" collapsedLevelsAreSubtotals="1" fieldPosition="0"/>
    </format>
    <format dxfId="122">
      <pivotArea outline="0" collapsedLevelsAreSubtotals="1" fieldPosition="0"/>
    </format>
    <format dxfId="121">
      <pivotArea outline="0" collapsedLevelsAreSubtotals="1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261D5-24A5-4F2D-82DA-4DC83707EBAB}" name="Kontingenčná tabuľka3" cacheId="1" applyNumberFormats="0" applyBorderFormats="0" applyFontFormats="0" applyPatternFormats="0" applyAlignmentFormats="0" applyWidthHeightFormats="1" dataCaption="Hodnoty" updatedVersion="8" minRefreshableVersion="3" itemPrintTitles="1" createdVersion="8" indent="0" outline="1" outlineData="1" multipleFieldFilters="0">
  <location ref="F5:F6" firstHeaderRow="1" firstDataRow="1" firstDataCol="0"/>
  <pivotFields count="23">
    <pivotField numFmtId="14" showAll="0">
      <items count="388">
        <item x="365"/>
        <item x="327"/>
        <item x="112"/>
        <item x="246"/>
        <item x="219"/>
        <item x="131"/>
        <item x="305"/>
        <item x="113"/>
        <item x="272"/>
        <item x="366"/>
        <item x="80"/>
        <item x="132"/>
        <item x="256"/>
        <item x="24"/>
        <item x="339"/>
        <item x="0"/>
        <item x="100"/>
        <item x="91"/>
        <item x="212"/>
        <item x="203"/>
        <item x="220"/>
        <item x="147"/>
        <item x="257"/>
        <item x="190"/>
        <item x="163"/>
        <item x="221"/>
        <item x="133"/>
        <item x="114"/>
        <item x="39"/>
        <item x="1"/>
        <item x="92"/>
        <item x="236"/>
        <item x="355"/>
        <item x="148"/>
        <item x="247"/>
        <item x="311"/>
        <item x="178"/>
        <item x="74"/>
        <item x="340"/>
        <item x="17"/>
        <item x="101"/>
        <item x="149"/>
        <item x="134"/>
        <item x="237"/>
        <item x="248"/>
        <item x="40"/>
        <item x="367"/>
        <item x="25"/>
        <item x="57"/>
        <item x="368"/>
        <item x="191"/>
        <item x="179"/>
        <item x="102"/>
        <item x="192"/>
        <item x="41"/>
        <item x="81"/>
        <item x="319"/>
        <item x="2"/>
        <item x="82"/>
        <item x="356"/>
        <item x="312"/>
        <item x="290"/>
        <item x="193"/>
        <item x="341"/>
        <item x="213"/>
        <item x="83"/>
        <item x="103"/>
        <item x="342"/>
        <item x="258"/>
        <item x="104"/>
        <item x="328"/>
        <item x="306"/>
        <item x="115"/>
        <item x="369"/>
        <item x="180"/>
        <item x="150"/>
        <item x="343"/>
        <item x="135"/>
        <item x="307"/>
        <item x="42"/>
        <item x="329"/>
        <item x="3"/>
        <item x="204"/>
        <item x="291"/>
        <item x="151"/>
        <item x="136"/>
        <item x="152"/>
        <item x="238"/>
        <item x="320"/>
        <item x="239"/>
        <item x="279"/>
        <item x="357"/>
        <item x="313"/>
        <item x="194"/>
        <item x="205"/>
        <item x="84"/>
        <item x="164"/>
        <item x="292"/>
        <item x="181"/>
        <item x="214"/>
        <item x="182"/>
        <item x="183"/>
        <item x="195"/>
        <item x="330"/>
        <item x="153"/>
        <item x="240"/>
        <item x="381"/>
        <item x="222"/>
        <item x="58"/>
        <item x="184"/>
        <item x="382"/>
        <item x="4"/>
        <item x="215"/>
        <item x="331"/>
        <item x="59"/>
        <item x="332"/>
        <item x="259"/>
        <item x="93"/>
        <item x="273"/>
        <item x="137"/>
        <item x="60"/>
        <item x="223"/>
        <item x="344"/>
        <item x="43"/>
        <item x="154"/>
        <item x="370"/>
        <item x="5"/>
        <item x="6"/>
        <item x="105"/>
        <item x="106"/>
        <item x="138"/>
        <item x="293"/>
        <item x="139"/>
        <item x="155"/>
        <item x="206"/>
        <item x="85"/>
        <item x="371"/>
        <item x="185"/>
        <item x="165"/>
        <item x="26"/>
        <item x="116"/>
        <item x="372"/>
        <item x="260"/>
        <item x="18"/>
        <item x="308"/>
        <item x="261"/>
        <item x="333"/>
        <item x="44"/>
        <item x="280"/>
        <item x="166"/>
        <item x="61"/>
        <item x="19"/>
        <item x="345"/>
        <item x="186"/>
        <item x="156"/>
        <item x="62"/>
        <item x="45"/>
        <item x="281"/>
        <item x="117"/>
        <item x="321"/>
        <item x="46"/>
        <item x="27"/>
        <item x="167"/>
        <item x="140"/>
        <item x="207"/>
        <item x="249"/>
        <item x="7"/>
        <item x="63"/>
        <item x="196"/>
        <item x="224"/>
        <item x="346"/>
        <item x="383"/>
        <item x="373"/>
        <item x="64"/>
        <item x="28"/>
        <item x="334"/>
        <item x="187"/>
        <item x="225"/>
        <item x="86"/>
        <item x="262"/>
        <item x="65"/>
        <item x="75"/>
        <item x="384"/>
        <item x="347"/>
        <item x="118"/>
        <item x="20"/>
        <item x="335"/>
        <item x="29"/>
        <item x="294"/>
        <item x="263"/>
        <item x="87"/>
        <item x="274"/>
        <item x="226"/>
        <item x="107"/>
        <item x="227"/>
        <item x="374"/>
        <item x="264"/>
        <item x="66"/>
        <item x="141"/>
        <item x="250"/>
        <item x="142"/>
        <item x="197"/>
        <item x="275"/>
        <item x="198"/>
        <item x="336"/>
        <item x="322"/>
        <item x="76"/>
        <item x="88"/>
        <item x="168"/>
        <item x="199"/>
        <item x="251"/>
        <item x="282"/>
        <item x="157"/>
        <item x="295"/>
        <item x="296"/>
        <item x="265"/>
        <item x="348"/>
        <item x="47"/>
        <item x="48"/>
        <item x="49"/>
        <item x="358"/>
        <item x="50"/>
        <item x="158"/>
        <item x="359"/>
        <item x="375"/>
        <item x="283"/>
        <item x="349"/>
        <item x="143"/>
        <item x="350"/>
        <item x="119"/>
        <item x="208"/>
        <item x="89"/>
        <item x="108"/>
        <item x="266"/>
        <item x="314"/>
        <item x="51"/>
        <item x="376"/>
        <item x="360"/>
        <item x="30"/>
        <item x="159"/>
        <item x="8"/>
        <item x="284"/>
        <item x="377"/>
        <item x="378"/>
        <item x="379"/>
        <item x="209"/>
        <item x="120"/>
        <item x="216"/>
        <item x="67"/>
        <item x="323"/>
        <item x="200"/>
        <item x="385"/>
        <item x="315"/>
        <item x="386"/>
        <item x="380"/>
        <item x="309"/>
        <item x="9"/>
        <item x="297"/>
        <item x="361"/>
        <item x="324"/>
        <item x="285"/>
        <item x="68"/>
        <item x="286"/>
        <item x="351"/>
        <item x="94"/>
        <item x="121"/>
        <item x="95"/>
        <item x="10"/>
        <item x="252"/>
        <item x="122"/>
        <item x="298"/>
        <item x="123"/>
        <item x="77"/>
        <item x="228"/>
        <item x="188"/>
        <item x="11"/>
        <item x="337"/>
        <item x="124"/>
        <item x="201"/>
        <item x="21"/>
        <item x="316"/>
        <item x="169"/>
        <item x="22"/>
        <item x="31"/>
        <item x="160"/>
        <item x="52"/>
        <item x="241"/>
        <item x="78"/>
        <item x="12"/>
        <item x="161"/>
        <item x="267"/>
        <item x="242"/>
        <item x="253"/>
        <item x="162"/>
        <item x="23"/>
        <item x="287"/>
        <item x="229"/>
        <item x="299"/>
        <item x="230"/>
        <item x="32"/>
        <item x="170"/>
        <item x="317"/>
        <item x="276"/>
        <item x="231"/>
        <item x="53"/>
        <item x="96"/>
        <item x="325"/>
        <item x="90"/>
        <item x="33"/>
        <item x="109"/>
        <item x="310"/>
        <item x="232"/>
        <item x="288"/>
        <item x="144"/>
        <item x="171"/>
        <item x="268"/>
        <item x="97"/>
        <item x="54"/>
        <item x="98"/>
        <item x="277"/>
        <item x="352"/>
        <item x="79"/>
        <item x="269"/>
        <item x="300"/>
        <item x="172"/>
        <item x="301"/>
        <item x="69"/>
        <item x="210"/>
        <item x="34"/>
        <item x="243"/>
        <item x="70"/>
        <item x="353"/>
        <item x="233"/>
        <item x="362"/>
        <item x="173"/>
        <item x="289"/>
        <item x="244"/>
        <item x="202"/>
        <item x="125"/>
        <item x="217"/>
        <item x="270"/>
        <item x="254"/>
        <item x="318"/>
        <item x="55"/>
        <item x="174"/>
        <item x="211"/>
        <item x="234"/>
        <item x="13"/>
        <item x="145"/>
        <item x="126"/>
        <item x="56"/>
        <item x="218"/>
        <item x="271"/>
        <item x="14"/>
        <item x="326"/>
        <item x="245"/>
        <item x="15"/>
        <item x="35"/>
        <item x="189"/>
        <item x="278"/>
        <item x="71"/>
        <item x="363"/>
        <item x="175"/>
        <item x="176"/>
        <item x="110"/>
        <item x="36"/>
        <item x="127"/>
        <item x="99"/>
        <item x="128"/>
        <item x="16"/>
        <item x="72"/>
        <item x="146"/>
        <item x="177"/>
        <item x="338"/>
        <item x="129"/>
        <item x="354"/>
        <item x="255"/>
        <item x="302"/>
        <item x="73"/>
        <item x="303"/>
        <item x="130"/>
        <item x="304"/>
        <item x="37"/>
        <item x="364"/>
        <item x="235"/>
        <item x="38"/>
        <item x="1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9" showAll="0"/>
    <pivotField showAll="0">
      <items count="4">
        <item x="0"/>
        <item x="1"/>
        <item x="2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Zisk Kč" fld="14" baseField="0" baseItem="0" numFmtId="164"/>
  </dataFields>
  <formats count="22">
    <format dxfId="164">
      <pivotArea type="all" dataOnly="0" outline="0" fieldPosition="0"/>
    </format>
    <format dxfId="163">
      <pivotArea outline="0" collapsedLevelsAreSubtotals="1" fieldPosition="0"/>
    </format>
    <format dxfId="162">
      <pivotArea field="18" type="button" dataOnly="0" labelOnly="1" outline="0"/>
    </format>
    <format dxfId="161">
      <pivotArea dataOnly="0" labelOnly="1" grandRow="1" outline="0" fieldPosition="0"/>
    </format>
    <format dxfId="160">
      <pivotArea dataOnly="0" labelOnly="1" outline="0" axis="axisValues" fieldPosition="0"/>
    </format>
    <format dxfId="159">
      <pivotArea type="all" dataOnly="0" outline="0" fieldPosition="0"/>
    </format>
    <format dxfId="158">
      <pivotArea outline="0" collapsedLevelsAreSubtotals="1" fieldPosition="0"/>
    </format>
    <format dxfId="157">
      <pivotArea dataOnly="0" labelOnly="1" outline="0" axis="axisValues" fieldPosition="0"/>
    </format>
    <format dxfId="156">
      <pivotArea type="all" dataOnly="0" outline="0" fieldPosition="0"/>
    </format>
    <format dxfId="155">
      <pivotArea dataOnly="0" labelOnly="1" outline="0" axis="axisValues" fieldPosition="0"/>
    </format>
    <format dxfId="154">
      <pivotArea dataOnly="0" labelOnly="1" outline="0" axis="axisValues" fieldPosition="0"/>
    </format>
    <format dxfId="153">
      <pivotArea outline="0" collapsedLevelsAreSubtotals="1" fieldPosition="0"/>
    </format>
    <format dxfId="152">
      <pivotArea outline="0" collapsedLevelsAreSubtotals="1" fieldPosition="0"/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dataOnly="0" labelOnly="1" outline="0" axis="axisValues" fieldPosition="0"/>
    </format>
    <format dxfId="148">
      <pivotArea type="all" dataOnly="0" outline="0" fieldPosition="0"/>
    </format>
    <format dxfId="147">
      <pivotArea outline="0" collapsedLevelsAreSubtotals="1" fieldPosition="0"/>
    </format>
    <format dxfId="146">
      <pivotArea dataOnly="0" labelOnly="1" outline="0" axis="axisValues" fieldPosition="0"/>
    </format>
    <format dxfId="145">
      <pivotArea outline="0" collapsedLevelsAreSubtotals="1" fieldPosition="0"/>
    </format>
    <format dxfId="144">
      <pivotArea outline="0" collapsedLevelsAreSubtotals="1" fieldPosition="0"/>
    </format>
    <format dxfId="143">
      <pivotArea outline="0" collapsedLevelsAreSubtotals="1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C1CB62-6533-48A3-BD82-08FE66F98284}" name="Vyvoj_zisku_trzby_mesiace" cacheId="1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40">
  <location ref="I17:L30" firstHeaderRow="0" firstDataRow="1" firstDataCol="1"/>
  <pivotFields count="23">
    <pivotField numFmtId="14" showAll="0">
      <items count="388">
        <item x="365"/>
        <item x="327"/>
        <item x="112"/>
        <item x="246"/>
        <item x="219"/>
        <item x="131"/>
        <item x="305"/>
        <item x="113"/>
        <item x="272"/>
        <item x="366"/>
        <item x="80"/>
        <item x="132"/>
        <item x="256"/>
        <item x="24"/>
        <item x="339"/>
        <item x="0"/>
        <item x="100"/>
        <item x="91"/>
        <item x="212"/>
        <item x="203"/>
        <item x="220"/>
        <item x="147"/>
        <item x="257"/>
        <item x="190"/>
        <item x="163"/>
        <item x="221"/>
        <item x="133"/>
        <item x="114"/>
        <item x="39"/>
        <item x="1"/>
        <item x="92"/>
        <item x="236"/>
        <item x="355"/>
        <item x="148"/>
        <item x="247"/>
        <item x="311"/>
        <item x="178"/>
        <item x="74"/>
        <item x="340"/>
        <item x="17"/>
        <item x="101"/>
        <item x="149"/>
        <item x="134"/>
        <item x="237"/>
        <item x="248"/>
        <item x="40"/>
        <item x="367"/>
        <item x="25"/>
        <item x="57"/>
        <item x="368"/>
        <item x="191"/>
        <item x="179"/>
        <item x="102"/>
        <item x="192"/>
        <item x="41"/>
        <item x="81"/>
        <item x="319"/>
        <item x="2"/>
        <item x="82"/>
        <item x="356"/>
        <item x="312"/>
        <item x="290"/>
        <item x="193"/>
        <item x="341"/>
        <item x="213"/>
        <item x="83"/>
        <item x="103"/>
        <item x="342"/>
        <item x="258"/>
        <item x="104"/>
        <item x="328"/>
        <item x="306"/>
        <item x="115"/>
        <item x="369"/>
        <item x="180"/>
        <item x="150"/>
        <item x="343"/>
        <item x="135"/>
        <item x="307"/>
        <item x="42"/>
        <item x="329"/>
        <item x="3"/>
        <item x="204"/>
        <item x="291"/>
        <item x="151"/>
        <item x="136"/>
        <item x="152"/>
        <item x="238"/>
        <item x="320"/>
        <item x="239"/>
        <item x="279"/>
        <item x="357"/>
        <item x="313"/>
        <item x="194"/>
        <item x="205"/>
        <item x="84"/>
        <item x="164"/>
        <item x="292"/>
        <item x="181"/>
        <item x="214"/>
        <item x="182"/>
        <item x="183"/>
        <item x="195"/>
        <item x="330"/>
        <item x="153"/>
        <item x="240"/>
        <item x="381"/>
        <item x="222"/>
        <item x="58"/>
        <item x="184"/>
        <item x="382"/>
        <item x="4"/>
        <item x="215"/>
        <item x="331"/>
        <item x="59"/>
        <item x="332"/>
        <item x="259"/>
        <item x="93"/>
        <item x="273"/>
        <item x="137"/>
        <item x="60"/>
        <item x="223"/>
        <item x="344"/>
        <item x="43"/>
        <item x="154"/>
        <item x="370"/>
        <item x="5"/>
        <item x="6"/>
        <item x="105"/>
        <item x="106"/>
        <item x="138"/>
        <item x="293"/>
        <item x="139"/>
        <item x="155"/>
        <item x="206"/>
        <item x="85"/>
        <item x="371"/>
        <item x="185"/>
        <item x="165"/>
        <item x="26"/>
        <item x="116"/>
        <item x="372"/>
        <item x="260"/>
        <item x="18"/>
        <item x="308"/>
        <item x="261"/>
        <item x="333"/>
        <item x="44"/>
        <item x="280"/>
        <item x="166"/>
        <item x="61"/>
        <item x="19"/>
        <item x="345"/>
        <item x="186"/>
        <item x="156"/>
        <item x="62"/>
        <item x="45"/>
        <item x="281"/>
        <item x="117"/>
        <item x="321"/>
        <item x="46"/>
        <item x="27"/>
        <item x="167"/>
        <item x="140"/>
        <item x="207"/>
        <item x="249"/>
        <item x="7"/>
        <item x="63"/>
        <item x="196"/>
        <item x="224"/>
        <item x="346"/>
        <item x="383"/>
        <item x="373"/>
        <item x="64"/>
        <item x="28"/>
        <item x="334"/>
        <item x="187"/>
        <item x="225"/>
        <item x="86"/>
        <item x="262"/>
        <item x="65"/>
        <item x="75"/>
        <item x="384"/>
        <item x="347"/>
        <item x="118"/>
        <item x="20"/>
        <item x="335"/>
        <item x="29"/>
        <item x="294"/>
        <item x="263"/>
        <item x="87"/>
        <item x="274"/>
        <item x="226"/>
        <item x="107"/>
        <item x="227"/>
        <item x="374"/>
        <item x="264"/>
        <item x="66"/>
        <item x="141"/>
        <item x="250"/>
        <item x="142"/>
        <item x="197"/>
        <item x="275"/>
        <item x="198"/>
        <item x="336"/>
        <item x="322"/>
        <item x="76"/>
        <item x="88"/>
        <item x="168"/>
        <item x="199"/>
        <item x="251"/>
        <item x="282"/>
        <item x="157"/>
        <item x="295"/>
        <item x="296"/>
        <item x="265"/>
        <item x="348"/>
        <item x="47"/>
        <item x="48"/>
        <item x="49"/>
        <item x="358"/>
        <item x="50"/>
        <item x="158"/>
        <item x="359"/>
        <item x="375"/>
        <item x="283"/>
        <item x="349"/>
        <item x="143"/>
        <item x="350"/>
        <item x="119"/>
        <item x="208"/>
        <item x="89"/>
        <item x="108"/>
        <item x="266"/>
        <item x="314"/>
        <item x="51"/>
        <item x="376"/>
        <item x="360"/>
        <item x="30"/>
        <item x="159"/>
        <item x="8"/>
        <item x="284"/>
        <item x="377"/>
        <item x="378"/>
        <item x="379"/>
        <item x="209"/>
        <item x="120"/>
        <item x="216"/>
        <item x="67"/>
        <item x="323"/>
        <item x="200"/>
        <item x="385"/>
        <item x="315"/>
        <item x="386"/>
        <item x="380"/>
        <item x="309"/>
        <item x="9"/>
        <item x="297"/>
        <item x="361"/>
        <item x="324"/>
        <item x="285"/>
        <item x="68"/>
        <item x="286"/>
        <item x="351"/>
        <item x="94"/>
        <item x="121"/>
        <item x="95"/>
        <item x="10"/>
        <item x="252"/>
        <item x="122"/>
        <item x="298"/>
        <item x="123"/>
        <item x="77"/>
        <item x="228"/>
        <item x="188"/>
        <item x="11"/>
        <item x="337"/>
        <item x="124"/>
        <item x="201"/>
        <item x="21"/>
        <item x="316"/>
        <item x="169"/>
        <item x="22"/>
        <item x="31"/>
        <item x="160"/>
        <item x="52"/>
        <item x="241"/>
        <item x="78"/>
        <item x="12"/>
        <item x="161"/>
        <item x="267"/>
        <item x="242"/>
        <item x="253"/>
        <item x="162"/>
        <item x="23"/>
        <item x="287"/>
        <item x="229"/>
        <item x="299"/>
        <item x="230"/>
        <item x="32"/>
        <item x="170"/>
        <item x="317"/>
        <item x="276"/>
        <item x="231"/>
        <item x="53"/>
        <item x="96"/>
        <item x="325"/>
        <item x="90"/>
        <item x="33"/>
        <item x="109"/>
        <item x="310"/>
        <item x="232"/>
        <item x="288"/>
        <item x="144"/>
        <item x="171"/>
        <item x="268"/>
        <item x="97"/>
        <item x="54"/>
        <item x="98"/>
        <item x="277"/>
        <item x="352"/>
        <item x="79"/>
        <item x="269"/>
        <item x="300"/>
        <item x="172"/>
        <item x="301"/>
        <item x="69"/>
        <item x="210"/>
        <item x="34"/>
        <item x="243"/>
        <item x="70"/>
        <item x="353"/>
        <item x="233"/>
        <item x="362"/>
        <item x="173"/>
        <item x="289"/>
        <item x="244"/>
        <item x="202"/>
        <item x="125"/>
        <item x="217"/>
        <item x="270"/>
        <item x="254"/>
        <item x="318"/>
        <item x="55"/>
        <item x="174"/>
        <item x="211"/>
        <item x="234"/>
        <item x="13"/>
        <item x="145"/>
        <item x="126"/>
        <item x="56"/>
        <item x="218"/>
        <item x="271"/>
        <item x="14"/>
        <item x="326"/>
        <item x="245"/>
        <item x="15"/>
        <item x="35"/>
        <item x="189"/>
        <item x="278"/>
        <item x="71"/>
        <item x="363"/>
        <item x="175"/>
        <item x="176"/>
        <item x="110"/>
        <item x="36"/>
        <item x="127"/>
        <item x="99"/>
        <item x="128"/>
        <item x="16"/>
        <item x="72"/>
        <item x="146"/>
        <item x="177"/>
        <item x="338"/>
        <item x="129"/>
        <item x="354"/>
        <item x="255"/>
        <item x="302"/>
        <item x="73"/>
        <item x="303"/>
        <item x="130"/>
        <item x="304"/>
        <item x="37"/>
        <item x="364"/>
        <item x="235"/>
        <item x="38"/>
        <item x="1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numFmtId="9" showAll="0"/>
    <pivotField showAll="0">
      <items count="4">
        <item x="0"/>
        <item x="1"/>
        <item x="2"/>
        <item t="default"/>
      </items>
    </pivotField>
    <pivotField axis="axisRow" showAll="0">
      <items count="13">
        <item x="6"/>
        <item x="0"/>
        <item x="1"/>
        <item x="9"/>
        <item x="2"/>
        <item x="7"/>
        <item x="11"/>
        <item x="3"/>
        <item x="8"/>
        <item x="4"/>
        <item x="5"/>
        <item x="1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áklad" fld="13" baseField="19" baseItem="1"/>
    <dataField name="Zisk_rok" fld="14" baseField="19" baseItem="1"/>
    <dataField name="Tržba" fld="12" baseField="19" baseItem="1"/>
  </dataFields>
  <formats count="8">
    <format dxfId="8">
      <pivotArea type="all" dataOnly="0" outline="0" fieldPosition="0"/>
    </format>
    <format dxfId="7">
      <pivotArea outline="0" collapsedLevelsAreSubtotals="1" fieldPosition="0"/>
    </format>
    <format dxfId="6">
      <pivotArea field="18" type="button" dataOnly="0" labelOnly="1" outline="0"/>
    </format>
    <format dxfId="5">
      <pivotArea dataOnly="0" labelOnly="1" grandRow="1" outline="0" fieldPosition="0"/>
    </format>
    <format dxfId="4">
      <pivotArea dataOnly="0" labelOnly="1" outline="0" axis="axisValues" fieldPosition="0"/>
    </format>
    <format dxfId="3">
      <pivotArea dataOnly="0" labelOnly="1" grandRow="1" outline="0" fieldPosition="0"/>
    </format>
    <format dxfId="2">
      <pivotArea grandRow="1" outline="0" collapsedLevelsAreSubtotals="1" fieldPosition="0"/>
    </format>
    <format dxfId="1">
      <pivotArea collapsedLevelsAreSubtotals="1" fieldPosition="0">
        <references count="1">
          <reference field="17" count="0"/>
        </references>
      </pivotArea>
    </format>
  </formats>
  <chartFormats count="10">
    <chartFormat chart="5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1E1F00-C365-43EB-8E1F-BFF7B9B66940}" name="Trzba_segment" cacheId="1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14">
  <location ref="A7:B10" firstHeaderRow="1" firstDataRow="1" firstDataCol="1"/>
  <pivotFields count="23">
    <pivotField numFmtId="14" showAll="0">
      <items count="388">
        <item x="365"/>
        <item x="327"/>
        <item x="112"/>
        <item x="246"/>
        <item x="219"/>
        <item x="131"/>
        <item x="305"/>
        <item x="113"/>
        <item x="272"/>
        <item x="366"/>
        <item x="80"/>
        <item x="132"/>
        <item x="256"/>
        <item x="24"/>
        <item x="339"/>
        <item x="0"/>
        <item x="100"/>
        <item x="91"/>
        <item x="212"/>
        <item x="203"/>
        <item x="220"/>
        <item x="147"/>
        <item x="257"/>
        <item x="190"/>
        <item x="163"/>
        <item x="221"/>
        <item x="133"/>
        <item x="114"/>
        <item x="39"/>
        <item x="1"/>
        <item x="92"/>
        <item x="236"/>
        <item x="355"/>
        <item x="148"/>
        <item x="247"/>
        <item x="311"/>
        <item x="178"/>
        <item x="74"/>
        <item x="340"/>
        <item x="17"/>
        <item x="101"/>
        <item x="149"/>
        <item x="134"/>
        <item x="237"/>
        <item x="248"/>
        <item x="40"/>
        <item x="367"/>
        <item x="25"/>
        <item x="57"/>
        <item x="368"/>
        <item x="191"/>
        <item x="179"/>
        <item x="102"/>
        <item x="192"/>
        <item x="41"/>
        <item x="81"/>
        <item x="319"/>
        <item x="2"/>
        <item x="82"/>
        <item x="356"/>
        <item x="312"/>
        <item x="290"/>
        <item x="193"/>
        <item x="341"/>
        <item x="213"/>
        <item x="83"/>
        <item x="103"/>
        <item x="342"/>
        <item x="258"/>
        <item x="104"/>
        <item x="328"/>
        <item x="306"/>
        <item x="115"/>
        <item x="369"/>
        <item x="180"/>
        <item x="150"/>
        <item x="343"/>
        <item x="135"/>
        <item x="307"/>
        <item x="42"/>
        <item x="329"/>
        <item x="3"/>
        <item x="204"/>
        <item x="291"/>
        <item x="151"/>
        <item x="136"/>
        <item x="152"/>
        <item x="238"/>
        <item x="320"/>
        <item x="239"/>
        <item x="279"/>
        <item x="357"/>
        <item x="313"/>
        <item x="194"/>
        <item x="205"/>
        <item x="84"/>
        <item x="164"/>
        <item x="292"/>
        <item x="181"/>
        <item x="214"/>
        <item x="182"/>
        <item x="183"/>
        <item x="195"/>
        <item x="330"/>
        <item x="153"/>
        <item x="240"/>
        <item x="381"/>
        <item x="222"/>
        <item x="58"/>
        <item x="184"/>
        <item x="382"/>
        <item x="4"/>
        <item x="215"/>
        <item x="331"/>
        <item x="59"/>
        <item x="332"/>
        <item x="259"/>
        <item x="93"/>
        <item x="273"/>
        <item x="137"/>
        <item x="60"/>
        <item x="223"/>
        <item x="344"/>
        <item x="43"/>
        <item x="154"/>
        <item x="370"/>
        <item x="5"/>
        <item x="6"/>
        <item x="105"/>
        <item x="106"/>
        <item x="138"/>
        <item x="293"/>
        <item x="139"/>
        <item x="155"/>
        <item x="206"/>
        <item x="85"/>
        <item x="371"/>
        <item x="185"/>
        <item x="165"/>
        <item x="26"/>
        <item x="116"/>
        <item x="372"/>
        <item x="260"/>
        <item x="18"/>
        <item x="308"/>
        <item x="261"/>
        <item x="333"/>
        <item x="44"/>
        <item x="280"/>
        <item x="166"/>
        <item x="61"/>
        <item x="19"/>
        <item x="345"/>
        <item x="186"/>
        <item x="156"/>
        <item x="62"/>
        <item x="45"/>
        <item x="281"/>
        <item x="117"/>
        <item x="321"/>
        <item x="46"/>
        <item x="27"/>
        <item x="167"/>
        <item x="140"/>
        <item x="207"/>
        <item x="249"/>
        <item x="7"/>
        <item x="63"/>
        <item x="196"/>
        <item x="224"/>
        <item x="346"/>
        <item x="383"/>
        <item x="373"/>
        <item x="64"/>
        <item x="28"/>
        <item x="334"/>
        <item x="187"/>
        <item x="225"/>
        <item x="86"/>
        <item x="262"/>
        <item x="65"/>
        <item x="75"/>
        <item x="384"/>
        <item x="347"/>
        <item x="118"/>
        <item x="20"/>
        <item x="335"/>
        <item x="29"/>
        <item x="294"/>
        <item x="263"/>
        <item x="87"/>
        <item x="274"/>
        <item x="226"/>
        <item x="107"/>
        <item x="227"/>
        <item x="374"/>
        <item x="264"/>
        <item x="66"/>
        <item x="141"/>
        <item x="250"/>
        <item x="142"/>
        <item x="197"/>
        <item x="275"/>
        <item x="198"/>
        <item x="336"/>
        <item x="322"/>
        <item x="76"/>
        <item x="88"/>
        <item x="168"/>
        <item x="199"/>
        <item x="251"/>
        <item x="282"/>
        <item x="157"/>
        <item x="295"/>
        <item x="296"/>
        <item x="265"/>
        <item x="348"/>
        <item x="47"/>
        <item x="48"/>
        <item x="49"/>
        <item x="358"/>
        <item x="50"/>
        <item x="158"/>
        <item x="359"/>
        <item x="375"/>
        <item x="283"/>
        <item x="349"/>
        <item x="143"/>
        <item x="350"/>
        <item x="119"/>
        <item x="208"/>
        <item x="89"/>
        <item x="108"/>
        <item x="266"/>
        <item x="314"/>
        <item x="51"/>
        <item x="376"/>
        <item x="360"/>
        <item x="30"/>
        <item x="159"/>
        <item x="8"/>
        <item x="284"/>
        <item x="377"/>
        <item x="378"/>
        <item x="379"/>
        <item x="209"/>
        <item x="120"/>
        <item x="216"/>
        <item x="67"/>
        <item x="323"/>
        <item x="200"/>
        <item x="385"/>
        <item x="315"/>
        <item x="386"/>
        <item x="380"/>
        <item x="309"/>
        <item x="9"/>
        <item x="297"/>
        <item x="361"/>
        <item x="324"/>
        <item x="285"/>
        <item x="68"/>
        <item x="286"/>
        <item x="351"/>
        <item x="94"/>
        <item x="121"/>
        <item x="95"/>
        <item x="10"/>
        <item x="252"/>
        <item x="122"/>
        <item x="298"/>
        <item x="123"/>
        <item x="77"/>
        <item x="228"/>
        <item x="188"/>
        <item x="11"/>
        <item x="337"/>
        <item x="124"/>
        <item x="201"/>
        <item x="21"/>
        <item x="316"/>
        <item x="169"/>
        <item x="22"/>
        <item x="31"/>
        <item x="160"/>
        <item x="52"/>
        <item x="241"/>
        <item x="78"/>
        <item x="12"/>
        <item x="161"/>
        <item x="267"/>
        <item x="242"/>
        <item x="253"/>
        <item x="162"/>
        <item x="23"/>
        <item x="287"/>
        <item x="229"/>
        <item x="299"/>
        <item x="230"/>
        <item x="32"/>
        <item x="170"/>
        <item x="317"/>
        <item x="276"/>
        <item x="231"/>
        <item x="53"/>
        <item x="96"/>
        <item x="325"/>
        <item x="90"/>
        <item x="33"/>
        <item x="109"/>
        <item x="310"/>
        <item x="232"/>
        <item x="288"/>
        <item x="144"/>
        <item x="171"/>
        <item x="268"/>
        <item x="97"/>
        <item x="54"/>
        <item x="98"/>
        <item x="277"/>
        <item x="352"/>
        <item x="79"/>
        <item x="269"/>
        <item x="300"/>
        <item x="172"/>
        <item x="301"/>
        <item x="69"/>
        <item x="210"/>
        <item x="34"/>
        <item x="243"/>
        <item x="70"/>
        <item x="353"/>
        <item x="233"/>
        <item x="362"/>
        <item x="173"/>
        <item x="289"/>
        <item x="244"/>
        <item x="202"/>
        <item x="125"/>
        <item x="217"/>
        <item x="270"/>
        <item x="254"/>
        <item x="318"/>
        <item x="55"/>
        <item x="174"/>
        <item x="211"/>
        <item x="234"/>
        <item x="13"/>
        <item x="145"/>
        <item x="126"/>
        <item x="56"/>
        <item x="218"/>
        <item x="271"/>
        <item x="14"/>
        <item x="326"/>
        <item x="245"/>
        <item x="15"/>
        <item x="35"/>
        <item x="189"/>
        <item x="278"/>
        <item x="71"/>
        <item x="363"/>
        <item x="175"/>
        <item x="176"/>
        <item x="110"/>
        <item x="36"/>
        <item x="127"/>
        <item x="99"/>
        <item x="128"/>
        <item x="16"/>
        <item x="72"/>
        <item x="146"/>
        <item x="177"/>
        <item x="338"/>
        <item x="129"/>
        <item x="354"/>
        <item x="255"/>
        <item x="302"/>
        <item x="73"/>
        <item x="303"/>
        <item x="130"/>
        <item x="304"/>
        <item x="37"/>
        <item x="364"/>
        <item x="235"/>
        <item x="38"/>
        <item x="111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9" showAll="0"/>
    <pivotField showAll="0">
      <items count="4">
        <item x="0"/>
        <item x="1"/>
        <item x="2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účet z Trzba" fld="12" baseField="0" baseItem="0"/>
  </dataFields>
  <formats count="8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8" type="button" dataOnly="0" labelOnly="1" outline="0"/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dataOnly="0" labelOnly="1" grandRow="1" outline="0" fieldPosition="0"/>
    </format>
    <format dxfId="10">
      <pivotArea grandRow="1" outline="0" collapsedLevelsAreSubtotals="1" fieldPosition="0"/>
    </format>
    <format dxfId="9">
      <pivotArea collapsedLevelsAreSubtotals="1" fieldPosition="0">
        <references count="1">
          <reference field="3" count="0"/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F4BC8-3F96-4AA4-93BA-6A30FC7A1543}" name="Trzba_podla_kanala" cacheId="1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21">
  <location ref="A25:E39" firstHeaderRow="1" firstDataRow="2" firstDataCol="1"/>
  <pivotFields count="23">
    <pivotField numFmtId="14" showAll="0">
      <items count="388">
        <item x="365"/>
        <item x="327"/>
        <item x="112"/>
        <item x="246"/>
        <item x="219"/>
        <item x="131"/>
        <item x="305"/>
        <item x="113"/>
        <item x="272"/>
        <item x="366"/>
        <item x="80"/>
        <item x="132"/>
        <item x="256"/>
        <item x="24"/>
        <item x="339"/>
        <item x="0"/>
        <item x="100"/>
        <item x="91"/>
        <item x="212"/>
        <item x="203"/>
        <item x="220"/>
        <item x="147"/>
        <item x="257"/>
        <item x="190"/>
        <item x="163"/>
        <item x="221"/>
        <item x="133"/>
        <item x="114"/>
        <item x="39"/>
        <item x="1"/>
        <item x="92"/>
        <item x="236"/>
        <item x="355"/>
        <item x="148"/>
        <item x="247"/>
        <item x="311"/>
        <item x="178"/>
        <item x="74"/>
        <item x="340"/>
        <item x="17"/>
        <item x="101"/>
        <item x="149"/>
        <item x="134"/>
        <item x="237"/>
        <item x="248"/>
        <item x="40"/>
        <item x="367"/>
        <item x="25"/>
        <item x="57"/>
        <item x="368"/>
        <item x="191"/>
        <item x="179"/>
        <item x="102"/>
        <item x="192"/>
        <item x="41"/>
        <item x="81"/>
        <item x="319"/>
        <item x="2"/>
        <item x="82"/>
        <item x="356"/>
        <item x="312"/>
        <item x="290"/>
        <item x="193"/>
        <item x="341"/>
        <item x="213"/>
        <item x="83"/>
        <item x="103"/>
        <item x="342"/>
        <item x="258"/>
        <item x="104"/>
        <item x="328"/>
        <item x="306"/>
        <item x="115"/>
        <item x="369"/>
        <item x="180"/>
        <item x="150"/>
        <item x="343"/>
        <item x="135"/>
        <item x="307"/>
        <item x="42"/>
        <item x="329"/>
        <item x="3"/>
        <item x="204"/>
        <item x="291"/>
        <item x="151"/>
        <item x="136"/>
        <item x="152"/>
        <item x="238"/>
        <item x="320"/>
        <item x="239"/>
        <item x="279"/>
        <item x="357"/>
        <item x="313"/>
        <item x="194"/>
        <item x="205"/>
        <item x="84"/>
        <item x="164"/>
        <item x="292"/>
        <item x="181"/>
        <item x="214"/>
        <item x="182"/>
        <item x="183"/>
        <item x="195"/>
        <item x="330"/>
        <item x="153"/>
        <item x="240"/>
        <item x="381"/>
        <item x="222"/>
        <item x="58"/>
        <item x="184"/>
        <item x="382"/>
        <item x="4"/>
        <item x="215"/>
        <item x="331"/>
        <item x="59"/>
        <item x="332"/>
        <item x="259"/>
        <item x="93"/>
        <item x="273"/>
        <item x="137"/>
        <item x="60"/>
        <item x="223"/>
        <item x="344"/>
        <item x="43"/>
        <item x="154"/>
        <item x="370"/>
        <item x="5"/>
        <item x="6"/>
        <item x="105"/>
        <item x="106"/>
        <item x="138"/>
        <item x="293"/>
        <item x="139"/>
        <item x="155"/>
        <item x="206"/>
        <item x="85"/>
        <item x="371"/>
        <item x="185"/>
        <item x="165"/>
        <item x="26"/>
        <item x="116"/>
        <item x="372"/>
        <item x="260"/>
        <item x="18"/>
        <item x="308"/>
        <item x="261"/>
        <item x="333"/>
        <item x="44"/>
        <item x="280"/>
        <item x="166"/>
        <item x="61"/>
        <item x="19"/>
        <item x="345"/>
        <item x="186"/>
        <item x="156"/>
        <item x="62"/>
        <item x="45"/>
        <item x="281"/>
        <item x="117"/>
        <item x="321"/>
        <item x="46"/>
        <item x="27"/>
        <item x="167"/>
        <item x="140"/>
        <item x="207"/>
        <item x="249"/>
        <item x="7"/>
        <item x="63"/>
        <item x="196"/>
        <item x="224"/>
        <item x="346"/>
        <item x="383"/>
        <item x="373"/>
        <item x="64"/>
        <item x="28"/>
        <item x="334"/>
        <item x="187"/>
        <item x="225"/>
        <item x="86"/>
        <item x="262"/>
        <item x="65"/>
        <item x="75"/>
        <item x="384"/>
        <item x="347"/>
        <item x="118"/>
        <item x="20"/>
        <item x="335"/>
        <item x="29"/>
        <item x="294"/>
        <item x="263"/>
        <item x="87"/>
        <item x="274"/>
        <item x="226"/>
        <item x="107"/>
        <item x="227"/>
        <item x="374"/>
        <item x="264"/>
        <item x="66"/>
        <item x="141"/>
        <item x="250"/>
        <item x="142"/>
        <item x="197"/>
        <item x="275"/>
        <item x="198"/>
        <item x="336"/>
        <item x="322"/>
        <item x="76"/>
        <item x="88"/>
        <item x="168"/>
        <item x="199"/>
        <item x="251"/>
        <item x="282"/>
        <item x="157"/>
        <item x="295"/>
        <item x="296"/>
        <item x="265"/>
        <item x="348"/>
        <item x="47"/>
        <item x="48"/>
        <item x="49"/>
        <item x="358"/>
        <item x="50"/>
        <item x="158"/>
        <item x="359"/>
        <item x="375"/>
        <item x="283"/>
        <item x="349"/>
        <item x="143"/>
        <item x="350"/>
        <item x="119"/>
        <item x="208"/>
        <item x="89"/>
        <item x="108"/>
        <item x="266"/>
        <item x="314"/>
        <item x="51"/>
        <item x="376"/>
        <item x="360"/>
        <item x="30"/>
        <item x="159"/>
        <item x="8"/>
        <item x="284"/>
        <item x="377"/>
        <item x="378"/>
        <item x="379"/>
        <item x="209"/>
        <item x="120"/>
        <item x="216"/>
        <item x="67"/>
        <item x="323"/>
        <item x="200"/>
        <item x="385"/>
        <item x="315"/>
        <item x="386"/>
        <item x="380"/>
        <item x="309"/>
        <item x="9"/>
        <item x="297"/>
        <item x="361"/>
        <item x="324"/>
        <item x="285"/>
        <item x="68"/>
        <item x="286"/>
        <item x="351"/>
        <item x="94"/>
        <item x="121"/>
        <item x="95"/>
        <item x="10"/>
        <item x="252"/>
        <item x="122"/>
        <item x="298"/>
        <item x="123"/>
        <item x="77"/>
        <item x="228"/>
        <item x="188"/>
        <item x="11"/>
        <item x="337"/>
        <item x="124"/>
        <item x="201"/>
        <item x="21"/>
        <item x="316"/>
        <item x="169"/>
        <item x="22"/>
        <item x="31"/>
        <item x="160"/>
        <item x="52"/>
        <item x="241"/>
        <item x="78"/>
        <item x="12"/>
        <item x="161"/>
        <item x="267"/>
        <item x="242"/>
        <item x="253"/>
        <item x="162"/>
        <item x="23"/>
        <item x="287"/>
        <item x="229"/>
        <item x="299"/>
        <item x="230"/>
        <item x="32"/>
        <item x="170"/>
        <item x="317"/>
        <item x="276"/>
        <item x="231"/>
        <item x="53"/>
        <item x="96"/>
        <item x="325"/>
        <item x="90"/>
        <item x="33"/>
        <item x="109"/>
        <item x="310"/>
        <item x="232"/>
        <item x="288"/>
        <item x="144"/>
        <item x="171"/>
        <item x="268"/>
        <item x="97"/>
        <item x="54"/>
        <item x="98"/>
        <item x="277"/>
        <item x="352"/>
        <item x="79"/>
        <item x="269"/>
        <item x="300"/>
        <item x="172"/>
        <item x="301"/>
        <item x="69"/>
        <item x="210"/>
        <item x="34"/>
        <item x="243"/>
        <item x="70"/>
        <item x="353"/>
        <item x="233"/>
        <item x="362"/>
        <item x="173"/>
        <item x="289"/>
        <item x="244"/>
        <item x="202"/>
        <item x="125"/>
        <item x="217"/>
        <item x="270"/>
        <item x="254"/>
        <item x="318"/>
        <item x="55"/>
        <item x="174"/>
        <item x="211"/>
        <item x="234"/>
        <item x="13"/>
        <item x="145"/>
        <item x="126"/>
        <item x="56"/>
        <item x="218"/>
        <item x="271"/>
        <item x="14"/>
        <item x="326"/>
        <item x="245"/>
        <item x="15"/>
        <item x="35"/>
        <item x="189"/>
        <item x="278"/>
        <item x="71"/>
        <item x="363"/>
        <item x="175"/>
        <item x="176"/>
        <item x="110"/>
        <item x="36"/>
        <item x="127"/>
        <item x="99"/>
        <item x="128"/>
        <item x="16"/>
        <item x="72"/>
        <item x="146"/>
        <item x="177"/>
        <item x="338"/>
        <item x="129"/>
        <item x="354"/>
        <item x="255"/>
        <item x="302"/>
        <item x="73"/>
        <item x="303"/>
        <item x="130"/>
        <item x="304"/>
        <item x="37"/>
        <item x="364"/>
        <item x="235"/>
        <item x="38"/>
        <item x="111"/>
        <item t="default"/>
      </items>
    </pivotField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9" showAll="0"/>
    <pivotField showAll="0">
      <items count="4">
        <item x="0"/>
        <item x="1"/>
        <item x="2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účet z Trzba" fld="12" showDataAs="percentOfRow" baseField="0" baseItem="0" numFmtId="10"/>
  </dataFields>
  <formats count="9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8" type="button" dataOnly="0" labelOnly="1" outline="0" axis="axisRow" fieldPosition="0"/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20">
      <pivotArea dataOnly="0" labelOnly="1" grandRow="1" outline="0" fieldPosition="0"/>
    </format>
    <format dxfId="19">
      <pivotArea grandRow="1" outline="0" collapsedLevelsAreSubtotals="1" fieldPosition="0"/>
    </format>
    <format dxfId="18">
      <pivotArea outline="0" fieldPosition="0">
        <references count="1">
          <reference field="4294967294" count="1">
            <x v="0"/>
          </reference>
        </references>
      </pivotArea>
    </format>
    <format dxfId="17">
      <pivotArea collapsedLevelsAreSubtotals="1" fieldPosition="0">
        <references count="1">
          <reference field="1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7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35912F-D0DE-4AF0-91D3-3A00BE733C91}" name="Vyvoj_marze_trzby_zisku" cacheId="1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34">
  <location ref="I7:M11" firstHeaderRow="0" firstDataRow="1" firstDataCol="1"/>
  <pivotFields count="23">
    <pivotField numFmtId="14" showAll="0">
      <items count="388">
        <item x="365"/>
        <item x="327"/>
        <item x="112"/>
        <item x="246"/>
        <item x="219"/>
        <item x="131"/>
        <item x="305"/>
        <item x="113"/>
        <item x="272"/>
        <item x="366"/>
        <item x="80"/>
        <item x="132"/>
        <item x="256"/>
        <item x="24"/>
        <item x="339"/>
        <item x="0"/>
        <item x="100"/>
        <item x="91"/>
        <item x="212"/>
        <item x="203"/>
        <item x="220"/>
        <item x="147"/>
        <item x="257"/>
        <item x="190"/>
        <item x="163"/>
        <item x="221"/>
        <item x="133"/>
        <item x="114"/>
        <item x="39"/>
        <item x="1"/>
        <item x="92"/>
        <item x="236"/>
        <item x="355"/>
        <item x="148"/>
        <item x="247"/>
        <item x="311"/>
        <item x="178"/>
        <item x="74"/>
        <item x="340"/>
        <item x="17"/>
        <item x="101"/>
        <item x="149"/>
        <item x="134"/>
        <item x="237"/>
        <item x="248"/>
        <item x="40"/>
        <item x="367"/>
        <item x="25"/>
        <item x="57"/>
        <item x="368"/>
        <item x="191"/>
        <item x="179"/>
        <item x="102"/>
        <item x="192"/>
        <item x="41"/>
        <item x="81"/>
        <item x="319"/>
        <item x="2"/>
        <item x="82"/>
        <item x="356"/>
        <item x="312"/>
        <item x="290"/>
        <item x="193"/>
        <item x="341"/>
        <item x="213"/>
        <item x="83"/>
        <item x="103"/>
        <item x="342"/>
        <item x="258"/>
        <item x="104"/>
        <item x="328"/>
        <item x="306"/>
        <item x="115"/>
        <item x="369"/>
        <item x="180"/>
        <item x="150"/>
        <item x="343"/>
        <item x="135"/>
        <item x="307"/>
        <item x="42"/>
        <item x="329"/>
        <item x="3"/>
        <item x="204"/>
        <item x="291"/>
        <item x="151"/>
        <item x="136"/>
        <item x="152"/>
        <item x="238"/>
        <item x="320"/>
        <item x="239"/>
        <item x="279"/>
        <item x="357"/>
        <item x="313"/>
        <item x="194"/>
        <item x="205"/>
        <item x="84"/>
        <item x="164"/>
        <item x="292"/>
        <item x="181"/>
        <item x="214"/>
        <item x="182"/>
        <item x="183"/>
        <item x="195"/>
        <item x="330"/>
        <item x="153"/>
        <item x="240"/>
        <item x="381"/>
        <item x="222"/>
        <item x="58"/>
        <item x="184"/>
        <item x="382"/>
        <item x="4"/>
        <item x="215"/>
        <item x="331"/>
        <item x="59"/>
        <item x="332"/>
        <item x="259"/>
        <item x="93"/>
        <item x="273"/>
        <item x="137"/>
        <item x="60"/>
        <item x="223"/>
        <item x="344"/>
        <item x="43"/>
        <item x="154"/>
        <item x="370"/>
        <item x="5"/>
        <item x="6"/>
        <item x="105"/>
        <item x="106"/>
        <item x="138"/>
        <item x="293"/>
        <item x="139"/>
        <item x="155"/>
        <item x="206"/>
        <item x="85"/>
        <item x="371"/>
        <item x="185"/>
        <item x="165"/>
        <item x="26"/>
        <item x="116"/>
        <item x="372"/>
        <item x="260"/>
        <item x="18"/>
        <item x="308"/>
        <item x="261"/>
        <item x="333"/>
        <item x="44"/>
        <item x="280"/>
        <item x="166"/>
        <item x="61"/>
        <item x="19"/>
        <item x="345"/>
        <item x="186"/>
        <item x="156"/>
        <item x="62"/>
        <item x="45"/>
        <item x="281"/>
        <item x="117"/>
        <item x="321"/>
        <item x="46"/>
        <item x="27"/>
        <item x="167"/>
        <item x="140"/>
        <item x="207"/>
        <item x="249"/>
        <item x="7"/>
        <item x="63"/>
        <item x="196"/>
        <item x="224"/>
        <item x="346"/>
        <item x="383"/>
        <item x="373"/>
        <item x="64"/>
        <item x="28"/>
        <item x="334"/>
        <item x="187"/>
        <item x="225"/>
        <item x="86"/>
        <item x="262"/>
        <item x="65"/>
        <item x="75"/>
        <item x="384"/>
        <item x="347"/>
        <item x="118"/>
        <item x="20"/>
        <item x="335"/>
        <item x="29"/>
        <item x="294"/>
        <item x="263"/>
        <item x="87"/>
        <item x="274"/>
        <item x="226"/>
        <item x="107"/>
        <item x="227"/>
        <item x="374"/>
        <item x="264"/>
        <item x="66"/>
        <item x="141"/>
        <item x="250"/>
        <item x="142"/>
        <item x="197"/>
        <item x="275"/>
        <item x="198"/>
        <item x="336"/>
        <item x="322"/>
        <item x="76"/>
        <item x="88"/>
        <item x="168"/>
        <item x="199"/>
        <item x="251"/>
        <item x="282"/>
        <item x="157"/>
        <item x="295"/>
        <item x="296"/>
        <item x="265"/>
        <item x="348"/>
        <item x="47"/>
        <item x="48"/>
        <item x="49"/>
        <item x="358"/>
        <item x="50"/>
        <item x="158"/>
        <item x="359"/>
        <item x="375"/>
        <item x="283"/>
        <item x="349"/>
        <item x="143"/>
        <item x="350"/>
        <item x="119"/>
        <item x="208"/>
        <item x="89"/>
        <item x="108"/>
        <item x="266"/>
        <item x="314"/>
        <item x="51"/>
        <item x="376"/>
        <item x="360"/>
        <item x="30"/>
        <item x="159"/>
        <item x="8"/>
        <item x="284"/>
        <item x="377"/>
        <item x="378"/>
        <item x="379"/>
        <item x="209"/>
        <item x="120"/>
        <item x="216"/>
        <item x="67"/>
        <item x="323"/>
        <item x="200"/>
        <item x="385"/>
        <item x="315"/>
        <item x="386"/>
        <item x="380"/>
        <item x="309"/>
        <item x="9"/>
        <item x="297"/>
        <item x="361"/>
        <item x="324"/>
        <item x="285"/>
        <item x="68"/>
        <item x="286"/>
        <item x="351"/>
        <item x="94"/>
        <item x="121"/>
        <item x="95"/>
        <item x="10"/>
        <item x="252"/>
        <item x="122"/>
        <item x="298"/>
        <item x="123"/>
        <item x="77"/>
        <item x="228"/>
        <item x="188"/>
        <item x="11"/>
        <item x="337"/>
        <item x="124"/>
        <item x="201"/>
        <item x="21"/>
        <item x="316"/>
        <item x="169"/>
        <item x="22"/>
        <item x="31"/>
        <item x="160"/>
        <item x="52"/>
        <item x="241"/>
        <item x="78"/>
        <item x="12"/>
        <item x="161"/>
        <item x="267"/>
        <item x="242"/>
        <item x="253"/>
        <item x="162"/>
        <item x="23"/>
        <item x="287"/>
        <item x="229"/>
        <item x="299"/>
        <item x="230"/>
        <item x="32"/>
        <item x="170"/>
        <item x="317"/>
        <item x="276"/>
        <item x="231"/>
        <item x="53"/>
        <item x="96"/>
        <item x="325"/>
        <item x="90"/>
        <item x="33"/>
        <item x="109"/>
        <item x="310"/>
        <item x="232"/>
        <item x="288"/>
        <item x="144"/>
        <item x="171"/>
        <item x="268"/>
        <item x="97"/>
        <item x="54"/>
        <item x="98"/>
        <item x="277"/>
        <item x="352"/>
        <item x="79"/>
        <item x="269"/>
        <item x="300"/>
        <item x="172"/>
        <item x="301"/>
        <item x="69"/>
        <item x="210"/>
        <item x="34"/>
        <item x="243"/>
        <item x="70"/>
        <item x="353"/>
        <item x="233"/>
        <item x="362"/>
        <item x="173"/>
        <item x="289"/>
        <item x="244"/>
        <item x="202"/>
        <item x="125"/>
        <item x="217"/>
        <item x="270"/>
        <item x="254"/>
        <item x="318"/>
        <item x="55"/>
        <item x="174"/>
        <item x="211"/>
        <item x="234"/>
        <item x="13"/>
        <item x="145"/>
        <item x="126"/>
        <item x="56"/>
        <item x="218"/>
        <item x="271"/>
        <item x="14"/>
        <item x="326"/>
        <item x="245"/>
        <item x="15"/>
        <item x="35"/>
        <item x="189"/>
        <item x="278"/>
        <item x="71"/>
        <item x="363"/>
        <item x="175"/>
        <item x="176"/>
        <item x="110"/>
        <item x="36"/>
        <item x="127"/>
        <item x="99"/>
        <item x="128"/>
        <item x="16"/>
        <item x="72"/>
        <item x="146"/>
        <item x="177"/>
        <item x="338"/>
        <item x="129"/>
        <item x="354"/>
        <item x="255"/>
        <item x="302"/>
        <item x="73"/>
        <item x="303"/>
        <item x="130"/>
        <item x="304"/>
        <item x="37"/>
        <item x="364"/>
        <item x="235"/>
        <item x="38"/>
        <item x="1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numFmtId="9" showAll="0"/>
    <pivotField showAll="0">
      <items count="4">
        <item x="0"/>
        <item x="1"/>
        <item x="2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20"/>
  </rowFields>
  <rowItems count="4"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Náklad" fld="13" baseField="19" baseItem="1"/>
    <dataField name="Zisk_rok" fld="14" baseField="19" baseItem="1"/>
    <dataField name="Tržba" fld="12" baseField="19" baseItem="1"/>
    <dataField name="Priemer z Zisk" fld="14" subtotal="average" baseField="0" baseItem="0"/>
  </dataFields>
  <formats count="8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18" type="button" dataOnly="0" labelOnly="1" outline="0"/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28">
      <pivotArea dataOnly="0" labelOnly="1" grandRow="1" outline="0" fieldPosition="0"/>
    </format>
    <format dxfId="27">
      <pivotArea grandRow="1" outline="0" collapsedLevelsAreSubtotals="1" fieldPosition="0"/>
    </format>
    <format dxfId="26">
      <pivotArea collapsedLevelsAreSubtotals="1" fieldPosition="0">
        <references count="1">
          <reference field="20" count="3">
            <x v="1"/>
            <x v="2"/>
            <x v="3"/>
          </reference>
        </references>
      </pivotArea>
    </format>
  </formats>
  <chartFormats count="5">
    <chartFormat chart="5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1" format="12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D575A-DDBD-4F11-BC9D-EB1BE7A1F947}" name="Trzba_kategorie" cacheId="1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24">
  <location ref="A15:B20" firstHeaderRow="1" firstDataRow="1" firstDataCol="1"/>
  <pivotFields count="23">
    <pivotField numFmtId="14" showAll="0">
      <items count="388">
        <item x="365"/>
        <item x="327"/>
        <item x="112"/>
        <item x="246"/>
        <item x="219"/>
        <item x="131"/>
        <item x="305"/>
        <item x="113"/>
        <item x="272"/>
        <item x="366"/>
        <item x="80"/>
        <item x="132"/>
        <item x="256"/>
        <item x="24"/>
        <item x="339"/>
        <item x="0"/>
        <item x="100"/>
        <item x="91"/>
        <item x="212"/>
        <item x="203"/>
        <item x="220"/>
        <item x="147"/>
        <item x="257"/>
        <item x="190"/>
        <item x="163"/>
        <item x="221"/>
        <item x="133"/>
        <item x="114"/>
        <item x="39"/>
        <item x="1"/>
        <item x="92"/>
        <item x="236"/>
        <item x="355"/>
        <item x="148"/>
        <item x="247"/>
        <item x="311"/>
        <item x="178"/>
        <item x="74"/>
        <item x="340"/>
        <item x="17"/>
        <item x="101"/>
        <item x="149"/>
        <item x="134"/>
        <item x="237"/>
        <item x="248"/>
        <item x="40"/>
        <item x="367"/>
        <item x="25"/>
        <item x="57"/>
        <item x="368"/>
        <item x="191"/>
        <item x="179"/>
        <item x="102"/>
        <item x="192"/>
        <item x="41"/>
        <item x="81"/>
        <item x="319"/>
        <item x="2"/>
        <item x="82"/>
        <item x="356"/>
        <item x="312"/>
        <item x="290"/>
        <item x="193"/>
        <item x="341"/>
        <item x="213"/>
        <item x="83"/>
        <item x="103"/>
        <item x="342"/>
        <item x="258"/>
        <item x="104"/>
        <item x="328"/>
        <item x="306"/>
        <item x="115"/>
        <item x="369"/>
        <item x="180"/>
        <item x="150"/>
        <item x="343"/>
        <item x="135"/>
        <item x="307"/>
        <item x="42"/>
        <item x="329"/>
        <item x="3"/>
        <item x="204"/>
        <item x="291"/>
        <item x="151"/>
        <item x="136"/>
        <item x="152"/>
        <item x="238"/>
        <item x="320"/>
        <item x="239"/>
        <item x="279"/>
        <item x="357"/>
        <item x="313"/>
        <item x="194"/>
        <item x="205"/>
        <item x="84"/>
        <item x="164"/>
        <item x="292"/>
        <item x="181"/>
        <item x="214"/>
        <item x="182"/>
        <item x="183"/>
        <item x="195"/>
        <item x="330"/>
        <item x="153"/>
        <item x="240"/>
        <item x="381"/>
        <item x="222"/>
        <item x="58"/>
        <item x="184"/>
        <item x="382"/>
        <item x="4"/>
        <item x="215"/>
        <item x="331"/>
        <item x="59"/>
        <item x="332"/>
        <item x="259"/>
        <item x="93"/>
        <item x="273"/>
        <item x="137"/>
        <item x="60"/>
        <item x="223"/>
        <item x="344"/>
        <item x="43"/>
        <item x="154"/>
        <item x="370"/>
        <item x="5"/>
        <item x="6"/>
        <item x="105"/>
        <item x="106"/>
        <item x="138"/>
        <item x="293"/>
        <item x="139"/>
        <item x="155"/>
        <item x="206"/>
        <item x="85"/>
        <item x="371"/>
        <item x="185"/>
        <item x="165"/>
        <item x="26"/>
        <item x="116"/>
        <item x="372"/>
        <item x="260"/>
        <item x="18"/>
        <item x="308"/>
        <item x="261"/>
        <item x="333"/>
        <item x="44"/>
        <item x="280"/>
        <item x="166"/>
        <item x="61"/>
        <item x="19"/>
        <item x="345"/>
        <item x="186"/>
        <item x="156"/>
        <item x="62"/>
        <item x="45"/>
        <item x="281"/>
        <item x="117"/>
        <item x="321"/>
        <item x="46"/>
        <item x="27"/>
        <item x="167"/>
        <item x="140"/>
        <item x="207"/>
        <item x="249"/>
        <item x="7"/>
        <item x="63"/>
        <item x="196"/>
        <item x="224"/>
        <item x="346"/>
        <item x="383"/>
        <item x="373"/>
        <item x="64"/>
        <item x="28"/>
        <item x="334"/>
        <item x="187"/>
        <item x="225"/>
        <item x="86"/>
        <item x="262"/>
        <item x="65"/>
        <item x="75"/>
        <item x="384"/>
        <item x="347"/>
        <item x="118"/>
        <item x="20"/>
        <item x="335"/>
        <item x="29"/>
        <item x="294"/>
        <item x="263"/>
        <item x="87"/>
        <item x="274"/>
        <item x="226"/>
        <item x="107"/>
        <item x="227"/>
        <item x="374"/>
        <item x="264"/>
        <item x="66"/>
        <item x="141"/>
        <item x="250"/>
        <item x="142"/>
        <item x="197"/>
        <item x="275"/>
        <item x="198"/>
        <item x="336"/>
        <item x="322"/>
        <item x="76"/>
        <item x="88"/>
        <item x="168"/>
        <item x="199"/>
        <item x="251"/>
        <item x="282"/>
        <item x="157"/>
        <item x="295"/>
        <item x="296"/>
        <item x="265"/>
        <item x="348"/>
        <item x="47"/>
        <item x="48"/>
        <item x="49"/>
        <item x="358"/>
        <item x="50"/>
        <item x="158"/>
        <item x="359"/>
        <item x="375"/>
        <item x="283"/>
        <item x="349"/>
        <item x="143"/>
        <item x="350"/>
        <item x="119"/>
        <item x="208"/>
        <item x="89"/>
        <item x="108"/>
        <item x="266"/>
        <item x="314"/>
        <item x="51"/>
        <item x="376"/>
        <item x="360"/>
        <item x="30"/>
        <item x="159"/>
        <item x="8"/>
        <item x="284"/>
        <item x="377"/>
        <item x="378"/>
        <item x="379"/>
        <item x="209"/>
        <item x="120"/>
        <item x="216"/>
        <item x="67"/>
        <item x="323"/>
        <item x="200"/>
        <item x="385"/>
        <item x="315"/>
        <item x="386"/>
        <item x="380"/>
        <item x="309"/>
        <item x="9"/>
        <item x="297"/>
        <item x="361"/>
        <item x="324"/>
        <item x="285"/>
        <item x="68"/>
        <item x="286"/>
        <item x="351"/>
        <item x="94"/>
        <item x="121"/>
        <item x="95"/>
        <item x="10"/>
        <item x="252"/>
        <item x="122"/>
        <item x="298"/>
        <item x="123"/>
        <item x="77"/>
        <item x="228"/>
        <item x="188"/>
        <item x="11"/>
        <item x="337"/>
        <item x="124"/>
        <item x="201"/>
        <item x="21"/>
        <item x="316"/>
        <item x="169"/>
        <item x="22"/>
        <item x="31"/>
        <item x="160"/>
        <item x="52"/>
        <item x="241"/>
        <item x="78"/>
        <item x="12"/>
        <item x="161"/>
        <item x="267"/>
        <item x="242"/>
        <item x="253"/>
        <item x="162"/>
        <item x="23"/>
        <item x="287"/>
        <item x="229"/>
        <item x="299"/>
        <item x="230"/>
        <item x="32"/>
        <item x="170"/>
        <item x="317"/>
        <item x="276"/>
        <item x="231"/>
        <item x="53"/>
        <item x="96"/>
        <item x="325"/>
        <item x="90"/>
        <item x="33"/>
        <item x="109"/>
        <item x="310"/>
        <item x="232"/>
        <item x="288"/>
        <item x="144"/>
        <item x="171"/>
        <item x="268"/>
        <item x="97"/>
        <item x="54"/>
        <item x="98"/>
        <item x="277"/>
        <item x="352"/>
        <item x="79"/>
        <item x="269"/>
        <item x="300"/>
        <item x="172"/>
        <item x="301"/>
        <item x="69"/>
        <item x="210"/>
        <item x="34"/>
        <item x="243"/>
        <item x="70"/>
        <item x="353"/>
        <item x="233"/>
        <item x="362"/>
        <item x="173"/>
        <item x="289"/>
        <item x="244"/>
        <item x="202"/>
        <item x="125"/>
        <item x="217"/>
        <item x="270"/>
        <item x="254"/>
        <item x="318"/>
        <item x="55"/>
        <item x="174"/>
        <item x="211"/>
        <item x="234"/>
        <item x="13"/>
        <item x="145"/>
        <item x="126"/>
        <item x="56"/>
        <item x="218"/>
        <item x="271"/>
        <item x="14"/>
        <item x="326"/>
        <item x="245"/>
        <item x="15"/>
        <item x="35"/>
        <item x="189"/>
        <item x="278"/>
        <item x="71"/>
        <item x="363"/>
        <item x="175"/>
        <item x="176"/>
        <item x="110"/>
        <item x="36"/>
        <item x="127"/>
        <item x="99"/>
        <item x="128"/>
        <item x="16"/>
        <item x="72"/>
        <item x="146"/>
        <item x="177"/>
        <item x="338"/>
        <item x="129"/>
        <item x="354"/>
        <item x="255"/>
        <item x="302"/>
        <item x="73"/>
        <item x="303"/>
        <item x="130"/>
        <item x="304"/>
        <item x="37"/>
        <item x="364"/>
        <item x="235"/>
        <item x="38"/>
        <item x="111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9" showAll="0"/>
    <pivotField showAll="0">
      <items count="4">
        <item x="0"/>
        <item x="1"/>
        <item x="2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Súčet z Trzba" fld="12" baseField="0" baseItem="0"/>
  </dataFields>
  <formats count="8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8" type="button" dataOnly="0" labelOnly="1" outline="0"/>
    </format>
    <format dxfId="38">
      <pivotArea dataOnly="0" labelOnly="1" grandRow="1" outline="0" fieldPosition="0"/>
    </format>
    <format dxfId="37">
      <pivotArea dataOnly="0" labelOnly="1" outline="0" axis="axisValues" fieldPosition="0"/>
    </format>
    <format dxfId="36">
      <pivotArea dataOnly="0" labelOnly="1" grandRow="1" outline="0" fieldPosition="0"/>
    </format>
    <format dxfId="35">
      <pivotArea grandRow="1" outline="0" collapsedLevelsAreSubtotals="1" fieldPosition="0"/>
    </format>
    <format dxfId="34">
      <pivotArea collapsedLevelsAreSubtotals="1" fieldPosition="0">
        <references count="1">
          <reference field="6" count="0"/>
        </references>
      </pivotArea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7EDE5B-AE93-4028-9793-FF02D424CDE0}" name="Kpi_obejdnavka" cacheId="1" applyNumberFormats="0" applyBorderFormats="0" applyFontFormats="0" applyPatternFormats="0" applyAlignmentFormats="0" applyWidthHeightFormats="1" dataCaption="Hodnoty" updatedVersion="8" minRefreshableVersion="3" itemPrintTitles="1" createdVersion="8" indent="0" compact="0" compactData="0" multipleFieldFilters="0" chartFormat="32">
  <location ref="A53:E558" firstHeaderRow="0" firstDataRow="1" firstDataCol="2"/>
  <pivotFields count="23">
    <pivotField compact="0" numFmtId="14" outline="0" showAll="0">
      <items count="388">
        <item x="365"/>
        <item x="327"/>
        <item x="112"/>
        <item x="246"/>
        <item x="219"/>
        <item x="131"/>
        <item x="305"/>
        <item x="113"/>
        <item x="272"/>
        <item x="366"/>
        <item x="80"/>
        <item x="132"/>
        <item x="256"/>
        <item x="24"/>
        <item x="339"/>
        <item x="0"/>
        <item x="100"/>
        <item x="91"/>
        <item x="212"/>
        <item x="203"/>
        <item x="220"/>
        <item x="147"/>
        <item x="257"/>
        <item x="190"/>
        <item x="163"/>
        <item x="221"/>
        <item x="133"/>
        <item x="114"/>
        <item x="39"/>
        <item x="1"/>
        <item x="92"/>
        <item x="236"/>
        <item x="355"/>
        <item x="148"/>
        <item x="247"/>
        <item x="311"/>
        <item x="178"/>
        <item x="74"/>
        <item x="340"/>
        <item x="17"/>
        <item x="101"/>
        <item x="149"/>
        <item x="134"/>
        <item x="237"/>
        <item x="248"/>
        <item x="40"/>
        <item x="367"/>
        <item x="25"/>
        <item x="57"/>
        <item x="368"/>
        <item x="191"/>
        <item x="179"/>
        <item x="102"/>
        <item x="192"/>
        <item x="41"/>
        <item x="81"/>
        <item x="319"/>
        <item x="2"/>
        <item x="82"/>
        <item x="356"/>
        <item x="312"/>
        <item x="290"/>
        <item x="193"/>
        <item x="341"/>
        <item x="213"/>
        <item x="83"/>
        <item x="103"/>
        <item x="342"/>
        <item x="258"/>
        <item x="104"/>
        <item x="328"/>
        <item x="306"/>
        <item x="115"/>
        <item x="369"/>
        <item x="180"/>
        <item x="150"/>
        <item x="343"/>
        <item x="135"/>
        <item x="307"/>
        <item x="42"/>
        <item x="329"/>
        <item x="3"/>
        <item x="204"/>
        <item x="291"/>
        <item x="151"/>
        <item x="136"/>
        <item x="152"/>
        <item x="238"/>
        <item x="320"/>
        <item x="239"/>
        <item x="279"/>
        <item x="357"/>
        <item x="313"/>
        <item x="194"/>
        <item x="205"/>
        <item x="84"/>
        <item x="164"/>
        <item x="292"/>
        <item x="181"/>
        <item x="214"/>
        <item x="182"/>
        <item x="183"/>
        <item x="195"/>
        <item x="330"/>
        <item x="153"/>
        <item x="240"/>
        <item x="381"/>
        <item x="222"/>
        <item x="58"/>
        <item x="184"/>
        <item x="382"/>
        <item x="4"/>
        <item x="215"/>
        <item x="331"/>
        <item x="59"/>
        <item x="332"/>
        <item x="259"/>
        <item x="93"/>
        <item x="273"/>
        <item x="137"/>
        <item x="60"/>
        <item x="223"/>
        <item x="344"/>
        <item x="43"/>
        <item x="154"/>
        <item x="370"/>
        <item x="5"/>
        <item x="6"/>
        <item x="105"/>
        <item x="106"/>
        <item x="138"/>
        <item x="293"/>
        <item x="139"/>
        <item x="155"/>
        <item x="206"/>
        <item x="85"/>
        <item x="371"/>
        <item x="185"/>
        <item x="165"/>
        <item x="26"/>
        <item x="116"/>
        <item x="372"/>
        <item x="260"/>
        <item x="18"/>
        <item x="308"/>
        <item x="261"/>
        <item x="333"/>
        <item x="44"/>
        <item x="280"/>
        <item x="166"/>
        <item x="61"/>
        <item x="19"/>
        <item x="345"/>
        <item x="186"/>
        <item x="156"/>
        <item x="62"/>
        <item x="45"/>
        <item x="281"/>
        <item x="117"/>
        <item x="321"/>
        <item x="46"/>
        <item x="27"/>
        <item x="167"/>
        <item x="140"/>
        <item x="207"/>
        <item x="249"/>
        <item x="7"/>
        <item x="63"/>
        <item x="196"/>
        <item x="224"/>
        <item x="346"/>
        <item x="383"/>
        <item x="373"/>
        <item x="64"/>
        <item x="28"/>
        <item x="334"/>
        <item x="187"/>
        <item x="225"/>
        <item x="86"/>
        <item x="262"/>
        <item x="65"/>
        <item x="75"/>
        <item x="384"/>
        <item x="347"/>
        <item x="118"/>
        <item x="20"/>
        <item x="335"/>
        <item x="29"/>
        <item x="294"/>
        <item x="263"/>
        <item x="87"/>
        <item x="274"/>
        <item x="226"/>
        <item x="107"/>
        <item x="227"/>
        <item x="374"/>
        <item x="264"/>
        <item x="66"/>
        <item x="141"/>
        <item x="250"/>
        <item x="142"/>
        <item x="197"/>
        <item x="275"/>
        <item x="198"/>
        <item x="336"/>
        <item x="322"/>
        <item x="76"/>
        <item x="88"/>
        <item x="168"/>
        <item x="199"/>
        <item x="251"/>
        <item x="282"/>
        <item x="157"/>
        <item x="295"/>
        <item x="296"/>
        <item x="265"/>
        <item x="348"/>
        <item x="47"/>
        <item x="48"/>
        <item x="49"/>
        <item x="358"/>
        <item x="50"/>
        <item x="158"/>
        <item x="359"/>
        <item x="375"/>
        <item x="283"/>
        <item x="349"/>
        <item x="143"/>
        <item x="350"/>
        <item x="119"/>
        <item x="208"/>
        <item x="89"/>
        <item x="108"/>
        <item x="266"/>
        <item x="314"/>
        <item x="51"/>
        <item x="376"/>
        <item x="360"/>
        <item x="30"/>
        <item x="159"/>
        <item x="8"/>
        <item x="284"/>
        <item x="377"/>
        <item x="378"/>
        <item x="379"/>
        <item x="209"/>
        <item x="120"/>
        <item x="216"/>
        <item x="67"/>
        <item x="323"/>
        <item x="200"/>
        <item x="385"/>
        <item x="315"/>
        <item x="386"/>
        <item x="380"/>
        <item x="309"/>
        <item x="9"/>
        <item x="297"/>
        <item x="361"/>
        <item x="324"/>
        <item x="285"/>
        <item x="68"/>
        <item x="286"/>
        <item x="351"/>
        <item x="94"/>
        <item x="121"/>
        <item x="95"/>
        <item x="10"/>
        <item x="252"/>
        <item x="122"/>
        <item x="298"/>
        <item x="123"/>
        <item x="77"/>
        <item x="228"/>
        <item x="188"/>
        <item x="11"/>
        <item x="337"/>
        <item x="124"/>
        <item x="201"/>
        <item x="21"/>
        <item x="316"/>
        <item x="169"/>
        <item x="22"/>
        <item x="31"/>
        <item x="160"/>
        <item x="52"/>
        <item x="241"/>
        <item x="78"/>
        <item x="12"/>
        <item x="161"/>
        <item x="267"/>
        <item x="242"/>
        <item x="253"/>
        <item x="162"/>
        <item x="23"/>
        <item x="287"/>
        <item x="229"/>
        <item x="299"/>
        <item x="230"/>
        <item x="32"/>
        <item x="170"/>
        <item x="317"/>
        <item x="276"/>
        <item x="231"/>
        <item x="53"/>
        <item x="96"/>
        <item x="325"/>
        <item x="90"/>
        <item x="33"/>
        <item x="109"/>
        <item x="310"/>
        <item x="232"/>
        <item x="288"/>
        <item x="144"/>
        <item x="171"/>
        <item x="268"/>
        <item x="97"/>
        <item x="54"/>
        <item x="98"/>
        <item x="277"/>
        <item x="352"/>
        <item x="79"/>
        <item x="269"/>
        <item x="300"/>
        <item x="172"/>
        <item x="301"/>
        <item x="69"/>
        <item x="210"/>
        <item x="34"/>
        <item x="243"/>
        <item x="70"/>
        <item x="353"/>
        <item x="233"/>
        <item x="362"/>
        <item x="173"/>
        <item x="289"/>
        <item x="244"/>
        <item x="202"/>
        <item x="125"/>
        <item x="217"/>
        <item x="270"/>
        <item x="254"/>
        <item x="318"/>
        <item x="55"/>
        <item x="174"/>
        <item x="211"/>
        <item x="234"/>
        <item x="13"/>
        <item x="145"/>
        <item x="126"/>
        <item x="56"/>
        <item x="218"/>
        <item x="271"/>
        <item x="14"/>
        <item x="326"/>
        <item x="245"/>
        <item x="15"/>
        <item x="35"/>
        <item x="189"/>
        <item x="278"/>
        <item x="71"/>
        <item x="363"/>
        <item x="175"/>
        <item x="176"/>
        <item x="110"/>
        <item x="36"/>
        <item x="127"/>
        <item x="99"/>
        <item x="128"/>
        <item x="16"/>
        <item x="72"/>
        <item x="146"/>
        <item x="177"/>
        <item x="338"/>
        <item x="129"/>
        <item x="354"/>
        <item x="255"/>
        <item x="302"/>
        <item x="73"/>
        <item x="303"/>
        <item x="130"/>
        <item x="304"/>
        <item x="37"/>
        <item x="364"/>
        <item x="235"/>
        <item x="38"/>
        <item x="111"/>
        <item t="default"/>
      </items>
    </pivotField>
    <pivotField axis="axisRow" compact="0" outline="0" showAll="0">
      <items count="501">
        <item x="470"/>
        <item x="412"/>
        <item x="123"/>
        <item x="294"/>
        <item x="326"/>
        <item x="259"/>
        <item x="235"/>
        <item x="147"/>
        <item x="380"/>
        <item x="124"/>
        <item x="277"/>
        <item x="327"/>
        <item x="471"/>
        <item x="308"/>
        <item x="84"/>
        <item x="148"/>
        <item x="309"/>
        <item x="24"/>
        <item x="472"/>
        <item x="433"/>
        <item x="0"/>
        <item x="163"/>
        <item x="109"/>
        <item x="413"/>
        <item x="98"/>
        <item x="248"/>
        <item x="249"/>
        <item x="434"/>
        <item x="236"/>
        <item x="260"/>
        <item x="237"/>
        <item x="184"/>
        <item x="328"/>
        <item x="164"/>
        <item x="310"/>
        <item x="219"/>
        <item x="489"/>
        <item x="185"/>
        <item x="414"/>
        <item x="261"/>
        <item x="149"/>
        <item x="125"/>
        <item x="40"/>
        <item x="1"/>
        <item x="490"/>
        <item x="99"/>
        <item x="278"/>
        <item x="456"/>
        <item x="358"/>
        <item x="165"/>
        <item x="295"/>
        <item x="389"/>
        <item x="206"/>
        <item x="76"/>
        <item x="415"/>
        <item x="435"/>
        <item x="17"/>
        <item x="110"/>
        <item x="166"/>
        <item x="150"/>
        <item x="279"/>
        <item x="296"/>
        <item x="41"/>
        <item x="473"/>
        <item x="25"/>
        <item x="58"/>
        <item x="250"/>
        <item x="474"/>
        <item x="220"/>
        <item x="207"/>
        <item x="111"/>
        <item x="221"/>
        <item x="42"/>
        <item x="85"/>
        <item x="398"/>
        <item x="359"/>
        <item x="2"/>
        <item x="186"/>
        <item x="86"/>
        <item x="457"/>
        <item x="390"/>
        <item x="360"/>
        <item x="222"/>
        <item x="436"/>
        <item x="251"/>
        <item x="87"/>
        <item x="126"/>
        <item x="112"/>
        <item x="437"/>
        <item x="338"/>
        <item x="311"/>
        <item x="381"/>
        <item x="113"/>
        <item x="438"/>
        <item x="416"/>
        <item x="439"/>
        <item x="382"/>
        <item x="127"/>
        <item x="167"/>
        <item x="475"/>
        <item x="208"/>
        <item x="417"/>
        <item x="168"/>
        <item x="440"/>
        <item x="151"/>
        <item x="383"/>
        <item x="43"/>
        <item x="418"/>
        <item x="3"/>
        <item x="187"/>
        <item x="238"/>
        <item x="361"/>
        <item x="339"/>
        <item x="169"/>
        <item x="152"/>
        <item x="170"/>
        <item x="280"/>
        <item x="399"/>
        <item x="281"/>
        <item x="340"/>
        <item x="458"/>
        <item x="391"/>
        <item x="223"/>
        <item x="282"/>
        <item x="329"/>
        <item x="239"/>
        <item x="88"/>
        <item x="188"/>
        <item x="362"/>
        <item x="209"/>
        <item x="252"/>
        <item x="210"/>
        <item x="363"/>
        <item x="211"/>
        <item x="224"/>
        <item x="419"/>
        <item x="459"/>
        <item x="171"/>
        <item x="283"/>
        <item x="330"/>
        <item x="491"/>
        <item x="262"/>
        <item x="384"/>
        <item x="59"/>
        <item x="212"/>
        <item x="492"/>
        <item x="4"/>
        <item x="253"/>
        <item x="420"/>
        <item x="493"/>
        <item x="60"/>
        <item x="331"/>
        <item x="421"/>
        <item x="312"/>
        <item x="100"/>
        <item x="341"/>
        <item x="332"/>
        <item x="153"/>
        <item x="61"/>
        <item x="89"/>
        <item x="263"/>
        <item x="441"/>
        <item x="44"/>
        <item x="172"/>
        <item x="476"/>
        <item x="422"/>
        <item x="5"/>
        <item x="254"/>
        <item x="6"/>
        <item x="114"/>
        <item x="115"/>
        <item x="154"/>
        <item x="364"/>
        <item x="155"/>
        <item x="173"/>
        <item x="189"/>
        <item x="240"/>
        <item x="400"/>
        <item x="90"/>
        <item x="477"/>
        <item x="478"/>
        <item x="284"/>
        <item x="213"/>
        <item x="190"/>
        <item x="26"/>
        <item x="128"/>
        <item x="479"/>
        <item x="342"/>
        <item x="313"/>
        <item x="27"/>
        <item x="401"/>
        <item x="18"/>
        <item x="385"/>
        <item x="314"/>
        <item x="423"/>
        <item x="45"/>
        <item x="343"/>
        <item x="191"/>
        <item x="62"/>
        <item x="424"/>
        <item x="116"/>
        <item x="19"/>
        <item x="442"/>
        <item x="214"/>
        <item x="460"/>
        <item x="174"/>
        <item x="63"/>
        <item x="264"/>
        <item x="255"/>
        <item x="46"/>
        <item x="225"/>
        <item x="386"/>
        <item x="344"/>
        <item x="129"/>
        <item x="402"/>
        <item x="47"/>
        <item x="28"/>
        <item x="192"/>
        <item x="156"/>
        <item x="241"/>
        <item x="297"/>
        <item x="7"/>
        <item x="64"/>
        <item x="91"/>
        <item x="226"/>
        <item x="265"/>
        <item x="403"/>
        <item x="443"/>
        <item x="494"/>
        <item x="480"/>
        <item x="77"/>
        <item x="117"/>
        <item x="65"/>
        <item x="29"/>
        <item x="315"/>
        <item x="425"/>
        <item x="215"/>
        <item x="266"/>
        <item x="92"/>
        <item x="316"/>
        <item x="66"/>
        <item x="78"/>
        <item x="495"/>
        <item x="444"/>
        <item x="130"/>
        <item x="20"/>
        <item x="426"/>
        <item x="79"/>
        <item x="30"/>
        <item x="365"/>
        <item x="317"/>
        <item x="93"/>
        <item x="333"/>
        <item x="267"/>
        <item x="118"/>
        <item x="268"/>
        <item x="481"/>
        <item x="318"/>
        <item x="67"/>
        <item x="157"/>
        <item x="445"/>
        <item x="298"/>
        <item x="158"/>
        <item x="227"/>
        <item x="334"/>
        <item x="228"/>
        <item x="427"/>
        <item x="461"/>
        <item x="404"/>
        <item x="80"/>
        <item x="101"/>
        <item x="94"/>
        <item x="193"/>
        <item x="366"/>
        <item x="229"/>
        <item x="299"/>
        <item x="345"/>
        <item x="175"/>
        <item x="367"/>
        <item x="368"/>
        <item x="319"/>
        <item x="446"/>
        <item x="405"/>
        <item x="48"/>
        <item x="49"/>
        <item x="50"/>
        <item x="462"/>
        <item x="51"/>
        <item x="176"/>
        <item x="463"/>
        <item x="482"/>
        <item x="346"/>
        <item x="447"/>
        <item x="448"/>
        <item x="159"/>
        <item x="449"/>
        <item x="131"/>
        <item x="300"/>
        <item x="132"/>
        <item x="242"/>
        <item x="95"/>
        <item x="119"/>
        <item x="320"/>
        <item x="392"/>
        <item x="52"/>
        <item x="243"/>
        <item x="133"/>
        <item x="483"/>
        <item x="464"/>
        <item x="31"/>
        <item x="177"/>
        <item x="8"/>
        <item x="216"/>
        <item x="347"/>
        <item x="450"/>
        <item x="484"/>
        <item x="485"/>
        <item x="486"/>
        <item x="244"/>
        <item x="285"/>
        <item x="134"/>
        <item x="256"/>
        <item x="68"/>
        <item x="406"/>
        <item x="230"/>
        <item x="496"/>
        <item x="393"/>
        <item x="497"/>
        <item x="487"/>
        <item x="387"/>
        <item x="9"/>
        <item x="369"/>
        <item x="465"/>
        <item x="407"/>
        <item x="348"/>
        <item x="96"/>
        <item x="69"/>
        <item x="349"/>
        <item x="451"/>
        <item x="102"/>
        <item x="135"/>
        <item x="103"/>
        <item x="10"/>
        <item x="301"/>
        <item x="136"/>
        <item x="370"/>
        <item x="137"/>
        <item x="81"/>
        <item x="269"/>
        <item x="428"/>
        <item x="217"/>
        <item x="11"/>
        <item x="429"/>
        <item x="302"/>
        <item x="231"/>
        <item x="138"/>
        <item x="371"/>
        <item x="232"/>
        <item x="21"/>
        <item x="394"/>
        <item x="194"/>
        <item x="22"/>
        <item x="178"/>
        <item x="32"/>
        <item x="195"/>
        <item x="179"/>
        <item x="53"/>
        <item x="350"/>
        <item x="286"/>
        <item x="82"/>
        <item x="12"/>
        <item x="180"/>
        <item x="321"/>
        <item x="287"/>
        <item x="466"/>
        <item x="303"/>
        <item x="181"/>
        <item x="196"/>
        <item x="23"/>
        <item x="351"/>
        <item x="270"/>
        <item x="372"/>
        <item x="271"/>
        <item x="352"/>
        <item x="33"/>
        <item x="197"/>
        <item x="395"/>
        <item x="335"/>
        <item x="272"/>
        <item x="498"/>
        <item x="54"/>
        <item x="288"/>
        <item x="104"/>
        <item x="408"/>
        <item x="97"/>
        <item x="34"/>
        <item x="120"/>
        <item x="139"/>
        <item x="409"/>
        <item x="388"/>
        <item x="273"/>
        <item x="353"/>
        <item x="160"/>
        <item x="198"/>
        <item x="396"/>
        <item x="322"/>
        <item x="105"/>
        <item x="289"/>
        <item x="182"/>
        <item x="55"/>
        <item x="70"/>
        <item x="106"/>
        <item x="430"/>
        <item x="336"/>
        <item x="452"/>
        <item x="83"/>
        <item x="323"/>
        <item x="453"/>
        <item x="373"/>
        <item x="245"/>
        <item x="199"/>
        <item x="374"/>
        <item x="183"/>
        <item x="71"/>
        <item x="246"/>
        <item x="35"/>
        <item x="488"/>
        <item x="290"/>
        <item x="72"/>
        <item x="233"/>
        <item x="375"/>
        <item x="454"/>
        <item x="274"/>
        <item x="467"/>
        <item x="200"/>
        <item x="354"/>
        <item x="291"/>
        <item x="376"/>
        <item x="234"/>
        <item x="140"/>
        <item x="201"/>
        <item x="257"/>
        <item x="324"/>
        <item x="304"/>
        <item x="397"/>
        <item x="56"/>
        <item x="202"/>
        <item x="247"/>
        <item x="275"/>
        <item x="431"/>
        <item x="13"/>
        <item x="161"/>
        <item x="141"/>
        <item x="292"/>
        <item x="355"/>
        <item x="57"/>
        <item x="258"/>
        <item x="325"/>
        <item x="14"/>
        <item x="410"/>
        <item x="293"/>
        <item x="107"/>
        <item x="15"/>
        <item x="36"/>
        <item x="499"/>
        <item x="218"/>
        <item x="337"/>
        <item x="73"/>
        <item x="468"/>
        <item x="203"/>
        <item x="204"/>
        <item x="121"/>
        <item x="37"/>
        <item x="142"/>
        <item x="356"/>
        <item x="108"/>
        <item x="143"/>
        <item x="16"/>
        <item x="74"/>
        <item x="357"/>
        <item x="162"/>
        <item x="205"/>
        <item x="432"/>
        <item x="144"/>
        <item x="455"/>
        <item x="305"/>
        <item x="377"/>
        <item x="75"/>
        <item x="378"/>
        <item x="145"/>
        <item x="379"/>
        <item x="411"/>
        <item x="38"/>
        <item x="146"/>
        <item x="469"/>
        <item x="306"/>
        <item x="307"/>
        <item x="276"/>
        <item x="39"/>
        <item x="12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numFmtId="9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</pivotField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2">
    <field x="6"/>
    <field x="1"/>
  </rowFields>
  <rowItems count="505">
    <i>
      <x/>
      <x v="1"/>
    </i>
    <i r="1">
      <x v="2"/>
    </i>
    <i r="1">
      <x v="4"/>
    </i>
    <i r="1">
      <x v="5"/>
    </i>
    <i r="1">
      <x v="7"/>
    </i>
    <i r="1">
      <x v="9"/>
    </i>
    <i r="1">
      <x v="11"/>
    </i>
    <i r="1">
      <x v="15"/>
    </i>
    <i r="1">
      <x v="17"/>
    </i>
    <i r="1">
      <x v="23"/>
    </i>
    <i r="1">
      <x v="29"/>
    </i>
    <i r="1">
      <x v="32"/>
    </i>
    <i r="1">
      <x v="38"/>
    </i>
    <i r="1">
      <x v="39"/>
    </i>
    <i r="1">
      <x v="40"/>
    </i>
    <i r="1">
      <x v="41"/>
    </i>
    <i r="1">
      <x v="42"/>
    </i>
    <i r="1">
      <x v="54"/>
    </i>
    <i r="1">
      <x v="59"/>
    </i>
    <i r="1">
      <x v="62"/>
    </i>
    <i r="1">
      <x v="64"/>
    </i>
    <i r="1">
      <x v="72"/>
    </i>
    <i r="1">
      <x v="86"/>
    </i>
    <i r="1">
      <x v="89"/>
    </i>
    <i r="1">
      <x v="94"/>
    </i>
    <i r="1">
      <x v="97"/>
    </i>
    <i r="1">
      <x v="101"/>
    </i>
    <i r="1">
      <x v="104"/>
    </i>
    <i r="1">
      <x v="106"/>
    </i>
    <i r="1">
      <x v="107"/>
    </i>
    <i r="1">
      <x v="112"/>
    </i>
    <i r="1">
      <x v="114"/>
    </i>
    <i r="1">
      <x v="119"/>
    </i>
    <i r="1">
      <x v="124"/>
    </i>
    <i r="1">
      <x v="135"/>
    </i>
    <i r="1">
      <x v="139"/>
    </i>
    <i r="1">
      <x v="141"/>
    </i>
    <i r="1">
      <x v="148"/>
    </i>
    <i r="1">
      <x v="151"/>
    </i>
    <i r="1">
      <x v="152"/>
    </i>
    <i r="1">
      <x v="155"/>
    </i>
    <i r="1">
      <x v="156"/>
    </i>
    <i r="1">
      <x v="157"/>
    </i>
    <i r="1">
      <x v="160"/>
    </i>
    <i r="1">
      <x v="162"/>
    </i>
    <i r="1">
      <x v="165"/>
    </i>
    <i r="1">
      <x v="171"/>
    </i>
    <i r="1">
      <x v="173"/>
    </i>
    <i r="1">
      <x v="184"/>
    </i>
    <i r="1">
      <x v="185"/>
    </i>
    <i r="1">
      <x v="187"/>
    </i>
    <i r="1">
      <x v="189"/>
    </i>
    <i r="1">
      <x v="194"/>
    </i>
    <i r="1">
      <x v="195"/>
    </i>
    <i r="1">
      <x v="196"/>
    </i>
    <i r="1">
      <x v="199"/>
    </i>
    <i r="1">
      <x v="207"/>
    </i>
    <i r="1">
      <x v="209"/>
    </i>
    <i r="1">
      <x v="212"/>
    </i>
    <i r="1">
      <x v="213"/>
    </i>
    <i r="1">
      <x v="215"/>
    </i>
    <i r="1">
      <x v="216"/>
    </i>
    <i r="1">
      <x v="218"/>
    </i>
    <i r="1">
      <x v="225"/>
    </i>
    <i r="1">
      <x v="233"/>
    </i>
    <i r="1">
      <x v="235"/>
    </i>
    <i r="1">
      <x v="237"/>
    </i>
    <i r="1">
      <x v="244"/>
    </i>
    <i r="1">
      <x v="246"/>
    </i>
    <i r="1">
      <x v="248"/>
    </i>
    <i r="1">
      <x v="252"/>
    </i>
    <i r="1">
      <x v="253"/>
    </i>
    <i r="1">
      <x v="255"/>
    </i>
    <i r="1">
      <x v="259"/>
    </i>
    <i r="1">
      <x v="262"/>
    </i>
    <i r="1">
      <x v="264"/>
    </i>
    <i r="1">
      <x v="266"/>
    </i>
    <i r="1">
      <x v="276"/>
    </i>
    <i r="1">
      <x v="283"/>
    </i>
    <i r="1">
      <x v="284"/>
    </i>
    <i r="1">
      <x v="285"/>
    </i>
    <i r="1">
      <x v="287"/>
    </i>
    <i r="1">
      <x v="291"/>
    </i>
    <i r="1">
      <x v="294"/>
    </i>
    <i r="1">
      <x v="296"/>
    </i>
    <i r="1">
      <x v="298"/>
    </i>
    <i r="1">
      <x v="304"/>
    </i>
    <i r="1">
      <x v="306"/>
    </i>
    <i r="1">
      <x v="309"/>
    </i>
    <i r="1">
      <x v="313"/>
    </i>
    <i r="1">
      <x v="320"/>
    </i>
    <i r="1">
      <x v="334"/>
    </i>
    <i r="1">
      <x v="337"/>
    </i>
    <i r="1">
      <x v="340"/>
    </i>
    <i r="1">
      <x v="344"/>
    </i>
    <i r="1">
      <x v="346"/>
    </i>
    <i r="1">
      <x v="348"/>
    </i>
    <i r="1">
      <x v="349"/>
    </i>
    <i r="1">
      <x v="352"/>
    </i>
    <i r="1">
      <x v="355"/>
    </i>
    <i r="1">
      <x v="363"/>
    </i>
    <i r="1">
      <x v="366"/>
    </i>
    <i r="1">
      <x v="367"/>
    </i>
    <i r="1">
      <x v="379"/>
    </i>
    <i r="1">
      <x v="380"/>
    </i>
    <i r="1">
      <x v="382"/>
    </i>
    <i r="1">
      <x v="383"/>
    </i>
    <i r="1">
      <x v="384"/>
    </i>
    <i r="1">
      <x v="387"/>
    </i>
    <i r="1">
      <x v="388"/>
    </i>
    <i r="1">
      <x v="390"/>
    </i>
    <i r="1">
      <x v="395"/>
    </i>
    <i r="1">
      <x v="397"/>
    </i>
    <i r="1">
      <x v="400"/>
    </i>
    <i r="1">
      <x v="401"/>
    </i>
    <i r="1">
      <x v="402"/>
    </i>
    <i r="1">
      <x v="409"/>
    </i>
    <i r="1">
      <x v="412"/>
    </i>
    <i r="1">
      <x v="413"/>
    </i>
    <i r="1">
      <x v="425"/>
    </i>
    <i r="1">
      <x v="432"/>
    </i>
    <i r="1">
      <x v="435"/>
    </i>
    <i r="1">
      <x v="439"/>
    </i>
    <i r="1">
      <x v="445"/>
    </i>
    <i r="1">
      <x v="448"/>
    </i>
    <i r="1">
      <x v="449"/>
    </i>
    <i r="1">
      <x v="451"/>
    </i>
    <i r="1">
      <x v="452"/>
    </i>
    <i r="1">
      <x v="454"/>
    </i>
    <i r="1">
      <x v="455"/>
    </i>
    <i r="1">
      <x v="463"/>
    </i>
    <i r="1">
      <x v="466"/>
    </i>
    <i r="1">
      <x v="472"/>
    </i>
    <i r="1">
      <x v="473"/>
    </i>
    <i r="1">
      <x v="474"/>
    </i>
    <i r="1">
      <x v="476"/>
    </i>
    <i r="1">
      <x v="479"/>
    </i>
    <i r="1">
      <x v="480"/>
    </i>
    <i r="1">
      <x v="482"/>
    </i>
    <i r="1">
      <x v="483"/>
    </i>
    <i r="1">
      <x v="489"/>
    </i>
    <i r="1">
      <x v="492"/>
    </i>
    <i r="1">
      <x v="493"/>
    </i>
    <i r="1">
      <x v="497"/>
    </i>
    <i r="1">
      <x v="498"/>
    </i>
    <i t="default">
      <x/>
    </i>
    <i>
      <x v="1"/>
      <x v="3"/>
    </i>
    <i r="1">
      <x v="10"/>
    </i>
    <i r="1">
      <x v="13"/>
    </i>
    <i r="1">
      <x v="16"/>
    </i>
    <i r="1">
      <x v="21"/>
    </i>
    <i r="1">
      <x v="24"/>
    </i>
    <i r="1">
      <x v="31"/>
    </i>
    <i r="1">
      <x v="33"/>
    </i>
    <i r="1">
      <x v="34"/>
    </i>
    <i r="1">
      <x v="37"/>
    </i>
    <i r="1">
      <x v="45"/>
    </i>
    <i r="1">
      <x v="46"/>
    </i>
    <i r="1">
      <x v="49"/>
    </i>
    <i r="1">
      <x v="50"/>
    </i>
    <i r="1">
      <x v="51"/>
    </i>
    <i r="1">
      <x v="56"/>
    </i>
    <i r="1">
      <x v="58"/>
    </i>
    <i r="1">
      <x v="60"/>
    </i>
    <i r="1">
      <x v="61"/>
    </i>
    <i r="1">
      <x v="77"/>
    </i>
    <i r="1">
      <x v="80"/>
    </i>
    <i r="1">
      <x v="90"/>
    </i>
    <i r="1">
      <x v="98"/>
    </i>
    <i r="1">
      <x v="102"/>
    </i>
    <i r="1">
      <x v="109"/>
    </i>
    <i r="1">
      <x v="113"/>
    </i>
    <i r="1">
      <x v="115"/>
    </i>
    <i r="1">
      <x v="116"/>
    </i>
    <i r="1">
      <x v="118"/>
    </i>
    <i r="1">
      <x v="121"/>
    </i>
    <i r="1">
      <x v="123"/>
    </i>
    <i r="1">
      <x v="127"/>
    </i>
    <i r="1">
      <x v="137"/>
    </i>
    <i r="1">
      <x v="138"/>
    </i>
    <i r="1">
      <x v="153"/>
    </i>
    <i r="1">
      <x v="154"/>
    </i>
    <i r="1">
      <x v="163"/>
    </i>
    <i r="1">
      <x v="174"/>
    </i>
    <i r="1">
      <x v="175"/>
    </i>
    <i r="1">
      <x v="181"/>
    </i>
    <i r="1">
      <x v="183"/>
    </i>
    <i r="1">
      <x v="188"/>
    </i>
    <i r="1">
      <x v="191"/>
    </i>
    <i r="1">
      <x v="193"/>
    </i>
    <i r="1">
      <x v="197"/>
    </i>
    <i r="1">
      <x v="201"/>
    </i>
    <i r="1">
      <x v="205"/>
    </i>
    <i r="1">
      <x v="217"/>
    </i>
    <i r="1">
      <x v="220"/>
    </i>
    <i r="1">
      <x v="234"/>
    </i>
    <i r="1">
      <x v="239"/>
    </i>
    <i r="1">
      <x v="245"/>
    </i>
    <i r="1">
      <x v="250"/>
    </i>
    <i r="1">
      <x v="257"/>
    </i>
    <i r="1">
      <x v="261"/>
    </i>
    <i r="1">
      <x v="270"/>
    </i>
    <i r="1">
      <x v="272"/>
    </i>
    <i r="1">
      <x v="275"/>
    </i>
    <i r="1">
      <x v="277"/>
    </i>
    <i r="1">
      <x v="280"/>
    </i>
    <i r="1">
      <x v="288"/>
    </i>
    <i r="1">
      <x v="297"/>
    </i>
    <i r="1">
      <x v="302"/>
    </i>
    <i r="1">
      <x v="303"/>
    </i>
    <i r="1">
      <x v="310"/>
    </i>
    <i r="1">
      <x v="319"/>
    </i>
    <i r="1">
      <x v="326"/>
    </i>
    <i r="1">
      <x v="339"/>
    </i>
    <i r="1">
      <x v="341"/>
    </i>
    <i r="1">
      <x v="343"/>
    </i>
    <i r="1">
      <x v="353"/>
    </i>
    <i r="1">
      <x v="358"/>
    </i>
    <i r="1">
      <x v="359"/>
    </i>
    <i r="1">
      <x v="360"/>
    </i>
    <i r="1">
      <x v="361"/>
    </i>
    <i r="1">
      <x v="362"/>
    </i>
    <i r="1">
      <x v="364"/>
    </i>
    <i r="1">
      <x v="365"/>
    </i>
    <i r="1">
      <x v="368"/>
    </i>
    <i r="1">
      <x v="371"/>
    </i>
    <i r="1">
      <x v="372"/>
    </i>
    <i r="1">
      <x v="373"/>
    </i>
    <i r="1">
      <x v="375"/>
    </i>
    <i r="1">
      <x v="376"/>
    </i>
    <i r="1">
      <x v="377"/>
    </i>
    <i r="1">
      <x v="378"/>
    </i>
    <i r="1">
      <x v="385"/>
    </i>
    <i r="1">
      <x v="386"/>
    </i>
    <i r="1">
      <x v="391"/>
    </i>
    <i r="1">
      <x v="39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11"/>
    </i>
    <i r="1">
      <x v="416"/>
    </i>
    <i r="1">
      <x v="420"/>
    </i>
    <i r="1">
      <x v="422"/>
    </i>
    <i r="1">
      <x v="427"/>
    </i>
    <i r="1">
      <x v="434"/>
    </i>
    <i r="1">
      <x v="436"/>
    </i>
    <i r="1">
      <x v="440"/>
    </i>
    <i r="1">
      <x v="442"/>
    </i>
    <i r="1">
      <x v="443"/>
    </i>
    <i r="1">
      <x v="444"/>
    </i>
    <i r="1">
      <x v="446"/>
    </i>
    <i r="1">
      <x v="453"/>
    </i>
    <i r="1">
      <x v="457"/>
    </i>
    <i r="1">
      <x v="460"/>
    </i>
    <i r="1">
      <x v="461"/>
    </i>
    <i r="1">
      <x v="469"/>
    </i>
    <i r="1">
      <x v="470"/>
    </i>
    <i r="1">
      <x v="475"/>
    </i>
    <i r="1">
      <x v="481"/>
    </i>
    <i r="1">
      <x v="485"/>
    </i>
    <i r="1">
      <x v="495"/>
    </i>
    <i r="1">
      <x v="496"/>
    </i>
    <i t="default">
      <x v="1"/>
    </i>
    <i>
      <x v="2"/>
      <x v="6"/>
    </i>
    <i r="1">
      <x v="14"/>
    </i>
    <i r="1">
      <x v="20"/>
    </i>
    <i r="1">
      <x v="22"/>
    </i>
    <i r="1">
      <x v="25"/>
    </i>
    <i r="1">
      <x v="26"/>
    </i>
    <i r="1">
      <x v="28"/>
    </i>
    <i r="1">
      <x v="30"/>
    </i>
    <i r="1">
      <x v="43"/>
    </i>
    <i r="1">
      <x v="48"/>
    </i>
    <i r="1">
      <x v="52"/>
    </i>
    <i r="1">
      <x v="57"/>
    </i>
    <i r="1">
      <x v="65"/>
    </i>
    <i r="1">
      <x v="66"/>
    </i>
    <i r="1">
      <x v="69"/>
    </i>
    <i r="1">
      <x v="70"/>
    </i>
    <i r="1">
      <x v="73"/>
    </i>
    <i r="1">
      <x v="75"/>
    </i>
    <i r="1">
      <x v="76"/>
    </i>
    <i r="1">
      <x v="78"/>
    </i>
    <i r="1">
      <x v="81"/>
    </i>
    <i r="1">
      <x v="84"/>
    </i>
    <i r="1">
      <x v="85"/>
    </i>
    <i r="1">
      <x v="87"/>
    </i>
    <i r="1">
      <x v="92"/>
    </i>
    <i r="1">
      <x v="100"/>
    </i>
    <i r="1">
      <x v="108"/>
    </i>
    <i r="1">
      <x v="110"/>
    </i>
    <i r="1">
      <x v="111"/>
    </i>
    <i r="1">
      <x v="125"/>
    </i>
    <i r="1">
      <x v="126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43"/>
    </i>
    <i r="1">
      <x v="144"/>
    </i>
    <i r="1">
      <x v="146"/>
    </i>
    <i r="1">
      <x v="147"/>
    </i>
    <i r="1">
      <x v="150"/>
    </i>
    <i r="1">
      <x v="158"/>
    </i>
    <i r="1">
      <x v="159"/>
    </i>
    <i r="1">
      <x v="166"/>
    </i>
    <i r="1">
      <x v="167"/>
    </i>
    <i r="1">
      <x v="168"/>
    </i>
    <i r="1">
      <x v="169"/>
    </i>
    <i r="1">
      <x v="170"/>
    </i>
    <i r="1">
      <x v="172"/>
    </i>
    <i r="1">
      <x v="176"/>
    </i>
    <i r="1">
      <x v="178"/>
    </i>
    <i r="1">
      <x v="182"/>
    </i>
    <i r="1">
      <x v="198"/>
    </i>
    <i r="1">
      <x v="200"/>
    </i>
    <i r="1">
      <x v="203"/>
    </i>
    <i r="1">
      <x v="206"/>
    </i>
    <i r="1">
      <x v="208"/>
    </i>
    <i r="1">
      <x v="219"/>
    </i>
    <i r="1">
      <x v="221"/>
    </i>
    <i r="1">
      <x v="222"/>
    </i>
    <i r="1">
      <x v="223"/>
    </i>
    <i r="1">
      <x v="231"/>
    </i>
    <i r="1">
      <x v="232"/>
    </i>
    <i r="1">
      <x v="236"/>
    </i>
    <i r="1">
      <x v="238"/>
    </i>
    <i r="1">
      <x v="240"/>
    </i>
    <i r="1">
      <x v="249"/>
    </i>
    <i r="1">
      <x v="251"/>
    </i>
    <i r="1">
      <x v="254"/>
    </i>
    <i r="1">
      <x v="258"/>
    </i>
    <i r="1">
      <x v="271"/>
    </i>
    <i r="1">
      <x v="273"/>
    </i>
    <i r="1">
      <x v="278"/>
    </i>
    <i r="1">
      <x v="279"/>
    </i>
    <i r="1">
      <x v="299"/>
    </i>
    <i r="1">
      <x v="300"/>
    </i>
    <i r="1">
      <x v="301"/>
    </i>
    <i r="1">
      <x v="305"/>
    </i>
    <i r="1">
      <x v="311"/>
    </i>
    <i r="1">
      <x v="312"/>
    </i>
    <i r="1">
      <x v="318"/>
    </i>
    <i r="1">
      <x v="321"/>
    </i>
    <i r="1">
      <x v="322"/>
    </i>
    <i r="1">
      <x v="330"/>
    </i>
    <i r="1">
      <x v="331"/>
    </i>
    <i r="1">
      <x v="335"/>
    </i>
    <i r="1">
      <x v="336"/>
    </i>
    <i r="1">
      <x v="342"/>
    </i>
    <i r="1">
      <x v="345"/>
    </i>
    <i r="1">
      <x v="350"/>
    </i>
    <i r="1">
      <x v="351"/>
    </i>
    <i r="1">
      <x v="356"/>
    </i>
    <i r="1">
      <x v="370"/>
    </i>
    <i r="1">
      <x v="381"/>
    </i>
    <i r="1">
      <x v="394"/>
    </i>
    <i r="1">
      <x v="396"/>
    </i>
    <i r="1">
      <x v="410"/>
    </i>
    <i r="1">
      <x v="418"/>
    </i>
    <i r="1">
      <x v="419"/>
    </i>
    <i r="1">
      <x v="421"/>
    </i>
    <i r="1">
      <x v="423"/>
    </i>
    <i r="1">
      <x v="424"/>
    </i>
    <i r="1">
      <x v="428"/>
    </i>
    <i r="1">
      <x v="430"/>
    </i>
    <i r="1">
      <x v="437"/>
    </i>
    <i r="1">
      <x v="441"/>
    </i>
    <i r="1">
      <x v="447"/>
    </i>
    <i r="1">
      <x v="450"/>
    </i>
    <i r="1">
      <x v="456"/>
    </i>
    <i r="1">
      <x v="458"/>
    </i>
    <i r="1">
      <x v="462"/>
    </i>
    <i r="1">
      <x v="465"/>
    </i>
    <i r="1">
      <x v="467"/>
    </i>
    <i r="1">
      <x v="471"/>
    </i>
    <i r="1">
      <x v="477"/>
    </i>
    <i r="1">
      <x v="478"/>
    </i>
    <i r="1">
      <x v="486"/>
    </i>
    <i r="1">
      <x v="487"/>
    </i>
    <i r="1">
      <x v="488"/>
    </i>
    <i r="1">
      <x v="490"/>
    </i>
    <i r="1">
      <x v="499"/>
    </i>
    <i t="default">
      <x v="2"/>
    </i>
    <i>
      <x v="3"/>
      <x/>
    </i>
    <i r="1">
      <x v="8"/>
    </i>
    <i r="1">
      <x v="12"/>
    </i>
    <i r="1">
      <x v="18"/>
    </i>
    <i r="1">
      <x v="19"/>
    </i>
    <i r="1">
      <x v="27"/>
    </i>
    <i r="1">
      <x v="35"/>
    </i>
    <i r="1">
      <x v="36"/>
    </i>
    <i r="1">
      <x v="44"/>
    </i>
    <i r="1">
      <x v="47"/>
    </i>
    <i r="1">
      <x v="53"/>
    </i>
    <i r="1">
      <x v="55"/>
    </i>
    <i r="1">
      <x v="63"/>
    </i>
    <i r="1">
      <x v="67"/>
    </i>
    <i r="1">
      <x v="68"/>
    </i>
    <i r="1">
      <x v="71"/>
    </i>
    <i r="1">
      <x v="74"/>
    </i>
    <i r="1">
      <x v="79"/>
    </i>
    <i r="1">
      <x v="82"/>
    </i>
    <i r="1">
      <x v="83"/>
    </i>
    <i r="1">
      <x v="88"/>
    </i>
    <i r="1">
      <x v="91"/>
    </i>
    <i r="1">
      <x v="93"/>
    </i>
    <i r="1">
      <x v="95"/>
    </i>
    <i r="1">
      <x v="96"/>
    </i>
    <i r="1">
      <x v="99"/>
    </i>
    <i r="1">
      <x v="103"/>
    </i>
    <i r="1">
      <x v="105"/>
    </i>
    <i r="1">
      <x v="117"/>
    </i>
    <i r="1">
      <x v="120"/>
    </i>
    <i r="1">
      <x v="122"/>
    </i>
    <i r="1">
      <x v="134"/>
    </i>
    <i r="1">
      <x v="136"/>
    </i>
    <i r="1">
      <x v="140"/>
    </i>
    <i r="1">
      <x v="142"/>
    </i>
    <i r="1">
      <x v="145"/>
    </i>
    <i r="1">
      <x v="149"/>
    </i>
    <i r="1">
      <x v="161"/>
    </i>
    <i r="1">
      <x v="164"/>
    </i>
    <i r="1">
      <x v="177"/>
    </i>
    <i r="1">
      <x v="179"/>
    </i>
    <i r="1">
      <x v="180"/>
    </i>
    <i r="1">
      <x v="186"/>
    </i>
    <i r="1">
      <x v="190"/>
    </i>
    <i r="1">
      <x v="192"/>
    </i>
    <i r="1">
      <x v="202"/>
    </i>
    <i r="1">
      <x v="204"/>
    </i>
    <i r="1">
      <x v="210"/>
    </i>
    <i r="1">
      <x v="211"/>
    </i>
    <i r="1">
      <x v="214"/>
    </i>
    <i r="1">
      <x v="224"/>
    </i>
    <i r="1">
      <x v="226"/>
    </i>
    <i r="1">
      <x v="227"/>
    </i>
    <i r="1">
      <x v="228"/>
    </i>
    <i r="1">
      <x v="229"/>
    </i>
    <i r="1">
      <x v="230"/>
    </i>
    <i r="1">
      <x v="241"/>
    </i>
    <i r="1">
      <x v="242"/>
    </i>
    <i r="1">
      <x v="243"/>
    </i>
    <i r="1">
      <x v="247"/>
    </i>
    <i r="1">
      <x v="256"/>
    </i>
    <i r="1">
      <x v="260"/>
    </i>
    <i r="1">
      <x v="263"/>
    </i>
    <i r="1">
      <x v="265"/>
    </i>
    <i r="1">
      <x v="267"/>
    </i>
    <i r="1">
      <x v="268"/>
    </i>
    <i r="1">
      <x v="269"/>
    </i>
    <i r="1">
      <x v="274"/>
    </i>
    <i r="1">
      <x v="281"/>
    </i>
    <i r="1">
      <x v="282"/>
    </i>
    <i r="1">
      <x v="286"/>
    </i>
    <i r="1">
      <x v="289"/>
    </i>
    <i r="1">
      <x v="290"/>
    </i>
    <i r="1">
      <x v="292"/>
    </i>
    <i r="1">
      <x v="293"/>
    </i>
    <i r="1">
      <x v="295"/>
    </i>
    <i r="1">
      <x v="307"/>
    </i>
    <i r="1">
      <x v="308"/>
    </i>
    <i r="1">
      <x v="314"/>
    </i>
    <i r="1">
      <x v="315"/>
    </i>
    <i r="1">
      <x v="316"/>
    </i>
    <i r="1">
      <x v="317"/>
    </i>
    <i r="1">
      <x v="323"/>
    </i>
    <i r="1">
      <x v="324"/>
    </i>
    <i r="1">
      <x v="325"/>
    </i>
    <i r="1">
      <x v="327"/>
    </i>
    <i r="1">
      <x v="328"/>
    </i>
    <i r="1">
      <x v="329"/>
    </i>
    <i r="1">
      <x v="332"/>
    </i>
    <i r="1">
      <x v="333"/>
    </i>
    <i r="1">
      <x v="338"/>
    </i>
    <i r="1">
      <x v="347"/>
    </i>
    <i r="1">
      <x v="354"/>
    </i>
    <i r="1">
      <x v="357"/>
    </i>
    <i r="1">
      <x v="369"/>
    </i>
    <i r="1">
      <x v="374"/>
    </i>
    <i r="1">
      <x v="389"/>
    </i>
    <i r="1">
      <x v="393"/>
    </i>
    <i r="1">
      <x v="398"/>
    </i>
    <i r="1">
      <x v="399"/>
    </i>
    <i r="1">
      <x v="414"/>
    </i>
    <i r="1">
      <x v="415"/>
    </i>
    <i r="1">
      <x v="417"/>
    </i>
    <i r="1">
      <x v="426"/>
    </i>
    <i r="1">
      <x v="429"/>
    </i>
    <i r="1">
      <x v="431"/>
    </i>
    <i r="1">
      <x v="433"/>
    </i>
    <i r="1">
      <x v="438"/>
    </i>
    <i r="1">
      <x v="459"/>
    </i>
    <i r="1">
      <x v="464"/>
    </i>
    <i r="1">
      <x v="468"/>
    </i>
    <i r="1">
      <x v="484"/>
    </i>
    <i r="1">
      <x v="491"/>
    </i>
    <i r="1">
      <x v="494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účet z Trzba" fld="12" baseField="0" baseItem="0" numFmtId="165"/>
    <dataField name="Súčet z Zisk" fld="14" baseField="0" baseItem="0" numFmtId="165"/>
    <dataField name="Marza_pr%" fld="22" baseField="1" baseItem="1" numFmtId="9"/>
  </dataFields>
  <formats count="12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18" type="button" dataOnly="0" labelOnly="1" outline="0"/>
    </format>
    <format dxfId="50">
      <pivotArea dataOnly="0" labelOnly="1" grandRow="1" outline="0" fieldPosition="0"/>
    </format>
    <format dxfId="49">
      <pivotArea dataOnly="0" labelOnly="1" outline="0" axis="axisValues" fieldPosition="0"/>
    </format>
    <format dxfId="48">
      <pivotArea dataOnly="0" labelOnly="1" grandRow="1" outline="0" fieldPosition="0"/>
    </format>
    <format dxfId="47">
      <pivotArea grandRow="1" outline="0" collapsedLevelsAreSubtotals="1" fieldPosition="0"/>
    </format>
    <format dxfId="46">
      <pivotArea collapsedLevelsAreSubtotals="1" fieldPosition="0">
        <references count="1">
          <reference field="6" count="0"/>
        </references>
      </pivotArea>
    </format>
    <format dxfId="45">
      <pivotArea outline="0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44">
      <pivotArea outline="0" fieldPosition="0">
        <references count="2">
          <reference field="1" count="114" selected="0">
            <x v="0"/>
            <x v="8"/>
            <x v="12"/>
            <x v="18"/>
            <x v="19"/>
            <x v="27"/>
            <x v="35"/>
            <x v="36"/>
            <x v="44"/>
            <x v="47"/>
            <x v="53"/>
            <x v="55"/>
            <x v="63"/>
            <x v="67"/>
            <x v="68"/>
            <x v="71"/>
            <x v="74"/>
            <x v="79"/>
            <x v="82"/>
            <x v="83"/>
            <x v="88"/>
            <x v="91"/>
            <x v="93"/>
            <x v="95"/>
            <x v="96"/>
            <x v="99"/>
            <x v="103"/>
            <x v="105"/>
            <x v="117"/>
            <x v="120"/>
            <x v="122"/>
            <x v="134"/>
            <x v="136"/>
            <x v="140"/>
            <x v="142"/>
            <x v="145"/>
            <x v="149"/>
            <x v="161"/>
            <x v="164"/>
            <x v="177"/>
            <x v="179"/>
            <x v="180"/>
            <x v="186"/>
            <x v="190"/>
            <x v="192"/>
            <x v="202"/>
            <x v="204"/>
            <x v="210"/>
            <x v="211"/>
            <x v="214"/>
            <x v="224"/>
            <x v="226"/>
            <x v="227"/>
            <x v="228"/>
            <x v="229"/>
            <x v="230"/>
            <x v="241"/>
            <x v="242"/>
            <x v="243"/>
            <x v="247"/>
            <x v="256"/>
            <x v="260"/>
            <x v="263"/>
            <x v="265"/>
            <x v="267"/>
            <x v="268"/>
            <x v="269"/>
            <x v="274"/>
            <x v="281"/>
            <x v="282"/>
            <x v="286"/>
            <x v="289"/>
            <x v="290"/>
            <x v="292"/>
            <x v="293"/>
            <x v="295"/>
            <x v="307"/>
            <x v="308"/>
            <x v="314"/>
            <x v="315"/>
            <x v="316"/>
            <x v="317"/>
            <x v="323"/>
            <x v="324"/>
            <x v="325"/>
            <x v="327"/>
            <x v="328"/>
            <x v="329"/>
            <x v="332"/>
            <x v="333"/>
            <x v="338"/>
            <x v="347"/>
            <x v="354"/>
            <x v="357"/>
            <x v="369"/>
            <x v="374"/>
            <x v="389"/>
            <x v="393"/>
            <x v="398"/>
            <x v="399"/>
            <x v="414"/>
            <x v="415"/>
            <x v="417"/>
            <x v="426"/>
            <x v="429"/>
            <x v="431"/>
            <x v="433"/>
            <x v="438"/>
            <x v="459"/>
            <x v="464"/>
            <x v="468"/>
            <x v="484"/>
            <x v="491"/>
            <x v="494"/>
          </reference>
          <reference field="6" count="1" selected="0">
            <x v="3"/>
          </reference>
        </references>
      </pivotArea>
    </format>
    <format dxfId="43">
      <pivotArea outline="0" fieldPosition="0">
        <references count="1">
          <reference field="4294967294" count="1" selected="0">
            <x v="2"/>
          </reference>
        </references>
      </pivotArea>
    </format>
    <format dxfId="42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C5F3E-96C4-42F4-B7F5-D13756C520D2}" name="Vyvoj_marze_mesiace" cacheId="1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48">
  <location ref="I54:J67" firstHeaderRow="1" firstDataRow="1" firstDataCol="1"/>
  <pivotFields count="23">
    <pivotField numFmtId="14" showAll="0">
      <items count="388">
        <item x="365"/>
        <item x="327"/>
        <item x="112"/>
        <item x="246"/>
        <item x="219"/>
        <item x="131"/>
        <item x="305"/>
        <item x="113"/>
        <item x="272"/>
        <item x="366"/>
        <item x="80"/>
        <item x="132"/>
        <item x="256"/>
        <item x="24"/>
        <item x="339"/>
        <item x="0"/>
        <item x="100"/>
        <item x="91"/>
        <item x="212"/>
        <item x="203"/>
        <item x="220"/>
        <item x="147"/>
        <item x="257"/>
        <item x="190"/>
        <item x="163"/>
        <item x="221"/>
        <item x="133"/>
        <item x="114"/>
        <item x="39"/>
        <item x="1"/>
        <item x="92"/>
        <item x="236"/>
        <item x="355"/>
        <item x="148"/>
        <item x="247"/>
        <item x="311"/>
        <item x="178"/>
        <item x="74"/>
        <item x="340"/>
        <item x="17"/>
        <item x="101"/>
        <item x="149"/>
        <item x="134"/>
        <item x="237"/>
        <item x="248"/>
        <item x="40"/>
        <item x="367"/>
        <item x="25"/>
        <item x="57"/>
        <item x="368"/>
        <item x="191"/>
        <item x="179"/>
        <item x="102"/>
        <item x="192"/>
        <item x="41"/>
        <item x="81"/>
        <item x="319"/>
        <item x="2"/>
        <item x="82"/>
        <item x="356"/>
        <item x="312"/>
        <item x="290"/>
        <item x="193"/>
        <item x="341"/>
        <item x="213"/>
        <item x="83"/>
        <item x="103"/>
        <item x="342"/>
        <item x="258"/>
        <item x="104"/>
        <item x="328"/>
        <item x="306"/>
        <item x="115"/>
        <item x="369"/>
        <item x="180"/>
        <item x="150"/>
        <item x="343"/>
        <item x="135"/>
        <item x="307"/>
        <item x="42"/>
        <item x="329"/>
        <item x="3"/>
        <item x="204"/>
        <item x="291"/>
        <item x="151"/>
        <item x="136"/>
        <item x="152"/>
        <item x="238"/>
        <item x="320"/>
        <item x="239"/>
        <item x="279"/>
        <item x="357"/>
        <item x="313"/>
        <item x="194"/>
        <item x="205"/>
        <item x="84"/>
        <item x="164"/>
        <item x="292"/>
        <item x="181"/>
        <item x="214"/>
        <item x="182"/>
        <item x="183"/>
        <item x="195"/>
        <item x="330"/>
        <item x="153"/>
        <item x="240"/>
        <item x="381"/>
        <item x="222"/>
        <item x="58"/>
        <item x="184"/>
        <item x="382"/>
        <item x="4"/>
        <item x="215"/>
        <item x="331"/>
        <item x="59"/>
        <item x="332"/>
        <item x="259"/>
        <item x="93"/>
        <item x="273"/>
        <item x="137"/>
        <item x="60"/>
        <item x="223"/>
        <item x="344"/>
        <item x="43"/>
        <item x="154"/>
        <item x="370"/>
        <item x="5"/>
        <item x="6"/>
        <item x="105"/>
        <item x="106"/>
        <item x="138"/>
        <item x="293"/>
        <item x="139"/>
        <item x="155"/>
        <item x="206"/>
        <item x="85"/>
        <item x="371"/>
        <item x="185"/>
        <item x="165"/>
        <item x="26"/>
        <item x="116"/>
        <item x="372"/>
        <item x="260"/>
        <item x="18"/>
        <item x="308"/>
        <item x="261"/>
        <item x="333"/>
        <item x="44"/>
        <item x="280"/>
        <item x="166"/>
        <item x="61"/>
        <item x="19"/>
        <item x="345"/>
        <item x="186"/>
        <item x="156"/>
        <item x="62"/>
        <item x="45"/>
        <item x="281"/>
        <item x="117"/>
        <item x="321"/>
        <item x="46"/>
        <item x="27"/>
        <item x="167"/>
        <item x="140"/>
        <item x="207"/>
        <item x="249"/>
        <item x="7"/>
        <item x="63"/>
        <item x="196"/>
        <item x="224"/>
        <item x="346"/>
        <item x="383"/>
        <item x="373"/>
        <item x="64"/>
        <item x="28"/>
        <item x="334"/>
        <item x="187"/>
        <item x="225"/>
        <item x="86"/>
        <item x="262"/>
        <item x="65"/>
        <item x="75"/>
        <item x="384"/>
        <item x="347"/>
        <item x="118"/>
        <item x="20"/>
        <item x="335"/>
        <item x="29"/>
        <item x="294"/>
        <item x="263"/>
        <item x="87"/>
        <item x="274"/>
        <item x="226"/>
        <item x="107"/>
        <item x="227"/>
        <item x="374"/>
        <item x="264"/>
        <item x="66"/>
        <item x="141"/>
        <item x="250"/>
        <item x="142"/>
        <item x="197"/>
        <item x="275"/>
        <item x="198"/>
        <item x="336"/>
        <item x="322"/>
        <item x="76"/>
        <item x="88"/>
        <item x="168"/>
        <item x="199"/>
        <item x="251"/>
        <item x="282"/>
        <item x="157"/>
        <item x="295"/>
        <item x="296"/>
        <item x="265"/>
        <item x="348"/>
        <item x="47"/>
        <item x="48"/>
        <item x="49"/>
        <item x="358"/>
        <item x="50"/>
        <item x="158"/>
        <item x="359"/>
        <item x="375"/>
        <item x="283"/>
        <item x="349"/>
        <item x="143"/>
        <item x="350"/>
        <item x="119"/>
        <item x="208"/>
        <item x="89"/>
        <item x="108"/>
        <item x="266"/>
        <item x="314"/>
        <item x="51"/>
        <item x="376"/>
        <item x="360"/>
        <item x="30"/>
        <item x="159"/>
        <item x="8"/>
        <item x="284"/>
        <item x="377"/>
        <item x="378"/>
        <item x="379"/>
        <item x="209"/>
        <item x="120"/>
        <item x="216"/>
        <item x="67"/>
        <item x="323"/>
        <item x="200"/>
        <item x="385"/>
        <item x="315"/>
        <item x="386"/>
        <item x="380"/>
        <item x="309"/>
        <item x="9"/>
        <item x="297"/>
        <item x="361"/>
        <item x="324"/>
        <item x="285"/>
        <item x="68"/>
        <item x="286"/>
        <item x="351"/>
        <item x="94"/>
        <item x="121"/>
        <item x="95"/>
        <item x="10"/>
        <item x="252"/>
        <item x="122"/>
        <item x="298"/>
        <item x="123"/>
        <item x="77"/>
        <item x="228"/>
        <item x="188"/>
        <item x="11"/>
        <item x="337"/>
        <item x="124"/>
        <item x="201"/>
        <item x="21"/>
        <item x="316"/>
        <item x="169"/>
        <item x="22"/>
        <item x="31"/>
        <item x="160"/>
        <item x="52"/>
        <item x="241"/>
        <item x="78"/>
        <item x="12"/>
        <item x="161"/>
        <item x="267"/>
        <item x="242"/>
        <item x="253"/>
        <item x="162"/>
        <item x="23"/>
        <item x="287"/>
        <item x="229"/>
        <item x="299"/>
        <item x="230"/>
        <item x="32"/>
        <item x="170"/>
        <item x="317"/>
        <item x="276"/>
        <item x="231"/>
        <item x="53"/>
        <item x="96"/>
        <item x="325"/>
        <item x="90"/>
        <item x="33"/>
        <item x="109"/>
        <item x="310"/>
        <item x="232"/>
        <item x="288"/>
        <item x="144"/>
        <item x="171"/>
        <item x="268"/>
        <item x="97"/>
        <item x="54"/>
        <item x="98"/>
        <item x="277"/>
        <item x="352"/>
        <item x="79"/>
        <item x="269"/>
        <item x="300"/>
        <item x="172"/>
        <item x="301"/>
        <item x="69"/>
        <item x="210"/>
        <item x="34"/>
        <item x="243"/>
        <item x="70"/>
        <item x="353"/>
        <item x="233"/>
        <item x="362"/>
        <item x="173"/>
        <item x="289"/>
        <item x="244"/>
        <item x="202"/>
        <item x="125"/>
        <item x="217"/>
        <item x="270"/>
        <item x="254"/>
        <item x="318"/>
        <item x="55"/>
        <item x="174"/>
        <item x="211"/>
        <item x="234"/>
        <item x="13"/>
        <item x="145"/>
        <item x="126"/>
        <item x="56"/>
        <item x="218"/>
        <item x="271"/>
        <item x="14"/>
        <item x="326"/>
        <item x="245"/>
        <item x="15"/>
        <item x="35"/>
        <item x="189"/>
        <item x="278"/>
        <item x="71"/>
        <item x="363"/>
        <item x="175"/>
        <item x="176"/>
        <item x="110"/>
        <item x="36"/>
        <item x="127"/>
        <item x="99"/>
        <item x="128"/>
        <item x="16"/>
        <item x="72"/>
        <item x="146"/>
        <item x="177"/>
        <item x="338"/>
        <item x="129"/>
        <item x="354"/>
        <item x="255"/>
        <item x="302"/>
        <item x="73"/>
        <item x="303"/>
        <item x="130"/>
        <item x="304"/>
        <item x="37"/>
        <item x="364"/>
        <item x="235"/>
        <item x="38"/>
        <item x="1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>
      <items count="4">
        <item x="0"/>
        <item x="1"/>
        <item x="2"/>
        <item t="default"/>
      </items>
    </pivotField>
    <pivotField axis="axisRow" showAll="0">
      <items count="13">
        <item x="6"/>
        <item x="0"/>
        <item x="1"/>
        <item x="9"/>
        <item x="2"/>
        <item x="7"/>
        <item x="11"/>
        <item x="3"/>
        <item x="8"/>
        <item x="4"/>
        <item x="5"/>
        <item x="1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ataField="1" dragToRow="0" dragToCol="0" dragToPage="0" showAll="0" defaultSubtotal="0"/>
    <pivotField dragToRow="0" dragToCol="0" dragToPage="0" showAll="0" defaultSubtotal="0"/>
  </pivotFields>
  <rowFields count="1">
    <field x="1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účet z Marza" fld="21" baseField="0" baseItem="0"/>
  </dataFields>
  <formats count="9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18" type="button" dataOnly="0" labelOnly="1" outline="0"/>
    </format>
    <format dxfId="59">
      <pivotArea dataOnly="0" labelOnly="1" grandRow="1" outline="0" fieldPosition="0"/>
    </format>
    <format dxfId="58">
      <pivotArea dataOnly="0" labelOnly="1" outline="0" axis="axisValues" fieldPosition="0"/>
    </format>
    <format dxfId="57">
      <pivotArea dataOnly="0" labelOnly="1" grandRow="1" outline="0" fieldPosition="0"/>
    </format>
    <format dxfId="56">
      <pivotArea collapsedLevelsAreSubtotals="1" fieldPosition="0">
        <references count="1">
          <reference field="17" count="0"/>
        </references>
      </pivotArea>
    </format>
    <format dxfId="55">
      <pivotArea collapsedLevelsAreSubtotals="1" fieldPosition="0">
        <references count="2">
          <reference field="4294967294" count="1" selected="0">
            <x v="0"/>
          </reference>
          <reference field="17" count="0"/>
        </references>
      </pivotArea>
    </format>
    <format dxfId="54">
      <pivotArea grandRow="1" outline="0" collapsedLevelsAreSubtotals="1" fieldPosition="0"/>
    </format>
  </formats>
  <chartFormats count="3"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C83CD-E8B9-4915-980C-C29BF90CE9E4}" name="Predaj_mesiace" cacheId="1" applyNumberFormats="0" applyBorderFormats="0" applyFontFormats="0" applyPatternFormats="0" applyAlignmentFormats="0" applyWidthHeightFormats="1" dataCaption="Hodnoty" updatedVersion="8" minRefreshableVersion="3" itemPrintTitles="1" createdVersion="8" indent="0" outline="1" outlineData="1" multipleFieldFilters="0" chartFormat="5">
  <location ref="I37:J50" firstHeaderRow="1" firstDataRow="1" firstDataCol="1"/>
  <pivotFields count="23">
    <pivotField numFmtId="14" showAll="0">
      <items count="388">
        <item x="365"/>
        <item x="327"/>
        <item x="112"/>
        <item x="246"/>
        <item x="219"/>
        <item x="131"/>
        <item x="305"/>
        <item x="113"/>
        <item x="272"/>
        <item x="366"/>
        <item x="80"/>
        <item x="132"/>
        <item x="256"/>
        <item x="24"/>
        <item x="339"/>
        <item x="0"/>
        <item x="100"/>
        <item x="91"/>
        <item x="212"/>
        <item x="203"/>
        <item x="220"/>
        <item x="147"/>
        <item x="257"/>
        <item x="190"/>
        <item x="163"/>
        <item x="221"/>
        <item x="133"/>
        <item x="114"/>
        <item x="39"/>
        <item x="1"/>
        <item x="92"/>
        <item x="236"/>
        <item x="355"/>
        <item x="148"/>
        <item x="247"/>
        <item x="311"/>
        <item x="178"/>
        <item x="74"/>
        <item x="340"/>
        <item x="17"/>
        <item x="101"/>
        <item x="149"/>
        <item x="134"/>
        <item x="237"/>
        <item x="248"/>
        <item x="40"/>
        <item x="367"/>
        <item x="25"/>
        <item x="57"/>
        <item x="368"/>
        <item x="191"/>
        <item x="179"/>
        <item x="102"/>
        <item x="192"/>
        <item x="41"/>
        <item x="81"/>
        <item x="319"/>
        <item x="2"/>
        <item x="82"/>
        <item x="356"/>
        <item x="312"/>
        <item x="290"/>
        <item x="193"/>
        <item x="341"/>
        <item x="213"/>
        <item x="83"/>
        <item x="103"/>
        <item x="342"/>
        <item x="258"/>
        <item x="104"/>
        <item x="328"/>
        <item x="306"/>
        <item x="115"/>
        <item x="369"/>
        <item x="180"/>
        <item x="150"/>
        <item x="343"/>
        <item x="135"/>
        <item x="307"/>
        <item x="42"/>
        <item x="329"/>
        <item x="3"/>
        <item x="204"/>
        <item x="291"/>
        <item x="151"/>
        <item x="136"/>
        <item x="152"/>
        <item x="238"/>
        <item x="320"/>
        <item x="239"/>
        <item x="279"/>
        <item x="357"/>
        <item x="313"/>
        <item x="194"/>
        <item x="205"/>
        <item x="84"/>
        <item x="164"/>
        <item x="292"/>
        <item x="181"/>
        <item x="214"/>
        <item x="182"/>
        <item x="183"/>
        <item x="195"/>
        <item x="330"/>
        <item x="153"/>
        <item x="240"/>
        <item x="381"/>
        <item x="222"/>
        <item x="58"/>
        <item x="184"/>
        <item x="382"/>
        <item x="4"/>
        <item x="215"/>
        <item x="331"/>
        <item x="59"/>
        <item x="332"/>
        <item x="259"/>
        <item x="93"/>
        <item x="273"/>
        <item x="137"/>
        <item x="60"/>
        <item x="223"/>
        <item x="344"/>
        <item x="43"/>
        <item x="154"/>
        <item x="370"/>
        <item x="5"/>
        <item x="6"/>
        <item x="105"/>
        <item x="106"/>
        <item x="138"/>
        <item x="293"/>
        <item x="139"/>
        <item x="155"/>
        <item x="206"/>
        <item x="85"/>
        <item x="371"/>
        <item x="185"/>
        <item x="165"/>
        <item x="26"/>
        <item x="116"/>
        <item x="372"/>
        <item x="260"/>
        <item x="18"/>
        <item x="308"/>
        <item x="261"/>
        <item x="333"/>
        <item x="44"/>
        <item x="280"/>
        <item x="166"/>
        <item x="61"/>
        <item x="19"/>
        <item x="345"/>
        <item x="186"/>
        <item x="156"/>
        <item x="62"/>
        <item x="45"/>
        <item x="281"/>
        <item x="117"/>
        <item x="321"/>
        <item x="46"/>
        <item x="27"/>
        <item x="167"/>
        <item x="140"/>
        <item x="207"/>
        <item x="249"/>
        <item x="7"/>
        <item x="63"/>
        <item x="196"/>
        <item x="224"/>
        <item x="346"/>
        <item x="383"/>
        <item x="373"/>
        <item x="64"/>
        <item x="28"/>
        <item x="334"/>
        <item x="187"/>
        <item x="225"/>
        <item x="86"/>
        <item x="262"/>
        <item x="65"/>
        <item x="75"/>
        <item x="384"/>
        <item x="347"/>
        <item x="118"/>
        <item x="20"/>
        <item x="335"/>
        <item x="29"/>
        <item x="294"/>
        <item x="263"/>
        <item x="87"/>
        <item x="274"/>
        <item x="226"/>
        <item x="107"/>
        <item x="227"/>
        <item x="374"/>
        <item x="264"/>
        <item x="66"/>
        <item x="141"/>
        <item x="250"/>
        <item x="142"/>
        <item x="197"/>
        <item x="275"/>
        <item x="198"/>
        <item x="336"/>
        <item x="322"/>
        <item x="76"/>
        <item x="88"/>
        <item x="168"/>
        <item x="199"/>
        <item x="251"/>
        <item x="282"/>
        <item x="157"/>
        <item x="295"/>
        <item x="296"/>
        <item x="265"/>
        <item x="348"/>
        <item x="47"/>
        <item x="48"/>
        <item x="49"/>
        <item x="358"/>
        <item x="50"/>
        <item x="158"/>
        <item x="359"/>
        <item x="375"/>
        <item x="283"/>
        <item x="349"/>
        <item x="143"/>
        <item x="350"/>
        <item x="119"/>
        <item x="208"/>
        <item x="89"/>
        <item x="108"/>
        <item x="266"/>
        <item x="314"/>
        <item x="51"/>
        <item x="376"/>
        <item x="360"/>
        <item x="30"/>
        <item x="159"/>
        <item x="8"/>
        <item x="284"/>
        <item x="377"/>
        <item x="378"/>
        <item x="379"/>
        <item x="209"/>
        <item x="120"/>
        <item x="216"/>
        <item x="67"/>
        <item x="323"/>
        <item x="200"/>
        <item x="385"/>
        <item x="315"/>
        <item x="386"/>
        <item x="380"/>
        <item x="309"/>
        <item x="9"/>
        <item x="297"/>
        <item x="361"/>
        <item x="324"/>
        <item x="285"/>
        <item x="68"/>
        <item x="286"/>
        <item x="351"/>
        <item x="94"/>
        <item x="121"/>
        <item x="95"/>
        <item x="10"/>
        <item x="252"/>
        <item x="122"/>
        <item x="298"/>
        <item x="123"/>
        <item x="77"/>
        <item x="228"/>
        <item x="188"/>
        <item x="11"/>
        <item x="337"/>
        <item x="124"/>
        <item x="201"/>
        <item x="21"/>
        <item x="316"/>
        <item x="169"/>
        <item x="22"/>
        <item x="31"/>
        <item x="160"/>
        <item x="52"/>
        <item x="241"/>
        <item x="78"/>
        <item x="12"/>
        <item x="161"/>
        <item x="267"/>
        <item x="242"/>
        <item x="253"/>
        <item x="162"/>
        <item x="23"/>
        <item x="287"/>
        <item x="229"/>
        <item x="299"/>
        <item x="230"/>
        <item x="32"/>
        <item x="170"/>
        <item x="317"/>
        <item x="276"/>
        <item x="231"/>
        <item x="53"/>
        <item x="96"/>
        <item x="325"/>
        <item x="90"/>
        <item x="33"/>
        <item x="109"/>
        <item x="310"/>
        <item x="232"/>
        <item x="288"/>
        <item x="144"/>
        <item x="171"/>
        <item x="268"/>
        <item x="97"/>
        <item x="54"/>
        <item x="98"/>
        <item x="277"/>
        <item x="352"/>
        <item x="79"/>
        <item x="269"/>
        <item x="300"/>
        <item x="172"/>
        <item x="301"/>
        <item x="69"/>
        <item x="210"/>
        <item x="34"/>
        <item x="243"/>
        <item x="70"/>
        <item x="353"/>
        <item x="233"/>
        <item x="362"/>
        <item x="173"/>
        <item x="289"/>
        <item x="244"/>
        <item x="202"/>
        <item x="125"/>
        <item x="217"/>
        <item x="270"/>
        <item x="254"/>
        <item x="318"/>
        <item x="55"/>
        <item x="174"/>
        <item x="211"/>
        <item x="234"/>
        <item x="13"/>
        <item x="145"/>
        <item x="126"/>
        <item x="56"/>
        <item x="218"/>
        <item x="271"/>
        <item x="14"/>
        <item x="326"/>
        <item x="245"/>
        <item x="15"/>
        <item x="35"/>
        <item x="189"/>
        <item x="278"/>
        <item x="71"/>
        <item x="363"/>
        <item x="175"/>
        <item x="176"/>
        <item x="110"/>
        <item x="36"/>
        <item x="127"/>
        <item x="99"/>
        <item x="128"/>
        <item x="16"/>
        <item x="72"/>
        <item x="146"/>
        <item x="177"/>
        <item x="338"/>
        <item x="129"/>
        <item x="354"/>
        <item x="255"/>
        <item x="302"/>
        <item x="73"/>
        <item x="303"/>
        <item x="130"/>
        <item x="304"/>
        <item x="37"/>
        <item x="364"/>
        <item x="235"/>
        <item x="38"/>
        <item x="1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9" showAll="0"/>
    <pivotField showAll="0">
      <items count="4">
        <item x="0"/>
        <item x="1"/>
        <item x="2"/>
        <item t="default"/>
      </items>
    </pivotField>
    <pivotField axis="axisRow" showAll="0">
      <items count="13">
        <item x="6"/>
        <item x="0"/>
        <item x="1"/>
        <item x="9"/>
        <item x="2"/>
        <item x="7"/>
        <item x="11"/>
        <item x="3"/>
        <item x="8"/>
        <item x="4"/>
        <item x="5"/>
        <item x="1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účet z Trzba" fld="12" baseField="0" baseItem="0"/>
  </dataFields>
  <formats count="8"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18" type="button" dataOnly="0" labelOnly="1" outline="0"/>
    </format>
    <format dxfId="67">
      <pivotArea dataOnly="0" labelOnly="1" grandRow="1" outline="0" fieldPosition="0"/>
    </format>
    <format dxfId="66">
      <pivotArea dataOnly="0" labelOnly="1" outline="0" axis="axisValues" fieldPosition="0"/>
    </format>
    <format dxfId="65">
      <pivotArea dataOnly="0" labelOnly="1" grandRow="1" outline="0" fieldPosition="0"/>
    </format>
    <format dxfId="64">
      <pivotArea grandRow="1" outline="0" collapsedLevelsAreSubtotals="1" fieldPosition="0"/>
    </format>
    <format dxfId="63">
      <pivotArea collapsedLevelsAreSubtotals="1" fieldPosition="0">
        <references count="1">
          <reference field="17" count="0"/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C7F173-9C2A-49BB-9846-2C9D5F8EB71E}" name="Kontingenčná tabuľka3" cacheId="1" applyNumberFormats="0" applyBorderFormats="0" applyFontFormats="0" applyPatternFormats="0" applyAlignmentFormats="0" applyWidthHeightFormats="1" dataCaption="Hodnoty" updatedVersion="8" minRefreshableVersion="3" itemPrintTitles="1" createdVersion="8" indent="0" compact="0" compactData="0" multipleFieldFilters="0" chartFormat="32">
  <location ref="A44:B49" firstHeaderRow="1" firstDataRow="1" firstDataCol="1"/>
  <pivotFields count="23">
    <pivotField compact="0" numFmtId="14" outline="0" showAll="0">
      <items count="388">
        <item x="365"/>
        <item x="327"/>
        <item x="112"/>
        <item x="246"/>
        <item x="219"/>
        <item x="131"/>
        <item x="305"/>
        <item x="113"/>
        <item x="272"/>
        <item x="366"/>
        <item x="80"/>
        <item x="132"/>
        <item x="256"/>
        <item x="24"/>
        <item x="339"/>
        <item x="0"/>
        <item x="100"/>
        <item x="91"/>
        <item x="212"/>
        <item x="203"/>
        <item x="220"/>
        <item x="147"/>
        <item x="257"/>
        <item x="190"/>
        <item x="163"/>
        <item x="221"/>
        <item x="133"/>
        <item x="114"/>
        <item x="39"/>
        <item x="1"/>
        <item x="92"/>
        <item x="236"/>
        <item x="355"/>
        <item x="148"/>
        <item x="247"/>
        <item x="311"/>
        <item x="178"/>
        <item x="74"/>
        <item x="340"/>
        <item x="17"/>
        <item x="101"/>
        <item x="149"/>
        <item x="134"/>
        <item x="237"/>
        <item x="248"/>
        <item x="40"/>
        <item x="367"/>
        <item x="25"/>
        <item x="57"/>
        <item x="368"/>
        <item x="191"/>
        <item x="179"/>
        <item x="102"/>
        <item x="192"/>
        <item x="41"/>
        <item x="81"/>
        <item x="319"/>
        <item x="2"/>
        <item x="82"/>
        <item x="356"/>
        <item x="312"/>
        <item x="290"/>
        <item x="193"/>
        <item x="341"/>
        <item x="213"/>
        <item x="83"/>
        <item x="103"/>
        <item x="342"/>
        <item x="258"/>
        <item x="104"/>
        <item x="328"/>
        <item x="306"/>
        <item x="115"/>
        <item x="369"/>
        <item x="180"/>
        <item x="150"/>
        <item x="343"/>
        <item x="135"/>
        <item x="307"/>
        <item x="42"/>
        <item x="329"/>
        <item x="3"/>
        <item x="204"/>
        <item x="291"/>
        <item x="151"/>
        <item x="136"/>
        <item x="152"/>
        <item x="238"/>
        <item x="320"/>
        <item x="239"/>
        <item x="279"/>
        <item x="357"/>
        <item x="313"/>
        <item x="194"/>
        <item x="205"/>
        <item x="84"/>
        <item x="164"/>
        <item x="292"/>
        <item x="181"/>
        <item x="214"/>
        <item x="182"/>
        <item x="183"/>
        <item x="195"/>
        <item x="330"/>
        <item x="153"/>
        <item x="240"/>
        <item x="381"/>
        <item x="222"/>
        <item x="58"/>
        <item x="184"/>
        <item x="382"/>
        <item x="4"/>
        <item x="215"/>
        <item x="331"/>
        <item x="59"/>
        <item x="332"/>
        <item x="259"/>
        <item x="93"/>
        <item x="273"/>
        <item x="137"/>
        <item x="60"/>
        <item x="223"/>
        <item x="344"/>
        <item x="43"/>
        <item x="154"/>
        <item x="370"/>
        <item x="5"/>
        <item x="6"/>
        <item x="105"/>
        <item x="106"/>
        <item x="138"/>
        <item x="293"/>
        <item x="139"/>
        <item x="155"/>
        <item x="206"/>
        <item x="85"/>
        <item x="371"/>
        <item x="185"/>
        <item x="165"/>
        <item x="26"/>
        <item x="116"/>
        <item x="372"/>
        <item x="260"/>
        <item x="18"/>
        <item x="308"/>
        <item x="261"/>
        <item x="333"/>
        <item x="44"/>
        <item x="280"/>
        <item x="166"/>
        <item x="61"/>
        <item x="19"/>
        <item x="345"/>
        <item x="186"/>
        <item x="156"/>
        <item x="62"/>
        <item x="45"/>
        <item x="281"/>
        <item x="117"/>
        <item x="321"/>
        <item x="46"/>
        <item x="27"/>
        <item x="167"/>
        <item x="140"/>
        <item x="207"/>
        <item x="249"/>
        <item x="7"/>
        <item x="63"/>
        <item x="196"/>
        <item x="224"/>
        <item x="346"/>
        <item x="383"/>
        <item x="373"/>
        <item x="64"/>
        <item x="28"/>
        <item x="334"/>
        <item x="187"/>
        <item x="225"/>
        <item x="86"/>
        <item x="262"/>
        <item x="65"/>
        <item x="75"/>
        <item x="384"/>
        <item x="347"/>
        <item x="118"/>
        <item x="20"/>
        <item x="335"/>
        <item x="29"/>
        <item x="294"/>
        <item x="263"/>
        <item x="87"/>
        <item x="274"/>
        <item x="226"/>
        <item x="107"/>
        <item x="227"/>
        <item x="374"/>
        <item x="264"/>
        <item x="66"/>
        <item x="141"/>
        <item x="250"/>
        <item x="142"/>
        <item x="197"/>
        <item x="275"/>
        <item x="198"/>
        <item x="336"/>
        <item x="322"/>
        <item x="76"/>
        <item x="88"/>
        <item x="168"/>
        <item x="199"/>
        <item x="251"/>
        <item x="282"/>
        <item x="157"/>
        <item x="295"/>
        <item x="296"/>
        <item x="265"/>
        <item x="348"/>
        <item x="47"/>
        <item x="48"/>
        <item x="49"/>
        <item x="358"/>
        <item x="50"/>
        <item x="158"/>
        <item x="359"/>
        <item x="375"/>
        <item x="283"/>
        <item x="349"/>
        <item x="143"/>
        <item x="350"/>
        <item x="119"/>
        <item x="208"/>
        <item x="89"/>
        <item x="108"/>
        <item x="266"/>
        <item x="314"/>
        <item x="51"/>
        <item x="376"/>
        <item x="360"/>
        <item x="30"/>
        <item x="159"/>
        <item x="8"/>
        <item x="284"/>
        <item x="377"/>
        <item x="378"/>
        <item x="379"/>
        <item x="209"/>
        <item x="120"/>
        <item x="216"/>
        <item x="67"/>
        <item x="323"/>
        <item x="200"/>
        <item x="385"/>
        <item x="315"/>
        <item x="386"/>
        <item x="380"/>
        <item x="309"/>
        <item x="9"/>
        <item x="297"/>
        <item x="361"/>
        <item x="324"/>
        <item x="285"/>
        <item x="68"/>
        <item x="286"/>
        <item x="351"/>
        <item x="94"/>
        <item x="121"/>
        <item x="95"/>
        <item x="10"/>
        <item x="252"/>
        <item x="122"/>
        <item x="298"/>
        <item x="123"/>
        <item x="77"/>
        <item x="228"/>
        <item x="188"/>
        <item x="11"/>
        <item x="337"/>
        <item x="124"/>
        <item x="201"/>
        <item x="21"/>
        <item x="316"/>
        <item x="169"/>
        <item x="22"/>
        <item x="31"/>
        <item x="160"/>
        <item x="52"/>
        <item x="241"/>
        <item x="78"/>
        <item x="12"/>
        <item x="161"/>
        <item x="267"/>
        <item x="242"/>
        <item x="253"/>
        <item x="162"/>
        <item x="23"/>
        <item x="287"/>
        <item x="229"/>
        <item x="299"/>
        <item x="230"/>
        <item x="32"/>
        <item x="170"/>
        <item x="317"/>
        <item x="276"/>
        <item x="231"/>
        <item x="53"/>
        <item x="96"/>
        <item x="325"/>
        <item x="90"/>
        <item x="33"/>
        <item x="109"/>
        <item x="310"/>
        <item x="232"/>
        <item x="288"/>
        <item x="144"/>
        <item x="171"/>
        <item x="268"/>
        <item x="97"/>
        <item x="54"/>
        <item x="98"/>
        <item x="277"/>
        <item x="352"/>
        <item x="79"/>
        <item x="269"/>
        <item x="300"/>
        <item x="172"/>
        <item x="301"/>
        <item x="69"/>
        <item x="210"/>
        <item x="34"/>
        <item x="243"/>
        <item x="70"/>
        <item x="353"/>
        <item x="233"/>
        <item x="362"/>
        <item x="173"/>
        <item x="289"/>
        <item x="244"/>
        <item x="202"/>
        <item x="125"/>
        <item x="217"/>
        <item x="270"/>
        <item x="254"/>
        <item x="318"/>
        <item x="55"/>
        <item x="174"/>
        <item x="211"/>
        <item x="234"/>
        <item x="13"/>
        <item x="145"/>
        <item x="126"/>
        <item x="56"/>
        <item x="218"/>
        <item x="271"/>
        <item x="14"/>
        <item x="326"/>
        <item x="245"/>
        <item x="15"/>
        <item x="35"/>
        <item x="189"/>
        <item x="278"/>
        <item x="71"/>
        <item x="363"/>
        <item x="175"/>
        <item x="176"/>
        <item x="110"/>
        <item x="36"/>
        <item x="127"/>
        <item x="99"/>
        <item x="128"/>
        <item x="16"/>
        <item x="72"/>
        <item x="146"/>
        <item x="177"/>
        <item x="338"/>
        <item x="129"/>
        <item x="354"/>
        <item x="255"/>
        <item x="302"/>
        <item x="73"/>
        <item x="303"/>
        <item x="130"/>
        <item x="304"/>
        <item x="37"/>
        <item x="364"/>
        <item x="235"/>
        <item x="38"/>
        <item x="1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</pivotField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rza %" fld="21" baseField="6" baseItem="0"/>
  </dataFields>
  <formats count="10"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18" type="button" dataOnly="0" labelOnly="1" outline="0"/>
    </format>
    <format dxfId="77">
      <pivotArea dataOnly="0" labelOnly="1" grandRow="1" outline="0" fieldPosition="0"/>
    </format>
    <format dxfId="76">
      <pivotArea dataOnly="0" labelOnly="1" outline="0" axis="axisValues" fieldPosition="0"/>
    </format>
    <format dxfId="75">
      <pivotArea dataOnly="0" labelOnly="1" grandRow="1" outline="0" fieldPosition="0"/>
    </format>
    <format dxfId="74">
      <pivotArea grandRow="1" outline="0" collapsedLevelsAreSubtotals="1" fieldPosition="0"/>
    </format>
    <format dxfId="73">
      <pivotArea collapsedLevelsAreSubtotals="1" fieldPosition="0">
        <references count="1">
          <reference field="6" count="0"/>
        </references>
      </pivotArea>
    </format>
    <format dxfId="72">
      <pivotArea collapsedLevelsAreSubtotals="1" fieldPosition="0">
        <references count="2">
          <reference field="4294967294" count="1" selected="0">
            <x v="0"/>
          </reference>
          <reference field="6" count="0"/>
        </references>
      </pivotArea>
    </format>
    <format dxfId="71">
      <pivotArea field="6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Rýchly_filter_Rok" xr10:uid="{45934B54-15D5-4FDC-828B-A36D1A1E6A81}" sourceName="Rok">
  <pivotTables>
    <pivotTable tabId="5" name="Trzba"/>
    <pivotTable tabId="5" name="Kontingenčná tabuľka3"/>
    <pivotTable tabId="5" name="Kontingenčná tabuľka4"/>
    <pivotTable tabId="6" name="Trzba_segment"/>
    <pivotTable tabId="6" name="Trzba_kategorie"/>
    <pivotTable tabId="6" name="Trzba_podla_kanala"/>
    <pivotTable tabId="6" name="Kontingenčná tabuľka3"/>
    <pivotTable tabId="6" name="Kpi_obejdnavka"/>
    <pivotTable tabId="5" name="Marza%"/>
    <pivotTable tabId="6" name="Vyvoj_marze_trzby_zisku"/>
    <pivotTable tabId="6" name="Vyvoj_zisku_trzby_mesiace"/>
    <pivotTable tabId="6" name="Predaj_mesiace"/>
    <pivotTable tabId="6" name="Vyvoj_marze_mesiace"/>
  </pivotTables>
  <data>
    <tabular pivotCacheId="1464432605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Rýchly_filter_Mesiace__Datum" xr10:uid="{0707C7EE-B3DE-4439-B4C4-6AF1021A4C64}" sourceName="Mesiace (Datum)">
  <pivotTables>
    <pivotTable tabId="6" name="Trzba_segment"/>
    <pivotTable tabId="5" name="Kontingenčná tabuľka3"/>
    <pivotTable tabId="5" name="Kontingenčná tabuľka4"/>
    <pivotTable tabId="5" name="Trzba"/>
    <pivotTable tabId="6" name="Kontingenčná tabuľka3"/>
    <pivotTable tabId="6" name="Trzba_kategorie"/>
    <pivotTable tabId="6" name="Trzba_podla_kanala"/>
    <pivotTable tabId="6" name="Kpi_obejdnavka"/>
    <pivotTable tabId="5" name="Marza%"/>
    <pivotTable tabId="6" name="Vyvoj_marze_trzby_zisku"/>
    <pivotTable tabId="6" name="Vyvoj_zisku_trzby_mesiace"/>
    <pivotTable tabId="6" name="Predaj_mesiace"/>
    <pivotTable tabId="6" name="Vyvoj_marze_mesiace"/>
  </pivotTables>
  <data>
    <tabular pivotCacheId="1464432605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ok" xr10:uid="{7DF7BD11-DB88-41AB-8267-BB0A5E3EC160}" cache="Rýchly_filter_Rok" caption="Rok" columnCount="3" style="SlicerStyleLight6" rowHeight="234950"/>
  <slicer name="Mesiace (Datum)" xr10:uid="{3DE303A0-7FE5-4743-9CA3-6B1E7580C66C}" cache="Rýchly_filter_Mesiace__Datum" caption="Mesiace " style="SlicerStyleLight6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4A26A3-2FCF-430D-B71F-297A45AFB252}" name="Tabuľka4" displayName="Tabuľka4" ref="A3:R503" totalsRowShown="0">
  <autoFilter ref="A3:R503" xr:uid="{F74A26A3-2FCF-430D-B71F-297A45AFB252}"/>
  <tableColumns count="18">
    <tableColumn id="1" xr3:uid="{9451AC7E-B96D-4DC9-9837-FB8F7B1F3E25}" name="Datum" dataDxfId="0"/>
    <tableColumn id="2" xr3:uid="{1F20EA35-9D73-4FFB-8FC7-ADDB360F15D9}" name="ObjednavkaID"/>
    <tableColumn id="3" xr3:uid="{E9FED051-9A67-4902-A4AA-92F58A89AA5E}" name="Zakaznik"/>
    <tableColumn id="4" xr3:uid="{0DD87D18-3EAA-4AF3-932B-387F62696058}" name="Segment"/>
    <tableColumn id="5" xr3:uid="{048CF1C3-CAA5-4B12-9772-BFA2A2DACD7E}" name="Region"/>
    <tableColumn id="6" xr3:uid="{149A004D-5D65-4D2E-B32B-2BC615C5A6B6}" name="Kanal"/>
    <tableColumn id="7" xr3:uid="{E0F4A4EA-4F5E-4E6A-80D3-365754115D10}" name="Kategorie"/>
    <tableColumn id="8" xr3:uid="{14853267-516E-4707-AF67-34A81897AA19}" name="Produkt"/>
    <tableColumn id="9" xr3:uid="{BB1D2C3F-CB36-4F1D-968E-7A77B3A896E9}" name="Obchodnik"/>
    <tableColumn id="10" xr3:uid="{25AB2B94-92FF-4073-9D25-5CCC523AEFE8}" name="Mnozstvi"/>
    <tableColumn id="11" xr3:uid="{B6EC8F31-98E8-438E-A28D-080A1D914183}" name="JednCena"/>
    <tableColumn id="12" xr3:uid="{565C4A9A-76A9-47F8-BD30-267E141E35E4}" name="SlevaPct"/>
    <tableColumn id="13" xr3:uid="{E6F6D85B-1610-4E77-A273-2903BBF29773}" name="Trzba"/>
    <tableColumn id="14" xr3:uid="{054BD7ED-E4FA-45F4-B446-008DA1EA731F}" name="Naklad"/>
    <tableColumn id="15" xr3:uid="{348DB32D-A971-417C-A720-67A1F008A647}" name="Zisk"/>
    <tableColumn id="17" xr3:uid="{0A260987-F378-4B16-9F1E-EEF7084D9BA3}" name="Marža" dataCellStyle="Percentá">
      <calculatedColumnFormula>Tabuľka4[[#This Row],[Zisk]]/Tabuľka4[[#This Row],[Trzba]]</calculatedColumnFormula>
    </tableColumn>
    <tableColumn id="16" xr3:uid="{18E7228F-519D-4721-B0C3-A11D86BA416D}" name="Rok"/>
    <tableColumn id="19" xr3:uid="{74E8C088-A499-42BF-ADA3-99796D93AF81}" name="Mesiace">
      <calculatedColumnFormula>TEXT(Tabuľka4[[#This Row],[Datum]],"MMMM")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2.xml"/><Relationship Id="rId3" Type="http://schemas.openxmlformats.org/officeDocument/2006/relationships/pivotTable" Target="../pivotTables/pivotTable7.xml"/><Relationship Id="rId7" Type="http://schemas.openxmlformats.org/officeDocument/2006/relationships/pivotTable" Target="../pivotTables/pivotTable1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10" Type="http://schemas.openxmlformats.org/officeDocument/2006/relationships/drawing" Target="../drawings/drawing2.xml"/><Relationship Id="rId4" Type="http://schemas.openxmlformats.org/officeDocument/2006/relationships/pivotTable" Target="../pivotTables/pivotTable8.xml"/><Relationship Id="rId9" Type="http://schemas.openxmlformats.org/officeDocument/2006/relationships/pivotTable" Target="../pivotTables/pivotTable1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44928-8937-4011-A25C-079AA3FCE972}">
  <dimension ref="A1:T42"/>
  <sheetViews>
    <sheetView tabSelected="1" topLeftCell="A10" workbookViewId="0">
      <selection activeCell="V13" sqref="V13"/>
    </sheetView>
  </sheetViews>
  <sheetFormatPr defaultRowHeight="14.4" x14ac:dyDescent="0.3"/>
  <cols>
    <col min="1" max="1" width="23.77734375" customWidth="1"/>
    <col min="2" max="2" width="12.6640625" bestFit="1" customWidth="1"/>
    <col min="4" max="4" width="16.77734375" bestFit="1" customWidth="1"/>
    <col min="5" max="5" width="3.77734375" customWidth="1"/>
    <col min="6" max="6" width="16.77734375" bestFit="1" customWidth="1"/>
    <col min="7" max="7" width="4.109375" customWidth="1"/>
    <col min="8" max="8" width="16.77734375" bestFit="1" customWidth="1"/>
    <col min="9" max="9" width="4.5546875" customWidth="1"/>
    <col min="10" max="10" width="19" customWidth="1"/>
    <col min="11" max="11" width="14" customWidth="1"/>
  </cols>
  <sheetData>
    <row r="1" spans="1:20" ht="21.6" customHeight="1" thickBot="1" x14ac:dyDescent="0.35">
      <c r="A1" s="7" t="s">
        <v>844</v>
      </c>
      <c r="B1" s="17"/>
      <c r="C1" s="23" t="s">
        <v>842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10"/>
      <c r="T1" s="10"/>
    </row>
    <row r="2" spans="1:20" ht="14.4" customHeight="1" thickTop="1" x14ac:dyDescent="0.3">
      <c r="A2" s="8">
        <f ca="1">TODAY()</f>
        <v>46298</v>
      </c>
      <c r="B2" s="17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3"/>
      <c r="P2" s="3"/>
      <c r="Q2" s="3"/>
      <c r="R2" s="3"/>
      <c r="S2" s="10"/>
      <c r="T2" s="10"/>
    </row>
    <row r="3" spans="1:20" x14ac:dyDescent="0.3">
      <c r="A3" s="3"/>
      <c r="B3" s="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x14ac:dyDescent="0.3">
      <c r="A4" s="3"/>
      <c r="B4" s="3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ht="16.2" thickBot="1" x14ac:dyDescent="0.35">
      <c r="A5" s="3"/>
      <c r="B5" s="3"/>
      <c r="C5" s="10"/>
      <c r="D5" s="6" t="s">
        <v>859</v>
      </c>
      <c r="E5" s="10"/>
      <c r="F5" s="6" t="s">
        <v>860</v>
      </c>
      <c r="G5" s="10"/>
      <c r="H5" s="6" t="s">
        <v>861</v>
      </c>
      <c r="I5" s="10"/>
      <c r="J5" s="21" t="s">
        <v>858</v>
      </c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ht="16.2" thickTop="1" x14ac:dyDescent="0.3">
      <c r="A6" s="3"/>
      <c r="B6" s="3"/>
      <c r="C6" s="10"/>
      <c r="D6" s="14">
        <v>4225346</v>
      </c>
      <c r="E6" s="10"/>
      <c r="F6" s="14">
        <v>1229237.969999999</v>
      </c>
      <c r="G6" s="10"/>
      <c r="H6" s="14">
        <v>2996108.0300000003</v>
      </c>
      <c r="I6" s="10"/>
      <c r="J6" s="20">
        <v>0.29092007376437318</v>
      </c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x14ac:dyDescent="0.3">
      <c r="A7" s="3"/>
      <c r="B7" s="3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x14ac:dyDescent="0.3">
      <c r="A8" s="3"/>
      <c r="B8" s="3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x14ac:dyDescent="0.3">
      <c r="A9" s="3"/>
      <c r="B9" s="3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x14ac:dyDescent="0.3">
      <c r="A10" s="3"/>
      <c r="B10" s="3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x14ac:dyDescent="0.3">
      <c r="A11" s="3"/>
      <c r="B11" s="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x14ac:dyDescent="0.3">
      <c r="A12" s="3"/>
      <c r="B12" s="3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x14ac:dyDescent="0.3">
      <c r="A13" s="3"/>
      <c r="B13" s="3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x14ac:dyDescent="0.3">
      <c r="A14" s="3"/>
      <c r="B14" s="3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x14ac:dyDescent="0.3">
      <c r="A15" s="3"/>
      <c r="B15" s="3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x14ac:dyDescent="0.3">
      <c r="A16" s="3"/>
      <c r="B16" s="3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x14ac:dyDescent="0.3">
      <c r="A17" s="3"/>
      <c r="B17" s="3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x14ac:dyDescent="0.3">
      <c r="A18" s="3"/>
      <c r="B18" s="3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x14ac:dyDescent="0.3">
      <c r="A19" s="3"/>
      <c r="B19" s="3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x14ac:dyDescent="0.3">
      <c r="A20" s="3"/>
      <c r="B20" s="3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x14ac:dyDescent="0.3">
      <c r="A21" s="3"/>
      <c r="B21" s="3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x14ac:dyDescent="0.3">
      <c r="A22" s="3"/>
      <c r="B22" s="3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x14ac:dyDescent="0.3">
      <c r="A23" s="3"/>
      <c r="B23" s="3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x14ac:dyDescent="0.3">
      <c r="A24" s="3"/>
      <c r="B24" s="3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x14ac:dyDescent="0.3">
      <c r="A25" s="3"/>
      <c r="B25" s="3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x14ac:dyDescent="0.3">
      <c r="A26" s="3"/>
      <c r="B26" s="3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x14ac:dyDescent="0.3">
      <c r="A27" s="3"/>
      <c r="B27" s="3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x14ac:dyDescent="0.3">
      <c r="A28" s="3"/>
      <c r="B28" s="3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x14ac:dyDescent="0.3">
      <c r="A29" s="3"/>
      <c r="B29" s="3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x14ac:dyDescent="0.3">
      <c r="A30" s="3"/>
      <c r="B30" s="3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x14ac:dyDescent="0.3">
      <c r="A31" s="3"/>
      <c r="B31" s="3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x14ac:dyDescent="0.3">
      <c r="A32" s="3"/>
      <c r="B32" s="3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x14ac:dyDescent="0.3">
      <c r="A33" s="3"/>
      <c r="B33" s="3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 x14ac:dyDescent="0.3">
      <c r="A34" s="3"/>
      <c r="B34" s="3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 x14ac:dyDescent="0.3">
      <c r="A35" s="3"/>
      <c r="B35" s="3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x14ac:dyDescent="0.3">
      <c r="A36" s="3"/>
      <c r="B36" s="3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 x14ac:dyDescent="0.3">
      <c r="A37" s="3"/>
      <c r="B37" s="3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x14ac:dyDescent="0.3">
      <c r="A38" s="3"/>
      <c r="B38" s="3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 x14ac:dyDescent="0.3">
      <c r="A39" s="3"/>
      <c r="B39" s="3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x14ac:dyDescent="0.3">
      <c r="A40" s="3"/>
      <c r="B40" s="3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 x14ac:dyDescent="0.3">
      <c r="A41" s="3"/>
      <c r="B41" s="3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 x14ac:dyDescent="0.3">
      <c r="S42" s="10"/>
      <c r="T42" s="10"/>
    </row>
  </sheetData>
  <mergeCells count="1">
    <mergeCell ref="C1:R1"/>
  </mergeCells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E58D-3337-4177-BA6A-D1AB605ADBEE}">
  <dimension ref="A1:P558"/>
  <sheetViews>
    <sheetView topLeftCell="C45" workbookViewId="0">
      <selection activeCell="N49" sqref="N49"/>
    </sheetView>
  </sheetViews>
  <sheetFormatPr defaultRowHeight="14.4" x14ac:dyDescent="0.3"/>
  <cols>
    <col min="1" max="1" width="18.77734375" bestFit="1" customWidth="1"/>
    <col min="2" max="2" width="18.44140625" bestFit="1" customWidth="1"/>
    <col min="3" max="3" width="8.6640625" bestFit="1" customWidth="1"/>
    <col min="4" max="4" width="12.21875" bestFit="1" customWidth="1"/>
    <col min="5" max="5" width="12.5546875" bestFit="1" customWidth="1"/>
    <col min="8" max="8" width="20.21875" bestFit="1" customWidth="1"/>
    <col min="9" max="9" width="18.77734375" bestFit="1" customWidth="1"/>
    <col min="10" max="10" width="12.5546875" bestFit="1" customWidth="1"/>
    <col min="11" max="12" width="12.6640625" bestFit="1" customWidth="1"/>
    <col min="13" max="13" width="12.44140625" bestFit="1" customWidth="1"/>
    <col min="14" max="14" width="14.109375" bestFit="1" customWidth="1"/>
    <col min="15" max="15" width="18.44140625" customWidth="1"/>
    <col min="16" max="16" width="14.44140625" customWidth="1"/>
  </cols>
  <sheetData>
    <row r="1" spans="1:16" x14ac:dyDescent="0.3">
      <c r="A1" s="24" t="s">
        <v>845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x14ac:dyDescent="0.3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5" spans="1:16" ht="15.6" x14ac:dyDescent="0.3">
      <c r="A5" s="11" t="s">
        <v>846</v>
      </c>
    </row>
    <row r="6" spans="1:16" ht="15.6" x14ac:dyDescent="0.3">
      <c r="A6" s="11"/>
      <c r="I6" s="11" t="s">
        <v>862</v>
      </c>
      <c r="J6" s="11"/>
    </row>
    <row r="7" spans="1:16" x14ac:dyDescent="0.3">
      <c r="A7" s="3" t="s">
        <v>828</v>
      </c>
      <c r="B7" s="3" t="s">
        <v>827</v>
      </c>
      <c r="I7" s="3" t="s">
        <v>828</v>
      </c>
      <c r="J7" s="3" t="s">
        <v>866</v>
      </c>
      <c r="K7" s="3" t="s">
        <v>867</v>
      </c>
      <c r="L7" s="3" t="s">
        <v>859</v>
      </c>
      <c r="M7" s="3" t="s">
        <v>868</v>
      </c>
    </row>
    <row r="8" spans="1:16" x14ac:dyDescent="0.3">
      <c r="A8" s="4" t="s">
        <v>49</v>
      </c>
      <c r="B8" s="5">
        <v>1867860</v>
      </c>
      <c r="I8" s="4" t="s">
        <v>863</v>
      </c>
      <c r="J8" s="5">
        <v>1333009.3500000006</v>
      </c>
      <c r="K8" s="5">
        <v>566297.65</v>
      </c>
      <c r="L8" s="5">
        <v>1899307</v>
      </c>
      <c r="M8" s="5">
        <v>2609.6665898617512</v>
      </c>
    </row>
    <row r="9" spans="1:16" x14ac:dyDescent="0.3">
      <c r="A9" s="4" t="s">
        <v>20</v>
      </c>
      <c r="B9" s="5">
        <v>2357486</v>
      </c>
      <c r="I9" s="4" t="s">
        <v>864</v>
      </c>
      <c r="J9" s="5">
        <v>1166960.8700000006</v>
      </c>
      <c r="K9" s="5">
        <v>456230.12999999971</v>
      </c>
      <c r="L9" s="5">
        <v>1623191</v>
      </c>
      <c r="M9" s="5">
        <v>2388.6394240837681</v>
      </c>
    </row>
    <row r="10" spans="1:16" x14ac:dyDescent="0.3">
      <c r="A10" s="9" t="s">
        <v>829</v>
      </c>
      <c r="B10" s="5">
        <v>4225346</v>
      </c>
      <c r="I10" s="4" t="s">
        <v>865</v>
      </c>
      <c r="J10" s="5">
        <v>496137.81000000041</v>
      </c>
      <c r="K10" s="5">
        <v>206710.19</v>
      </c>
      <c r="L10" s="5">
        <v>702848</v>
      </c>
      <c r="M10" s="5">
        <v>2246.8498913043477</v>
      </c>
    </row>
    <row r="11" spans="1:16" x14ac:dyDescent="0.3">
      <c r="I11" s="9" t="s">
        <v>829</v>
      </c>
      <c r="J11" s="5">
        <v>2996108.0299999993</v>
      </c>
      <c r="K11" s="5">
        <v>1229237.9700000007</v>
      </c>
      <c r="L11" s="5">
        <v>4225346</v>
      </c>
      <c r="M11" s="5">
        <v>2458.4759400000012</v>
      </c>
    </row>
    <row r="13" spans="1:16" ht="15.6" x14ac:dyDescent="0.3">
      <c r="A13" s="11" t="s">
        <v>847</v>
      </c>
    </row>
    <row r="15" spans="1:16" x14ac:dyDescent="0.3">
      <c r="A15" s="3" t="s">
        <v>828</v>
      </c>
      <c r="B15" s="3" t="s">
        <v>827</v>
      </c>
    </row>
    <row r="16" spans="1:16" ht="15.6" x14ac:dyDescent="0.3">
      <c r="A16" s="4" t="s">
        <v>188</v>
      </c>
      <c r="B16" s="5">
        <v>488496</v>
      </c>
      <c r="I16" s="11" t="s">
        <v>869</v>
      </c>
      <c r="J16" s="11"/>
    </row>
    <row r="17" spans="1:12" x14ac:dyDescent="0.3">
      <c r="A17" s="4" t="s">
        <v>23</v>
      </c>
      <c r="B17" s="5">
        <v>659141</v>
      </c>
      <c r="I17" s="3" t="s">
        <v>828</v>
      </c>
      <c r="J17" s="3" t="s">
        <v>866</v>
      </c>
      <c r="K17" s="3" t="s">
        <v>867</v>
      </c>
      <c r="L17" s="3" t="s">
        <v>859</v>
      </c>
    </row>
    <row r="18" spans="1:12" x14ac:dyDescent="0.3">
      <c r="A18" s="4" t="s">
        <v>86</v>
      </c>
      <c r="B18" s="5">
        <v>985951</v>
      </c>
      <c r="I18" s="4" t="s">
        <v>871</v>
      </c>
      <c r="J18" s="22">
        <v>293580.62999999995</v>
      </c>
      <c r="K18" s="22">
        <v>139966.37</v>
      </c>
      <c r="L18" s="22">
        <v>433547</v>
      </c>
    </row>
    <row r="19" spans="1:12" x14ac:dyDescent="0.3">
      <c r="A19" s="4" t="s">
        <v>71</v>
      </c>
      <c r="B19" s="5">
        <v>2091758</v>
      </c>
      <c r="I19" s="4" t="s">
        <v>872</v>
      </c>
      <c r="J19" s="22">
        <v>273662.60999999993</v>
      </c>
      <c r="K19" s="22">
        <v>120159.39000000001</v>
      </c>
      <c r="L19" s="22">
        <v>393822</v>
      </c>
    </row>
    <row r="20" spans="1:12" x14ac:dyDescent="0.3">
      <c r="A20" s="9" t="s">
        <v>829</v>
      </c>
      <c r="B20" s="5">
        <v>4225346</v>
      </c>
      <c r="I20" s="4" t="s">
        <v>873</v>
      </c>
      <c r="J20" s="22">
        <v>406585.25000000006</v>
      </c>
      <c r="K20" s="22">
        <v>143502.74999999994</v>
      </c>
      <c r="L20" s="22">
        <v>550088</v>
      </c>
    </row>
    <row r="21" spans="1:12" x14ac:dyDescent="0.3">
      <c r="I21" s="4" t="s">
        <v>874</v>
      </c>
      <c r="J21" s="22">
        <v>234720.85000000003</v>
      </c>
      <c r="K21" s="22">
        <v>103018.15</v>
      </c>
      <c r="L21" s="22">
        <v>337739</v>
      </c>
    </row>
    <row r="22" spans="1:12" x14ac:dyDescent="0.3">
      <c r="I22" s="4" t="s">
        <v>875</v>
      </c>
      <c r="J22" s="22">
        <v>175236.22999999998</v>
      </c>
      <c r="K22" s="22">
        <v>88843.77</v>
      </c>
      <c r="L22" s="22">
        <v>264080</v>
      </c>
    </row>
    <row r="23" spans="1:12" ht="15.6" x14ac:dyDescent="0.3">
      <c r="A23" s="11" t="s">
        <v>848</v>
      </c>
      <c r="I23" s="4" t="s">
        <v>876</v>
      </c>
      <c r="J23" s="22">
        <v>144914.40999999997</v>
      </c>
      <c r="K23" s="22">
        <v>68330.59</v>
      </c>
      <c r="L23" s="22">
        <v>213245</v>
      </c>
    </row>
    <row r="24" spans="1:12" x14ac:dyDescent="0.3">
      <c r="I24" s="4" t="s">
        <v>877</v>
      </c>
      <c r="J24" s="22">
        <v>171391.77</v>
      </c>
      <c r="K24" s="22">
        <v>61208.229999999996</v>
      </c>
      <c r="L24" s="22">
        <v>232600</v>
      </c>
    </row>
    <row r="25" spans="1:12" x14ac:dyDescent="0.3">
      <c r="A25" s="3" t="s">
        <v>827</v>
      </c>
      <c r="B25" s="3" t="s">
        <v>849</v>
      </c>
      <c r="C25" s="3"/>
      <c r="D25" s="3"/>
      <c r="E25" s="3"/>
      <c r="I25" s="4" t="s">
        <v>878</v>
      </c>
      <c r="J25" s="22">
        <v>251914.00999999992</v>
      </c>
      <c r="K25" s="22">
        <v>87516.989999999991</v>
      </c>
      <c r="L25" s="22">
        <v>339431</v>
      </c>
    </row>
    <row r="26" spans="1:12" x14ac:dyDescent="0.3">
      <c r="A26" s="3" t="s">
        <v>828</v>
      </c>
      <c r="B26" s="3" t="s">
        <v>22</v>
      </c>
      <c r="C26" s="3" t="s">
        <v>43</v>
      </c>
      <c r="D26" s="3" t="s">
        <v>58</v>
      </c>
      <c r="E26" s="3" t="s">
        <v>829</v>
      </c>
      <c r="I26" s="4" t="s">
        <v>879</v>
      </c>
      <c r="J26" s="22">
        <v>171159.77</v>
      </c>
      <c r="K26" s="22">
        <v>61987.229999999981</v>
      </c>
      <c r="L26" s="22">
        <v>233147</v>
      </c>
    </row>
    <row r="27" spans="1:12" x14ac:dyDescent="0.3">
      <c r="A27" s="4" t="s">
        <v>830</v>
      </c>
      <c r="B27" s="13">
        <v>0.60819703515420476</v>
      </c>
      <c r="C27" s="13">
        <v>0.11810022904091137</v>
      </c>
      <c r="D27" s="13">
        <v>0.27370273580488391</v>
      </c>
      <c r="E27" s="13">
        <v>1</v>
      </c>
      <c r="I27" s="4" t="s">
        <v>880</v>
      </c>
      <c r="J27" s="22">
        <v>411682.0500000001</v>
      </c>
      <c r="K27" s="22">
        <v>124095.95000000003</v>
      </c>
      <c r="L27" s="22">
        <v>535778</v>
      </c>
    </row>
    <row r="28" spans="1:12" x14ac:dyDescent="0.3">
      <c r="A28" s="4" t="s">
        <v>831</v>
      </c>
      <c r="B28" s="13">
        <v>0.40512718944091491</v>
      </c>
      <c r="C28" s="13">
        <v>0.48009760754858793</v>
      </c>
      <c r="D28" s="13">
        <v>0.11477520301049712</v>
      </c>
      <c r="E28" s="13">
        <v>1</v>
      </c>
      <c r="I28" s="4" t="s">
        <v>881</v>
      </c>
      <c r="J28" s="22">
        <v>191354.88</v>
      </c>
      <c r="K28" s="22">
        <v>95525.12000000001</v>
      </c>
      <c r="L28" s="22">
        <v>286880</v>
      </c>
    </row>
    <row r="29" spans="1:12" x14ac:dyDescent="0.3">
      <c r="A29" s="4" t="s">
        <v>832</v>
      </c>
      <c r="B29" s="13">
        <v>0.17208701153270023</v>
      </c>
      <c r="C29" s="13">
        <v>0.16482090138305144</v>
      </c>
      <c r="D29" s="13">
        <v>0.66309208708424838</v>
      </c>
      <c r="E29" s="13">
        <v>1</v>
      </c>
      <c r="I29" s="4" t="s">
        <v>882</v>
      </c>
      <c r="J29" s="22">
        <v>269905.57000000012</v>
      </c>
      <c r="K29" s="22">
        <v>135083.43</v>
      </c>
      <c r="L29" s="22">
        <v>404989</v>
      </c>
    </row>
    <row r="30" spans="1:12" x14ac:dyDescent="0.3">
      <c r="A30" s="4" t="s">
        <v>833</v>
      </c>
      <c r="B30" s="13">
        <v>0.40850479216199492</v>
      </c>
      <c r="C30" s="13">
        <v>0.29104722877725109</v>
      </c>
      <c r="D30" s="13">
        <v>0.30044797906075399</v>
      </c>
      <c r="E30" s="13">
        <v>1</v>
      </c>
      <c r="I30" s="9" t="s">
        <v>829</v>
      </c>
      <c r="J30" s="5">
        <v>2996108.0300000003</v>
      </c>
      <c r="K30" s="5">
        <v>1229237.97</v>
      </c>
      <c r="L30" s="5">
        <v>4225346</v>
      </c>
    </row>
    <row r="31" spans="1:12" x14ac:dyDescent="0.3">
      <c r="A31" s="4" t="s">
        <v>834</v>
      </c>
      <c r="B31" s="13">
        <v>0.44968570130263558</v>
      </c>
      <c r="C31" s="13">
        <v>0.26734701605574068</v>
      </c>
      <c r="D31" s="13">
        <v>0.28296728264162374</v>
      </c>
      <c r="E31" s="13">
        <v>1</v>
      </c>
    </row>
    <row r="32" spans="1:12" x14ac:dyDescent="0.3">
      <c r="A32" s="4" t="s">
        <v>835</v>
      </c>
      <c r="B32" s="13">
        <v>0.34323430795563786</v>
      </c>
      <c r="C32" s="13">
        <v>0.46307299116040235</v>
      </c>
      <c r="D32" s="13">
        <v>0.19369270088395976</v>
      </c>
      <c r="E32" s="13">
        <v>1</v>
      </c>
    </row>
    <row r="33" spans="1:10" x14ac:dyDescent="0.3">
      <c r="A33" s="4" t="s">
        <v>836</v>
      </c>
      <c r="B33" s="13">
        <v>0.53851676698194328</v>
      </c>
      <c r="C33" s="13">
        <v>0.10391229578675838</v>
      </c>
      <c r="D33" s="13">
        <v>0.35757093723129835</v>
      </c>
      <c r="E33" s="13">
        <v>1</v>
      </c>
    </row>
    <row r="34" spans="1:10" ht="15.6" x14ac:dyDescent="0.3">
      <c r="A34" s="4" t="s">
        <v>837</v>
      </c>
      <c r="B34" s="13">
        <v>0.24184885882550503</v>
      </c>
      <c r="C34" s="13">
        <v>0.29646084182057619</v>
      </c>
      <c r="D34" s="13">
        <v>0.46169029935391875</v>
      </c>
      <c r="E34" s="13">
        <v>1</v>
      </c>
      <c r="I34" s="11" t="s">
        <v>883</v>
      </c>
    </row>
    <row r="35" spans="1:10" x14ac:dyDescent="0.3">
      <c r="A35" s="4" t="s">
        <v>838</v>
      </c>
      <c r="B35" s="13">
        <v>0.71972618133623856</v>
      </c>
      <c r="C35" s="13">
        <v>5.5449995067489606E-2</v>
      </c>
      <c r="D35" s="13">
        <v>0.22482382359627187</v>
      </c>
      <c r="E35" s="13">
        <v>1</v>
      </c>
    </row>
    <row r="36" spans="1:10" ht="15.6" x14ac:dyDescent="0.3">
      <c r="A36" s="4" t="s">
        <v>839</v>
      </c>
      <c r="B36" s="13">
        <v>0.2031830347643987</v>
      </c>
      <c r="C36" s="13">
        <v>0.75751337307616218</v>
      </c>
      <c r="D36" s="13">
        <v>3.9303592159439169E-2</v>
      </c>
      <c r="E36" s="13">
        <v>1</v>
      </c>
      <c r="I36" s="15" t="s">
        <v>850</v>
      </c>
      <c r="J36" s="3"/>
    </row>
    <row r="37" spans="1:10" x14ac:dyDescent="0.3">
      <c r="A37" s="4" t="s">
        <v>840</v>
      </c>
      <c r="B37" s="13">
        <v>0.3681190741773564</v>
      </c>
      <c r="C37" s="13">
        <v>0.40181957612939206</v>
      </c>
      <c r="D37" s="13">
        <v>0.23006134969325154</v>
      </c>
      <c r="E37" s="13">
        <v>1</v>
      </c>
      <c r="I37" s="3" t="s">
        <v>828</v>
      </c>
      <c r="J37" s="3" t="s">
        <v>827</v>
      </c>
    </row>
    <row r="38" spans="1:10" x14ac:dyDescent="0.3">
      <c r="A38" s="4" t="s">
        <v>841</v>
      </c>
      <c r="B38" s="13">
        <v>0.39890466160809307</v>
      </c>
      <c r="C38" s="13">
        <v>0.39732437177306051</v>
      </c>
      <c r="D38" s="13">
        <v>0.20377096661884644</v>
      </c>
      <c r="E38" s="13">
        <v>1</v>
      </c>
      <c r="I38" s="4" t="s">
        <v>871</v>
      </c>
      <c r="J38" s="22">
        <v>433547</v>
      </c>
    </row>
    <row r="39" spans="1:10" x14ac:dyDescent="0.3">
      <c r="A39" s="9" t="s">
        <v>829</v>
      </c>
      <c r="B39" s="12">
        <v>0.37842534078865969</v>
      </c>
      <c r="C39" s="12">
        <v>0.33567878228197168</v>
      </c>
      <c r="D39" s="12">
        <v>0.28589587692936863</v>
      </c>
      <c r="E39" s="12">
        <v>1</v>
      </c>
      <c r="I39" s="4" t="s">
        <v>872</v>
      </c>
      <c r="J39" s="22">
        <v>393822</v>
      </c>
    </row>
    <row r="40" spans="1:10" x14ac:dyDescent="0.3">
      <c r="I40" s="4" t="s">
        <v>873</v>
      </c>
      <c r="J40" s="22">
        <v>550088</v>
      </c>
    </row>
    <row r="41" spans="1:10" x14ac:dyDescent="0.3">
      <c r="I41" s="4" t="s">
        <v>874</v>
      </c>
      <c r="J41" s="22">
        <v>337739</v>
      </c>
    </row>
    <row r="42" spans="1:10" ht="15.6" x14ac:dyDescent="0.3">
      <c r="A42" s="11" t="s">
        <v>852</v>
      </c>
      <c r="I42" s="4" t="s">
        <v>875</v>
      </c>
      <c r="J42" s="22">
        <v>264080</v>
      </c>
    </row>
    <row r="43" spans="1:10" x14ac:dyDescent="0.3">
      <c r="I43" s="4" t="s">
        <v>876</v>
      </c>
      <c r="J43" s="22">
        <v>213245</v>
      </c>
    </row>
    <row r="44" spans="1:10" x14ac:dyDescent="0.3">
      <c r="A44" s="3" t="s">
        <v>8</v>
      </c>
      <c r="B44" s="3" t="s">
        <v>853</v>
      </c>
      <c r="I44" s="4" t="s">
        <v>877</v>
      </c>
      <c r="J44" s="22">
        <v>232600</v>
      </c>
    </row>
    <row r="45" spans="1:10" x14ac:dyDescent="0.3">
      <c r="A45" s="3" t="s">
        <v>86</v>
      </c>
      <c r="B45" s="12">
        <v>0.31789627476416166</v>
      </c>
      <c r="I45" s="4" t="s">
        <v>878</v>
      </c>
      <c r="J45" s="22">
        <v>339431</v>
      </c>
    </row>
    <row r="46" spans="1:10" x14ac:dyDescent="0.3">
      <c r="A46" s="3" t="s">
        <v>71</v>
      </c>
      <c r="B46" s="12">
        <v>0.24755654812841629</v>
      </c>
      <c r="I46" s="4" t="s">
        <v>879</v>
      </c>
      <c r="J46" s="22">
        <v>233147</v>
      </c>
    </row>
    <row r="47" spans="1:10" x14ac:dyDescent="0.3">
      <c r="A47" s="3" t="s">
        <v>23</v>
      </c>
      <c r="B47" s="12">
        <v>0.33168009576099805</v>
      </c>
      <c r="I47" s="4" t="s">
        <v>880</v>
      </c>
      <c r="J47" s="22">
        <v>535778</v>
      </c>
    </row>
    <row r="48" spans="1:10" x14ac:dyDescent="0.3">
      <c r="A48" s="3" t="s">
        <v>188</v>
      </c>
      <c r="B48" s="12">
        <v>0.36715854377517931</v>
      </c>
      <c r="I48" s="4" t="s">
        <v>881</v>
      </c>
      <c r="J48" s="22">
        <v>286880</v>
      </c>
    </row>
    <row r="49" spans="1:10" x14ac:dyDescent="0.3">
      <c r="A49" s="18" t="s">
        <v>829</v>
      </c>
      <c r="B49" s="12">
        <v>0.29092007376437318</v>
      </c>
      <c r="I49" s="4" t="s">
        <v>882</v>
      </c>
      <c r="J49" s="22">
        <v>404989</v>
      </c>
    </row>
    <row r="50" spans="1:10" x14ac:dyDescent="0.3">
      <c r="I50" s="9" t="s">
        <v>829</v>
      </c>
      <c r="J50" s="5">
        <v>4225346</v>
      </c>
    </row>
    <row r="53" spans="1:10" x14ac:dyDescent="0.3">
      <c r="A53" s="3" t="s">
        <v>8</v>
      </c>
      <c r="B53" s="3" t="s">
        <v>3</v>
      </c>
      <c r="C53" s="3" t="s">
        <v>827</v>
      </c>
      <c r="D53" s="3" t="s">
        <v>851</v>
      </c>
      <c r="E53" s="3" t="s">
        <v>858</v>
      </c>
      <c r="I53" t="s">
        <v>885</v>
      </c>
    </row>
    <row r="54" spans="1:10" x14ac:dyDescent="0.3">
      <c r="A54" s="3" t="s">
        <v>86</v>
      </c>
      <c r="B54" s="3" t="s">
        <v>708</v>
      </c>
      <c r="C54" s="5">
        <v>20335</v>
      </c>
      <c r="D54" s="5">
        <v>9473.32</v>
      </c>
      <c r="E54" s="13">
        <v>0.46586279813130071</v>
      </c>
      <c r="I54" s="3" t="s">
        <v>828</v>
      </c>
      <c r="J54" s="3" t="s">
        <v>884</v>
      </c>
    </row>
    <row r="55" spans="1:10" x14ac:dyDescent="0.3">
      <c r="A55" s="3"/>
      <c r="B55" s="3" t="s">
        <v>269</v>
      </c>
      <c r="C55" s="5">
        <v>1536</v>
      </c>
      <c r="D55" s="5">
        <v>732.88</v>
      </c>
      <c r="E55" s="13">
        <v>0.47713541666666665</v>
      </c>
      <c r="I55" s="4" t="s">
        <v>871</v>
      </c>
      <c r="J55" s="13">
        <v>0.32284013036648851</v>
      </c>
    </row>
    <row r="56" spans="1:10" x14ac:dyDescent="0.3">
      <c r="A56" s="3"/>
      <c r="B56" s="3" t="s">
        <v>584</v>
      </c>
      <c r="C56" s="5">
        <v>3516</v>
      </c>
      <c r="D56" s="5">
        <v>1290.6300000000001</v>
      </c>
      <c r="E56" s="13">
        <v>0.36707337883959046</v>
      </c>
      <c r="I56" s="4" t="s">
        <v>872</v>
      </c>
      <c r="J56" s="13">
        <v>0.30511091305208954</v>
      </c>
    </row>
    <row r="57" spans="1:10" x14ac:dyDescent="0.3">
      <c r="A57" s="3"/>
      <c r="B57" s="3" t="s">
        <v>482</v>
      </c>
      <c r="C57" s="5">
        <v>1542</v>
      </c>
      <c r="D57" s="5">
        <v>508.78999999999996</v>
      </c>
      <c r="E57" s="13">
        <v>0.3299546044098573</v>
      </c>
      <c r="I57" s="4" t="s">
        <v>873</v>
      </c>
      <c r="J57" s="13">
        <v>0.26087235133287756</v>
      </c>
    </row>
    <row r="58" spans="1:10" x14ac:dyDescent="0.3">
      <c r="A58" s="3"/>
      <c r="B58" s="3" t="s">
        <v>309</v>
      </c>
      <c r="C58" s="5">
        <v>1540</v>
      </c>
      <c r="D58" s="5">
        <v>409.57999999999993</v>
      </c>
      <c r="E58" s="13">
        <v>0.2659610389610389</v>
      </c>
      <c r="I58" s="4" t="s">
        <v>874</v>
      </c>
      <c r="J58" s="13">
        <v>0.30502296151762159</v>
      </c>
    </row>
    <row r="59" spans="1:10" x14ac:dyDescent="0.3">
      <c r="A59" s="3"/>
      <c r="B59" s="3" t="s">
        <v>272</v>
      </c>
      <c r="C59" s="5">
        <v>2004</v>
      </c>
      <c r="D59" s="5">
        <v>1013.21</v>
      </c>
      <c r="E59" s="13">
        <v>0.50559381237524947</v>
      </c>
      <c r="I59" s="4" t="s">
        <v>875</v>
      </c>
      <c r="J59" s="13">
        <v>0.33642748409572859</v>
      </c>
    </row>
    <row r="60" spans="1:10" x14ac:dyDescent="0.3">
      <c r="A60" s="3"/>
      <c r="B60" s="3" t="s">
        <v>587</v>
      </c>
      <c r="C60" s="5">
        <v>4482</v>
      </c>
      <c r="D60" s="5">
        <v>1706.94</v>
      </c>
      <c r="E60" s="13">
        <v>0.3808433734939759</v>
      </c>
      <c r="I60" s="4" t="s">
        <v>876</v>
      </c>
      <c r="J60" s="13">
        <v>0.32043231963234775</v>
      </c>
    </row>
    <row r="61" spans="1:10" x14ac:dyDescent="0.3">
      <c r="A61" s="3"/>
      <c r="B61" s="3" t="s">
        <v>311</v>
      </c>
      <c r="C61" s="5">
        <v>1923</v>
      </c>
      <c r="D61" s="5">
        <v>699.96</v>
      </c>
      <c r="E61" s="13">
        <v>0.36399375975039006</v>
      </c>
      <c r="I61" s="4" t="s">
        <v>877</v>
      </c>
      <c r="J61" s="13">
        <v>0.2631480223559759</v>
      </c>
    </row>
    <row r="62" spans="1:10" x14ac:dyDescent="0.3">
      <c r="A62" s="3"/>
      <c r="B62" s="3" t="s">
        <v>85</v>
      </c>
      <c r="C62" s="5">
        <v>33540</v>
      </c>
      <c r="D62" s="5">
        <v>8193.39</v>
      </c>
      <c r="E62" s="13">
        <v>0.24428711985688728</v>
      </c>
      <c r="I62" s="4" t="s">
        <v>878</v>
      </c>
      <c r="J62" s="13">
        <v>0.25783440522521511</v>
      </c>
    </row>
    <row r="63" spans="1:10" x14ac:dyDescent="0.3">
      <c r="A63" s="3"/>
      <c r="B63" s="3" t="s">
        <v>710</v>
      </c>
      <c r="C63" s="5">
        <v>10562</v>
      </c>
      <c r="D63" s="5">
        <v>3725.04</v>
      </c>
      <c r="E63" s="13">
        <v>0.35268320393864799</v>
      </c>
      <c r="I63" s="4" t="s">
        <v>879</v>
      </c>
      <c r="J63" s="13">
        <v>0.26587187482575364</v>
      </c>
    </row>
    <row r="64" spans="1:10" x14ac:dyDescent="0.3">
      <c r="A64" s="3"/>
      <c r="B64" s="3" t="s">
        <v>484</v>
      </c>
      <c r="C64" s="5">
        <v>4580</v>
      </c>
      <c r="D64" s="5">
        <v>1281.6999999999998</v>
      </c>
      <c r="E64" s="13">
        <v>0.27984716157205236</v>
      </c>
      <c r="I64" s="4" t="s">
        <v>880</v>
      </c>
      <c r="J64" s="13">
        <v>0.23161822620563</v>
      </c>
    </row>
    <row r="65" spans="1:10" x14ac:dyDescent="0.3">
      <c r="A65" s="3"/>
      <c r="B65" s="3" t="s">
        <v>589</v>
      </c>
      <c r="C65" s="5">
        <v>4148</v>
      </c>
      <c r="D65" s="5">
        <v>1967.17</v>
      </c>
      <c r="E65" s="13">
        <v>0.47424541947926713</v>
      </c>
      <c r="I65" s="4" t="s">
        <v>881</v>
      </c>
      <c r="J65" s="13">
        <v>0.33297936419408813</v>
      </c>
    </row>
    <row r="66" spans="1:10" x14ac:dyDescent="0.3">
      <c r="A66" s="3"/>
      <c r="B66" s="3" t="s">
        <v>711</v>
      </c>
      <c r="C66" s="5">
        <v>5123</v>
      </c>
      <c r="D66" s="5">
        <v>2544.52</v>
      </c>
      <c r="E66" s="13">
        <v>0.49668553581885616</v>
      </c>
      <c r="I66" s="4" t="s">
        <v>882</v>
      </c>
      <c r="J66" s="13">
        <v>0.33354839267239356</v>
      </c>
    </row>
    <row r="67" spans="1:10" x14ac:dyDescent="0.3">
      <c r="A67" s="3"/>
      <c r="B67" s="3" t="s">
        <v>485</v>
      </c>
      <c r="C67" s="5">
        <v>1058</v>
      </c>
      <c r="D67" s="5">
        <v>365.41999999999996</v>
      </c>
      <c r="E67" s="13">
        <v>0.34538752362948955</v>
      </c>
      <c r="I67" s="9" t="s">
        <v>829</v>
      </c>
      <c r="J67" s="13">
        <v>0.29092007376437351</v>
      </c>
    </row>
    <row r="68" spans="1:10" x14ac:dyDescent="0.3">
      <c r="A68" s="3"/>
      <c r="B68" s="3" t="s">
        <v>312</v>
      </c>
      <c r="C68" s="5">
        <v>11050</v>
      </c>
      <c r="D68" s="5">
        <v>3935.46</v>
      </c>
      <c r="E68" s="13">
        <v>0.35615022624434389</v>
      </c>
    </row>
    <row r="69" spans="1:10" x14ac:dyDescent="0.3">
      <c r="A69" s="3"/>
      <c r="B69" s="3" t="s">
        <v>274</v>
      </c>
      <c r="C69" s="5">
        <v>2040</v>
      </c>
      <c r="D69" s="5">
        <v>749.74</v>
      </c>
      <c r="E69" s="13">
        <v>0.36751960784313725</v>
      </c>
    </row>
    <row r="70" spans="1:10" x14ac:dyDescent="0.3">
      <c r="A70" s="3"/>
      <c r="B70" s="3" t="s">
        <v>118</v>
      </c>
      <c r="C70" s="5">
        <v>2367</v>
      </c>
      <c r="D70" s="5">
        <v>569.51</v>
      </c>
      <c r="E70" s="13">
        <v>0.24060414026193494</v>
      </c>
    </row>
    <row r="71" spans="1:10" x14ac:dyDescent="0.3">
      <c r="A71" s="3"/>
      <c r="B71" s="3" t="s">
        <v>713</v>
      </c>
      <c r="C71" s="5">
        <v>21324</v>
      </c>
      <c r="D71" s="5">
        <v>7603.41</v>
      </c>
      <c r="E71" s="13">
        <v>0.35656584130557117</v>
      </c>
    </row>
    <row r="72" spans="1:10" x14ac:dyDescent="0.3">
      <c r="A72" s="3"/>
      <c r="B72" s="3" t="s">
        <v>313</v>
      </c>
      <c r="C72" s="5">
        <v>4765</v>
      </c>
      <c r="D72" s="5">
        <v>1703.4099999999999</v>
      </c>
      <c r="E72" s="13">
        <v>0.35748373557187824</v>
      </c>
    </row>
    <row r="73" spans="1:10" x14ac:dyDescent="0.3">
      <c r="A73" s="3"/>
      <c r="B73" s="3" t="s">
        <v>121</v>
      </c>
      <c r="C73" s="5">
        <v>1194</v>
      </c>
      <c r="D73" s="5">
        <v>259.32000000000005</v>
      </c>
      <c r="E73" s="13">
        <v>0.21718592964824124</v>
      </c>
    </row>
    <row r="74" spans="1:10" x14ac:dyDescent="0.3">
      <c r="A74" s="3"/>
      <c r="B74" s="3" t="s">
        <v>89</v>
      </c>
      <c r="C74" s="5">
        <v>6684</v>
      </c>
      <c r="D74" s="5">
        <v>2441.12</v>
      </c>
      <c r="E74" s="13">
        <v>0.36521843207660082</v>
      </c>
    </row>
    <row r="75" spans="1:10" x14ac:dyDescent="0.3">
      <c r="A75" s="3"/>
      <c r="B75" s="3" t="s">
        <v>123</v>
      </c>
      <c r="C75" s="5">
        <v>4368</v>
      </c>
      <c r="D75" s="5">
        <v>1664.1999999999998</v>
      </c>
      <c r="E75" s="13">
        <v>0.38099816849816848</v>
      </c>
    </row>
    <row r="76" spans="1:10" x14ac:dyDescent="0.3">
      <c r="A76" s="3"/>
      <c r="B76" s="3" t="s">
        <v>275</v>
      </c>
      <c r="C76" s="5">
        <v>794</v>
      </c>
      <c r="D76" s="5">
        <v>299.93</v>
      </c>
      <c r="E76" s="13">
        <v>0.3777455919395466</v>
      </c>
    </row>
    <row r="77" spans="1:10" x14ac:dyDescent="0.3">
      <c r="A77" s="3"/>
      <c r="B77" s="3" t="s">
        <v>603</v>
      </c>
      <c r="C77" s="5">
        <v>162</v>
      </c>
      <c r="D77" s="5">
        <v>53.72</v>
      </c>
      <c r="E77" s="13">
        <v>0.33160493827160492</v>
      </c>
    </row>
    <row r="78" spans="1:10" x14ac:dyDescent="0.3">
      <c r="A78" s="3"/>
      <c r="B78" s="3" t="s">
        <v>714</v>
      </c>
      <c r="C78" s="5">
        <v>16300</v>
      </c>
      <c r="D78" s="5">
        <v>4163.74</v>
      </c>
      <c r="E78" s="13">
        <v>0.25544417177914108</v>
      </c>
    </row>
    <row r="79" spans="1:10" x14ac:dyDescent="0.3">
      <c r="A79" s="3"/>
      <c r="B79" s="3" t="s">
        <v>277</v>
      </c>
      <c r="C79" s="5">
        <v>2100</v>
      </c>
      <c r="D79" s="5">
        <v>700.79</v>
      </c>
      <c r="E79" s="13">
        <v>0.33370952380952379</v>
      </c>
    </row>
    <row r="80" spans="1:10" x14ac:dyDescent="0.3">
      <c r="A80" s="3"/>
      <c r="B80" s="3" t="s">
        <v>715</v>
      </c>
      <c r="C80" s="5">
        <v>66341</v>
      </c>
      <c r="D80" s="5">
        <v>16757.839999999997</v>
      </c>
      <c r="E80" s="13">
        <v>0.25260155861382849</v>
      </c>
    </row>
    <row r="81" spans="1:5" x14ac:dyDescent="0.3">
      <c r="A81" s="3"/>
      <c r="B81" s="3" t="s">
        <v>315</v>
      </c>
      <c r="C81" s="5">
        <v>4408</v>
      </c>
      <c r="D81" s="5">
        <v>1094.6399999999999</v>
      </c>
      <c r="E81" s="13">
        <v>0.24833030852994553</v>
      </c>
    </row>
    <row r="82" spans="1:5" x14ac:dyDescent="0.3">
      <c r="A82" s="3"/>
      <c r="B82" s="3" t="s">
        <v>125</v>
      </c>
      <c r="C82" s="5">
        <v>3020</v>
      </c>
      <c r="D82" s="5">
        <v>994.99</v>
      </c>
      <c r="E82" s="13">
        <v>0.32946688741721852</v>
      </c>
    </row>
    <row r="83" spans="1:5" x14ac:dyDescent="0.3">
      <c r="A83" s="3"/>
      <c r="B83" s="3" t="s">
        <v>716</v>
      </c>
      <c r="C83" s="5">
        <v>9654</v>
      </c>
      <c r="D83" s="5">
        <v>3081.6800000000003</v>
      </c>
      <c r="E83" s="13">
        <v>0.31921276154961675</v>
      </c>
    </row>
    <row r="84" spans="1:5" x14ac:dyDescent="0.3">
      <c r="A84" s="3"/>
      <c r="B84" s="3" t="s">
        <v>605</v>
      </c>
      <c r="C84" s="5">
        <v>585</v>
      </c>
      <c r="D84" s="5">
        <v>226.01</v>
      </c>
      <c r="E84" s="13">
        <v>0.38634188034188033</v>
      </c>
    </row>
    <row r="85" spans="1:5" x14ac:dyDescent="0.3">
      <c r="A85" s="3"/>
      <c r="B85" s="3" t="s">
        <v>316</v>
      </c>
      <c r="C85" s="5">
        <v>1816</v>
      </c>
      <c r="D85" s="5">
        <v>400.11999999999989</v>
      </c>
      <c r="E85" s="13">
        <v>0.22033039647577088</v>
      </c>
    </row>
    <row r="86" spans="1:5" x14ac:dyDescent="0.3">
      <c r="A86" s="3"/>
      <c r="B86" s="3" t="s">
        <v>606</v>
      </c>
      <c r="C86" s="5">
        <v>384</v>
      </c>
      <c r="D86" s="5">
        <v>154.16999999999999</v>
      </c>
      <c r="E86" s="13">
        <v>0.40148437499999995</v>
      </c>
    </row>
    <row r="87" spans="1:5" x14ac:dyDescent="0.3">
      <c r="A87" s="3"/>
      <c r="B87" s="3" t="s">
        <v>591</v>
      </c>
      <c r="C87" s="5">
        <v>3098</v>
      </c>
      <c r="D87" s="5">
        <v>1009.98</v>
      </c>
      <c r="E87" s="13">
        <v>0.32601032924467399</v>
      </c>
    </row>
    <row r="88" spans="1:5" x14ac:dyDescent="0.3">
      <c r="A88" s="3"/>
      <c r="B88" s="3" t="s">
        <v>718</v>
      </c>
      <c r="C88" s="5">
        <v>39384</v>
      </c>
      <c r="D88" s="5">
        <v>8797.98</v>
      </c>
      <c r="E88" s="13">
        <v>0.2233897014015844</v>
      </c>
    </row>
    <row r="89" spans="1:5" x14ac:dyDescent="0.3">
      <c r="A89" s="3"/>
      <c r="B89" s="3" t="s">
        <v>592</v>
      </c>
      <c r="C89" s="5">
        <v>2281</v>
      </c>
      <c r="D89" s="5">
        <v>449.63000000000011</v>
      </c>
      <c r="E89" s="13">
        <v>0.19711968434896979</v>
      </c>
    </row>
    <row r="90" spans="1:5" x14ac:dyDescent="0.3">
      <c r="A90" s="3"/>
      <c r="B90" s="3" t="s">
        <v>487</v>
      </c>
      <c r="C90" s="5">
        <v>2212</v>
      </c>
      <c r="D90" s="5">
        <v>638.24</v>
      </c>
      <c r="E90" s="13">
        <v>0.28853526220614828</v>
      </c>
    </row>
    <row r="91" spans="1:5" x14ac:dyDescent="0.3">
      <c r="A91" s="3"/>
      <c r="B91" s="3" t="s">
        <v>719</v>
      </c>
      <c r="C91" s="5">
        <v>57357</v>
      </c>
      <c r="D91" s="5">
        <v>18757.099999999999</v>
      </c>
      <c r="E91" s="13">
        <v>0.32702372857715706</v>
      </c>
    </row>
    <row r="92" spans="1:5" x14ac:dyDescent="0.3">
      <c r="A92" s="3"/>
      <c r="B92" s="3" t="s">
        <v>594</v>
      </c>
      <c r="C92" s="5">
        <v>3882</v>
      </c>
      <c r="D92" s="5">
        <v>1096.52</v>
      </c>
      <c r="E92" s="13">
        <v>0.28246264811952604</v>
      </c>
    </row>
    <row r="93" spans="1:5" x14ac:dyDescent="0.3">
      <c r="A93" s="3"/>
      <c r="B93" s="3" t="s">
        <v>720</v>
      </c>
      <c r="C93" s="5">
        <v>8062</v>
      </c>
      <c r="D93" s="5">
        <v>2165.7399999999998</v>
      </c>
      <c r="E93" s="13">
        <v>0.26863557429918133</v>
      </c>
    </row>
    <row r="94" spans="1:5" x14ac:dyDescent="0.3">
      <c r="A94" s="3"/>
      <c r="B94" s="3" t="s">
        <v>607</v>
      </c>
      <c r="C94" s="5">
        <v>410</v>
      </c>
      <c r="D94" s="5">
        <v>95.779999999999973</v>
      </c>
      <c r="E94" s="13">
        <v>0.23360975609756091</v>
      </c>
    </row>
    <row r="95" spans="1:5" x14ac:dyDescent="0.3">
      <c r="A95" s="3"/>
      <c r="B95" s="3" t="s">
        <v>595</v>
      </c>
      <c r="C95" s="5">
        <v>4604</v>
      </c>
      <c r="D95" s="5">
        <v>1735.4099999999999</v>
      </c>
      <c r="E95" s="13">
        <v>0.37693527367506513</v>
      </c>
    </row>
    <row r="96" spans="1:5" x14ac:dyDescent="0.3">
      <c r="A96" s="3"/>
      <c r="B96" s="3" t="s">
        <v>317</v>
      </c>
      <c r="C96" s="5">
        <v>1992</v>
      </c>
      <c r="D96" s="5">
        <v>471.80999999999995</v>
      </c>
      <c r="E96" s="13">
        <v>0.2368524096385542</v>
      </c>
    </row>
    <row r="97" spans="1:5" x14ac:dyDescent="0.3">
      <c r="A97" s="3"/>
      <c r="B97" s="3" t="s">
        <v>488</v>
      </c>
      <c r="C97" s="5">
        <v>2559</v>
      </c>
      <c r="D97" s="5">
        <v>552.25</v>
      </c>
      <c r="E97" s="13">
        <v>0.21580695584212584</v>
      </c>
    </row>
    <row r="98" spans="1:5" x14ac:dyDescent="0.3">
      <c r="A98" s="3"/>
      <c r="B98" s="3" t="s">
        <v>127</v>
      </c>
      <c r="C98" s="5">
        <v>3532</v>
      </c>
      <c r="D98" s="5">
        <v>766.92000000000007</v>
      </c>
      <c r="E98" s="13">
        <v>0.21713476783691962</v>
      </c>
    </row>
    <row r="99" spans="1:5" x14ac:dyDescent="0.3">
      <c r="A99" s="3"/>
      <c r="B99" s="3" t="s">
        <v>722</v>
      </c>
      <c r="C99" s="5">
        <v>4100</v>
      </c>
      <c r="D99" s="5">
        <v>1354.17</v>
      </c>
      <c r="E99" s="13">
        <v>0.33028536585365853</v>
      </c>
    </row>
    <row r="100" spans="1:5" x14ac:dyDescent="0.3">
      <c r="A100" s="3"/>
      <c r="B100" s="3" t="s">
        <v>319</v>
      </c>
      <c r="C100" s="5">
        <v>1323</v>
      </c>
      <c r="D100" s="5">
        <v>480.75</v>
      </c>
      <c r="E100" s="13">
        <v>0.36337868480725621</v>
      </c>
    </row>
    <row r="101" spans="1:5" x14ac:dyDescent="0.3">
      <c r="A101" s="3"/>
      <c r="B101" s="3" t="s">
        <v>321</v>
      </c>
      <c r="C101" s="5">
        <v>9592</v>
      </c>
      <c r="D101" s="5">
        <v>3659.38</v>
      </c>
      <c r="E101" s="13">
        <v>0.38150333611342785</v>
      </c>
    </row>
    <row r="102" spans="1:5" x14ac:dyDescent="0.3">
      <c r="A102" s="3"/>
      <c r="B102" s="3" t="s">
        <v>91</v>
      </c>
      <c r="C102" s="5">
        <v>4540</v>
      </c>
      <c r="D102" s="5">
        <v>1326.7600000000002</v>
      </c>
      <c r="E102" s="13">
        <v>0.29223788546255514</v>
      </c>
    </row>
    <row r="103" spans="1:5" x14ac:dyDescent="0.3">
      <c r="A103" s="3"/>
      <c r="B103" s="3" t="s">
        <v>279</v>
      </c>
      <c r="C103" s="5">
        <v>1400</v>
      </c>
      <c r="D103" s="5">
        <v>551.91</v>
      </c>
      <c r="E103" s="13">
        <v>0.39422142857142856</v>
      </c>
    </row>
    <row r="104" spans="1:5" x14ac:dyDescent="0.3">
      <c r="A104" s="3"/>
      <c r="B104" s="3" t="s">
        <v>609</v>
      </c>
      <c r="C104" s="5">
        <v>324</v>
      </c>
      <c r="D104" s="5">
        <v>134.02000000000001</v>
      </c>
      <c r="E104" s="13">
        <v>0.413641975308642</v>
      </c>
    </row>
    <row r="105" spans="1:5" x14ac:dyDescent="0.3">
      <c r="A105" s="3"/>
      <c r="B105" s="3" t="s">
        <v>93</v>
      </c>
      <c r="C105" s="5">
        <v>10624</v>
      </c>
      <c r="D105" s="5">
        <v>5144.3599999999997</v>
      </c>
      <c r="E105" s="13">
        <v>0.48422063253012043</v>
      </c>
    </row>
    <row r="106" spans="1:5" x14ac:dyDescent="0.3">
      <c r="A106" s="3"/>
      <c r="B106" s="3" t="s">
        <v>723</v>
      </c>
      <c r="C106" s="5">
        <v>9948</v>
      </c>
      <c r="D106" s="5">
        <v>4403.58</v>
      </c>
      <c r="E106" s="13">
        <v>0.44265983112183355</v>
      </c>
    </row>
    <row r="107" spans="1:5" x14ac:dyDescent="0.3">
      <c r="A107" s="3"/>
      <c r="B107" s="3" t="s">
        <v>129</v>
      </c>
      <c r="C107" s="5">
        <v>884</v>
      </c>
      <c r="D107" s="5">
        <v>191.69000000000005</v>
      </c>
      <c r="E107" s="13">
        <v>0.21684389140271498</v>
      </c>
    </row>
    <row r="108" spans="1:5" x14ac:dyDescent="0.3">
      <c r="A108" s="3"/>
      <c r="B108" s="3" t="s">
        <v>610</v>
      </c>
      <c r="C108" s="5">
        <v>228</v>
      </c>
      <c r="D108" s="5">
        <v>114.52</v>
      </c>
      <c r="E108" s="13">
        <v>0.50228070175438599</v>
      </c>
    </row>
    <row r="109" spans="1:5" x14ac:dyDescent="0.3">
      <c r="A109" s="3"/>
      <c r="B109" s="3" t="s">
        <v>724</v>
      </c>
      <c r="C109" s="5">
        <v>21568</v>
      </c>
      <c r="D109" s="5">
        <v>9528.7000000000007</v>
      </c>
      <c r="E109" s="13">
        <v>0.44179803412462909</v>
      </c>
    </row>
    <row r="110" spans="1:5" x14ac:dyDescent="0.3">
      <c r="A110" s="3"/>
      <c r="B110" s="3" t="s">
        <v>490</v>
      </c>
      <c r="C110" s="5">
        <v>5012</v>
      </c>
      <c r="D110" s="5">
        <v>1560.0700000000002</v>
      </c>
      <c r="E110" s="13">
        <v>0.31126695929768561</v>
      </c>
    </row>
    <row r="111" spans="1:5" x14ac:dyDescent="0.3">
      <c r="A111" s="3"/>
      <c r="B111" s="3" t="s">
        <v>131</v>
      </c>
      <c r="C111" s="5">
        <v>7280</v>
      </c>
      <c r="D111" s="5">
        <v>1408.2200000000003</v>
      </c>
      <c r="E111" s="13">
        <v>0.19343681318681322</v>
      </c>
    </row>
    <row r="112" spans="1:5" x14ac:dyDescent="0.3">
      <c r="A112" s="3"/>
      <c r="B112" s="3" t="s">
        <v>612</v>
      </c>
      <c r="C112" s="5">
        <v>152</v>
      </c>
      <c r="D112" s="5">
        <v>66.17</v>
      </c>
      <c r="E112" s="13">
        <v>0.43532894736842104</v>
      </c>
    </row>
    <row r="113" spans="1:5" x14ac:dyDescent="0.3">
      <c r="A113" s="3"/>
      <c r="B113" s="3" t="s">
        <v>281</v>
      </c>
      <c r="C113" s="5">
        <v>424</v>
      </c>
      <c r="D113" s="5">
        <v>164.67000000000002</v>
      </c>
      <c r="E113" s="13">
        <v>0.38837264150943401</v>
      </c>
    </row>
    <row r="114" spans="1:5" x14ac:dyDescent="0.3">
      <c r="A114" s="3"/>
      <c r="B114" s="3" t="s">
        <v>133</v>
      </c>
      <c r="C114" s="5">
        <v>3225</v>
      </c>
      <c r="D114" s="5">
        <v>1050.77</v>
      </c>
      <c r="E114" s="13">
        <v>0.32582015503875966</v>
      </c>
    </row>
    <row r="115" spans="1:5" x14ac:dyDescent="0.3">
      <c r="A115" s="3"/>
      <c r="B115" s="3" t="s">
        <v>95</v>
      </c>
      <c r="C115" s="5">
        <v>47481</v>
      </c>
      <c r="D115" s="5">
        <v>17444.64</v>
      </c>
      <c r="E115" s="13">
        <v>0.36740253996335376</v>
      </c>
    </row>
    <row r="116" spans="1:5" x14ac:dyDescent="0.3">
      <c r="A116" s="3"/>
      <c r="B116" s="3" t="s">
        <v>322</v>
      </c>
      <c r="C116" s="5">
        <v>1276</v>
      </c>
      <c r="D116" s="5">
        <v>354.70000000000005</v>
      </c>
      <c r="E116" s="13">
        <v>0.27797805642633233</v>
      </c>
    </row>
    <row r="117" spans="1:5" x14ac:dyDescent="0.3">
      <c r="A117" s="3"/>
      <c r="B117" s="3" t="s">
        <v>491</v>
      </c>
      <c r="C117" s="5">
        <v>2380</v>
      </c>
      <c r="D117" s="5">
        <v>908.6400000000001</v>
      </c>
      <c r="E117" s="13">
        <v>0.38178151260504206</v>
      </c>
    </row>
    <row r="118" spans="1:5" x14ac:dyDescent="0.3">
      <c r="A118" s="3"/>
      <c r="B118" s="3" t="s">
        <v>97</v>
      </c>
      <c r="C118" s="5">
        <v>8986</v>
      </c>
      <c r="D118" s="5">
        <v>2079.9799999999996</v>
      </c>
      <c r="E118" s="13">
        <v>0.23146895170264853</v>
      </c>
    </row>
    <row r="119" spans="1:5" x14ac:dyDescent="0.3">
      <c r="A119" s="3"/>
      <c r="B119" s="3" t="s">
        <v>726</v>
      </c>
      <c r="C119" s="5">
        <v>15111</v>
      </c>
      <c r="D119" s="5">
        <v>4570.2999999999993</v>
      </c>
      <c r="E119" s="13">
        <v>0.30244854741578975</v>
      </c>
    </row>
    <row r="120" spans="1:5" x14ac:dyDescent="0.3">
      <c r="A120" s="3"/>
      <c r="B120" s="3" t="s">
        <v>493</v>
      </c>
      <c r="C120" s="5">
        <v>3095</v>
      </c>
      <c r="D120" s="5">
        <v>1156.1099999999999</v>
      </c>
      <c r="E120" s="13">
        <v>0.37354119547657511</v>
      </c>
    </row>
    <row r="121" spans="1:5" x14ac:dyDescent="0.3">
      <c r="A121" s="3"/>
      <c r="B121" s="3" t="s">
        <v>283</v>
      </c>
      <c r="C121" s="5">
        <v>2800</v>
      </c>
      <c r="D121" s="5">
        <v>1251.32</v>
      </c>
      <c r="E121" s="13">
        <v>0.44689999999999996</v>
      </c>
    </row>
    <row r="122" spans="1:5" x14ac:dyDescent="0.3">
      <c r="A122" s="3"/>
      <c r="B122" s="3" t="s">
        <v>727</v>
      </c>
      <c r="C122" s="5">
        <v>21054</v>
      </c>
      <c r="D122" s="5">
        <v>4270.57</v>
      </c>
      <c r="E122" s="13">
        <v>0.20283889047211931</v>
      </c>
    </row>
    <row r="123" spans="1:5" x14ac:dyDescent="0.3">
      <c r="A123" s="3"/>
      <c r="B123" s="3" t="s">
        <v>99</v>
      </c>
      <c r="C123" s="5">
        <v>16302</v>
      </c>
      <c r="D123" s="5">
        <v>6103.08</v>
      </c>
      <c r="E123" s="13">
        <v>0.37437615016562387</v>
      </c>
    </row>
    <row r="124" spans="1:5" x14ac:dyDescent="0.3">
      <c r="A124" s="3"/>
      <c r="B124" s="3" t="s">
        <v>597</v>
      </c>
      <c r="C124" s="5">
        <v>987</v>
      </c>
      <c r="D124" s="5">
        <v>285.13</v>
      </c>
      <c r="E124" s="13">
        <v>0.28888551165146908</v>
      </c>
    </row>
    <row r="125" spans="1:5" x14ac:dyDescent="0.3">
      <c r="A125" s="3"/>
      <c r="B125" s="3" t="s">
        <v>494</v>
      </c>
      <c r="C125" s="5">
        <v>2013</v>
      </c>
      <c r="D125" s="5">
        <v>543.73</v>
      </c>
      <c r="E125" s="13">
        <v>0.27010928961748637</v>
      </c>
    </row>
    <row r="126" spans="1:5" x14ac:dyDescent="0.3">
      <c r="A126" s="3"/>
      <c r="B126" s="3" t="s">
        <v>495</v>
      </c>
      <c r="C126" s="5">
        <v>2498</v>
      </c>
      <c r="D126" s="5">
        <v>914.82999999999993</v>
      </c>
      <c r="E126" s="13">
        <v>0.36622497998398718</v>
      </c>
    </row>
    <row r="127" spans="1:5" x14ac:dyDescent="0.3">
      <c r="A127" s="3"/>
      <c r="B127" s="3" t="s">
        <v>323</v>
      </c>
      <c r="C127" s="5">
        <v>2030</v>
      </c>
      <c r="D127" s="5">
        <v>748.34999999999991</v>
      </c>
      <c r="E127" s="13">
        <v>0.36864532019704427</v>
      </c>
    </row>
    <row r="128" spans="1:5" x14ac:dyDescent="0.3">
      <c r="A128" s="3"/>
      <c r="B128" s="3" t="s">
        <v>324</v>
      </c>
      <c r="C128" s="5">
        <v>3395</v>
      </c>
      <c r="D128" s="5">
        <v>966.09000000000015</v>
      </c>
      <c r="E128" s="13">
        <v>0.28456259204712819</v>
      </c>
    </row>
    <row r="129" spans="1:5" x14ac:dyDescent="0.3">
      <c r="A129" s="3"/>
      <c r="B129" s="3" t="s">
        <v>599</v>
      </c>
      <c r="C129" s="5">
        <v>12448</v>
      </c>
      <c r="D129" s="5">
        <v>2458.5499999999993</v>
      </c>
      <c r="E129" s="13">
        <v>0.19750562339331615</v>
      </c>
    </row>
    <row r="130" spans="1:5" x14ac:dyDescent="0.3">
      <c r="A130" s="3"/>
      <c r="B130" s="3" t="s">
        <v>729</v>
      </c>
      <c r="C130" s="5">
        <v>13971</v>
      </c>
      <c r="D130" s="5">
        <v>4324.17</v>
      </c>
      <c r="E130" s="13">
        <v>0.30951041442989047</v>
      </c>
    </row>
    <row r="131" spans="1:5" x14ac:dyDescent="0.3">
      <c r="A131" s="3"/>
      <c r="B131" s="3" t="s">
        <v>614</v>
      </c>
      <c r="C131" s="5">
        <v>497</v>
      </c>
      <c r="D131" s="5">
        <v>176.31</v>
      </c>
      <c r="E131" s="13">
        <v>0.35474849094567407</v>
      </c>
    </row>
    <row r="132" spans="1:5" x14ac:dyDescent="0.3">
      <c r="A132" s="3"/>
      <c r="B132" s="3" t="s">
        <v>135</v>
      </c>
      <c r="C132" s="5">
        <v>4685</v>
      </c>
      <c r="D132" s="5">
        <v>1679.7199999999998</v>
      </c>
      <c r="E132" s="13">
        <v>0.35853148345784414</v>
      </c>
    </row>
    <row r="133" spans="1:5" x14ac:dyDescent="0.3">
      <c r="A133" s="3"/>
      <c r="B133" s="3" t="s">
        <v>137</v>
      </c>
      <c r="C133" s="5">
        <v>3024</v>
      </c>
      <c r="D133" s="5">
        <v>698.07999999999993</v>
      </c>
      <c r="E133" s="13">
        <v>0.23084656084656083</v>
      </c>
    </row>
    <row r="134" spans="1:5" x14ac:dyDescent="0.3">
      <c r="A134" s="3"/>
      <c r="B134" s="3" t="s">
        <v>139</v>
      </c>
      <c r="C134" s="5">
        <v>5712</v>
      </c>
      <c r="D134" s="5">
        <v>1845.8600000000001</v>
      </c>
      <c r="E134" s="13">
        <v>0.32315476190476194</v>
      </c>
    </row>
    <row r="135" spans="1:5" x14ac:dyDescent="0.3">
      <c r="A135" s="3"/>
      <c r="B135" s="3" t="s">
        <v>140</v>
      </c>
      <c r="C135" s="5">
        <v>3168</v>
      </c>
      <c r="D135" s="5">
        <v>486.03999999999996</v>
      </c>
      <c r="E135" s="13">
        <v>0.15342171717171715</v>
      </c>
    </row>
    <row r="136" spans="1:5" x14ac:dyDescent="0.3">
      <c r="A136" s="3"/>
      <c r="B136" s="3" t="s">
        <v>616</v>
      </c>
      <c r="C136" s="5">
        <v>153</v>
      </c>
      <c r="D136" s="5">
        <v>46.519999999999996</v>
      </c>
      <c r="E136" s="13">
        <v>0.30405228758169933</v>
      </c>
    </row>
    <row r="137" spans="1:5" x14ac:dyDescent="0.3">
      <c r="A137" s="3"/>
      <c r="B137" s="3" t="s">
        <v>325</v>
      </c>
      <c r="C137" s="5">
        <v>838</v>
      </c>
      <c r="D137" s="5">
        <v>310.44000000000005</v>
      </c>
      <c r="E137" s="13">
        <v>0.37045346062052514</v>
      </c>
    </row>
    <row r="138" spans="1:5" x14ac:dyDescent="0.3">
      <c r="A138" s="3"/>
      <c r="B138" s="3" t="s">
        <v>284</v>
      </c>
      <c r="C138" s="5">
        <v>2548</v>
      </c>
      <c r="D138" s="5">
        <v>876.56</v>
      </c>
      <c r="E138" s="13">
        <v>0.34401883830455254</v>
      </c>
    </row>
    <row r="139" spans="1:5" x14ac:dyDescent="0.3">
      <c r="A139" s="3"/>
      <c r="B139" s="3" t="s">
        <v>286</v>
      </c>
      <c r="C139" s="5">
        <v>748</v>
      </c>
      <c r="D139" s="5">
        <v>291.18</v>
      </c>
      <c r="E139" s="13">
        <v>0.38927807486631016</v>
      </c>
    </row>
    <row r="140" spans="1:5" x14ac:dyDescent="0.3">
      <c r="A140" s="3"/>
      <c r="B140" s="3" t="s">
        <v>142</v>
      </c>
      <c r="C140" s="5">
        <v>8047</v>
      </c>
      <c r="D140" s="5">
        <v>3044.9799999999996</v>
      </c>
      <c r="E140" s="13">
        <v>0.37839940350441154</v>
      </c>
    </row>
    <row r="141" spans="1:5" x14ac:dyDescent="0.3">
      <c r="A141" s="3"/>
      <c r="B141" s="3" t="s">
        <v>288</v>
      </c>
      <c r="C141" s="5">
        <v>984</v>
      </c>
      <c r="D141" s="5">
        <v>342.73</v>
      </c>
      <c r="E141" s="13">
        <v>0.34830284552845531</v>
      </c>
    </row>
    <row r="142" spans="1:5" x14ac:dyDescent="0.3">
      <c r="A142" s="3"/>
      <c r="B142" s="3" t="s">
        <v>101</v>
      </c>
      <c r="C142" s="5">
        <v>37935</v>
      </c>
      <c r="D142" s="5">
        <v>12934.39</v>
      </c>
      <c r="E142" s="13">
        <v>0.34096190852774483</v>
      </c>
    </row>
    <row r="143" spans="1:5" x14ac:dyDescent="0.3">
      <c r="A143" s="3"/>
      <c r="B143" s="3" t="s">
        <v>618</v>
      </c>
      <c r="C143" s="5">
        <v>490</v>
      </c>
      <c r="D143" s="5">
        <v>146.14999999999998</v>
      </c>
      <c r="E143" s="13">
        <v>0.29826530612244895</v>
      </c>
    </row>
    <row r="144" spans="1:5" x14ac:dyDescent="0.3">
      <c r="A144" s="3"/>
      <c r="B144" s="3" t="s">
        <v>289</v>
      </c>
      <c r="C144" s="5">
        <v>742</v>
      </c>
      <c r="D144" s="5">
        <v>215.65999999999997</v>
      </c>
      <c r="E144" s="13">
        <v>0.29064690026954176</v>
      </c>
    </row>
    <row r="145" spans="1:5" x14ac:dyDescent="0.3">
      <c r="A145" s="3"/>
      <c r="B145" s="3" t="s">
        <v>619</v>
      </c>
      <c r="C145" s="5">
        <v>1188</v>
      </c>
      <c r="D145" s="5">
        <v>271.13</v>
      </c>
      <c r="E145" s="13">
        <v>0.22822390572390572</v>
      </c>
    </row>
    <row r="146" spans="1:5" x14ac:dyDescent="0.3">
      <c r="A146" s="3"/>
      <c r="B146" s="3" t="s">
        <v>620</v>
      </c>
      <c r="C146" s="5">
        <v>582</v>
      </c>
      <c r="D146" s="5">
        <v>214.44</v>
      </c>
      <c r="E146" s="13">
        <v>0.36845360824742268</v>
      </c>
    </row>
    <row r="147" spans="1:5" x14ac:dyDescent="0.3">
      <c r="A147" s="3"/>
      <c r="B147" s="3" t="s">
        <v>291</v>
      </c>
      <c r="C147" s="5">
        <v>716</v>
      </c>
      <c r="D147" s="5">
        <v>231.86</v>
      </c>
      <c r="E147" s="13">
        <v>0.32382681564245813</v>
      </c>
    </row>
    <row r="148" spans="1:5" x14ac:dyDescent="0.3">
      <c r="A148" s="3"/>
      <c r="B148" s="3" t="s">
        <v>293</v>
      </c>
      <c r="C148" s="5">
        <v>532</v>
      </c>
      <c r="D148" s="5">
        <v>173.95999999999998</v>
      </c>
      <c r="E148" s="13">
        <v>0.3269924812030075</v>
      </c>
    </row>
    <row r="149" spans="1:5" x14ac:dyDescent="0.3">
      <c r="A149" s="3"/>
      <c r="B149" s="3" t="s">
        <v>294</v>
      </c>
      <c r="C149" s="5">
        <v>396</v>
      </c>
      <c r="D149" s="5">
        <v>128.07</v>
      </c>
      <c r="E149" s="13">
        <v>0.32340909090909087</v>
      </c>
    </row>
    <row r="150" spans="1:5" x14ac:dyDescent="0.3">
      <c r="A150" s="3"/>
      <c r="B150" s="3" t="s">
        <v>497</v>
      </c>
      <c r="C150" s="5">
        <v>8631</v>
      </c>
      <c r="D150" s="5">
        <v>1829.4899999999998</v>
      </c>
      <c r="E150" s="13">
        <v>0.21196732707681609</v>
      </c>
    </row>
    <row r="151" spans="1:5" x14ac:dyDescent="0.3">
      <c r="A151" s="3"/>
      <c r="B151" s="3" t="s">
        <v>731</v>
      </c>
      <c r="C151" s="5">
        <v>16470</v>
      </c>
      <c r="D151" s="5">
        <v>6112.6299999999992</v>
      </c>
      <c r="E151" s="13">
        <v>0.37113721918639947</v>
      </c>
    </row>
    <row r="152" spans="1:5" x14ac:dyDescent="0.3">
      <c r="A152" s="3"/>
      <c r="B152" s="3" t="s">
        <v>732</v>
      </c>
      <c r="C152" s="5">
        <v>18231</v>
      </c>
      <c r="D152" s="5">
        <v>6289.49</v>
      </c>
      <c r="E152" s="13">
        <v>0.34498875541659807</v>
      </c>
    </row>
    <row r="153" spans="1:5" x14ac:dyDescent="0.3">
      <c r="A153" s="3"/>
      <c r="B153" s="3" t="s">
        <v>296</v>
      </c>
      <c r="C153" s="5">
        <v>2826</v>
      </c>
      <c r="D153" s="5">
        <v>620</v>
      </c>
      <c r="E153" s="13">
        <v>0.21939136588818117</v>
      </c>
    </row>
    <row r="154" spans="1:5" x14ac:dyDescent="0.3">
      <c r="A154" s="3"/>
      <c r="B154" s="3" t="s">
        <v>103</v>
      </c>
      <c r="C154" s="5">
        <v>18360</v>
      </c>
      <c r="D154" s="5">
        <v>5030.49</v>
      </c>
      <c r="E154" s="13">
        <v>0.27399183006535949</v>
      </c>
    </row>
    <row r="155" spans="1:5" x14ac:dyDescent="0.3">
      <c r="A155" s="3"/>
      <c r="B155" s="3" t="s">
        <v>143</v>
      </c>
      <c r="C155" s="5">
        <v>4758</v>
      </c>
      <c r="D155" s="5">
        <v>1895.4299999999998</v>
      </c>
      <c r="E155" s="13">
        <v>0.39836696090794449</v>
      </c>
    </row>
    <row r="156" spans="1:5" x14ac:dyDescent="0.3">
      <c r="A156" s="3"/>
      <c r="B156" s="3" t="s">
        <v>621</v>
      </c>
      <c r="C156" s="5">
        <v>318</v>
      </c>
      <c r="D156" s="5">
        <v>115.94</v>
      </c>
      <c r="E156" s="13">
        <v>0.36459119496855347</v>
      </c>
    </row>
    <row r="157" spans="1:5" x14ac:dyDescent="0.3">
      <c r="A157" s="3"/>
      <c r="B157" s="3" t="s">
        <v>622</v>
      </c>
      <c r="C157" s="5">
        <v>186</v>
      </c>
      <c r="D157" s="5">
        <v>50.460000000000008</v>
      </c>
      <c r="E157" s="13">
        <v>0.27129032258064523</v>
      </c>
    </row>
    <row r="158" spans="1:5" x14ac:dyDescent="0.3">
      <c r="A158" s="3"/>
      <c r="B158" s="3" t="s">
        <v>498</v>
      </c>
      <c r="C158" s="5">
        <v>3772</v>
      </c>
      <c r="D158" s="5">
        <v>1183.3200000000002</v>
      </c>
      <c r="E158" s="13">
        <v>0.31371155885471902</v>
      </c>
    </row>
    <row r="159" spans="1:5" x14ac:dyDescent="0.3">
      <c r="A159" s="3"/>
      <c r="B159" s="3" t="s">
        <v>500</v>
      </c>
      <c r="C159" s="5">
        <v>2432</v>
      </c>
      <c r="D159" s="5">
        <v>1364.79</v>
      </c>
      <c r="E159" s="13">
        <v>0.56118009868421048</v>
      </c>
    </row>
    <row r="160" spans="1:5" x14ac:dyDescent="0.3">
      <c r="A160" s="3"/>
      <c r="B160" s="3" t="s">
        <v>623</v>
      </c>
      <c r="C160" s="5">
        <v>540</v>
      </c>
      <c r="D160" s="5">
        <v>225.55</v>
      </c>
      <c r="E160" s="13">
        <v>0.41768518518518521</v>
      </c>
    </row>
    <row r="161" spans="1:5" x14ac:dyDescent="0.3">
      <c r="A161" s="3"/>
      <c r="B161" s="3" t="s">
        <v>105</v>
      </c>
      <c r="C161" s="5">
        <v>16500</v>
      </c>
      <c r="D161" s="5">
        <v>3577.5</v>
      </c>
      <c r="E161" s="13">
        <v>0.21681818181818183</v>
      </c>
    </row>
    <row r="162" spans="1:5" x14ac:dyDescent="0.3">
      <c r="A162" s="3"/>
      <c r="B162" s="3" t="s">
        <v>600</v>
      </c>
      <c r="C162" s="5">
        <v>3902</v>
      </c>
      <c r="D162" s="5">
        <v>1131.4699999999998</v>
      </c>
      <c r="E162" s="13">
        <v>0.28997180932854943</v>
      </c>
    </row>
    <row r="163" spans="1:5" x14ac:dyDescent="0.3">
      <c r="A163" s="3"/>
      <c r="B163" s="3" t="s">
        <v>502</v>
      </c>
      <c r="C163" s="5">
        <v>1078</v>
      </c>
      <c r="D163" s="5">
        <v>403.14</v>
      </c>
      <c r="E163" s="13">
        <v>0.37397031539888681</v>
      </c>
    </row>
    <row r="164" spans="1:5" x14ac:dyDescent="0.3">
      <c r="A164" s="3"/>
      <c r="B164" s="3" t="s">
        <v>144</v>
      </c>
      <c r="C164" s="5">
        <v>2668</v>
      </c>
      <c r="D164" s="5">
        <v>790.81</v>
      </c>
      <c r="E164" s="13">
        <v>0.29640554722638679</v>
      </c>
    </row>
    <row r="165" spans="1:5" x14ac:dyDescent="0.3">
      <c r="A165" s="3"/>
      <c r="B165" s="3" t="s">
        <v>107</v>
      </c>
      <c r="C165" s="5">
        <v>7994</v>
      </c>
      <c r="D165" s="5">
        <v>2847.26</v>
      </c>
      <c r="E165" s="13">
        <v>0.35617463097322993</v>
      </c>
    </row>
    <row r="166" spans="1:5" x14ac:dyDescent="0.3">
      <c r="A166" s="3"/>
      <c r="B166" s="3" t="s">
        <v>298</v>
      </c>
      <c r="C166" s="5">
        <v>1448</v>
      </c>
      <c r="D166" s="5">
        <v>324.41000000000008</v>
      </c>
      <c r="E166" s="13">
        <v>0.22404005524861884</v>
      </c>
    </row>
    <row r="167" spans="1:5" x14ac:dyDescent="0.3">
      <c r="A167" s="3"/>
      <c r="B167" s="3" t="s">
        <v>504</v>
      </c>
      <c r="C167" s="5">
        <v>3318</v>
      </c>
      <c r="D167" s="5">
        <v>1029.58</v>
      </c>
      <c r="E167" s="13">
        <v>0.31030138637733573</v>
      </c>
    </row>
    <row r="168" spans="1:5" x14ac:dyDescent="0.3">
      <c r="A168" s="3"/>
      <c r="B168" s="3" t="s">
        <v>624</v>
      </c>
      <c r="C168" s="5">
        <v>288</v>
      </c>
      <c r="D168" s="5">
        <v>80.080000000000013</v>
      </c>
      <c r="E168" s="13">
        <v>0.27805555555555561</v>
      </c>
    </row>
    <row r="169" spans="1:5" x14ac:dyDescent="0.3">
      <c r="A169" s="3"/>
      <c r="B169" s="3" t="s">
        <v>327</v>
      </c>
      <c r="C169" s="5">
        <v>1578</v>
      </c>
      <c r="D169" s="5">
        <v>862.02</v>
      </c>
      <c r="E169" s="13">
        <v>0.54627376425855512</v>
      </c>
    </row>
    <row r="170" spans="1:5" x14ac:dyDescent="0.3">
      <c r="A170" s="3"/>
      <c r="B170" s="3" t="s">
        <v>146</v>
      </c>
      <c r="C170" s="5">
        <v>1616</v>
      </c>
      <c r="D170" s="5">
        <v>636.11</v>
      </c>
      <c r="E170" s="13">
        <v>0.39363242574257429</v>
      </c>
    </row>
    <row r="171" spans="1:5" x14ac:dyDescent="0.3">
      <c r="A171" s="3"/>
      <c r="B171" s="3" t="s">
        <v>733</v>
      </c>
      <c r="C171" s="5">
        <v>38200</v>
      </c>
      <c r="D171" s="5">
        <v>10640.07</v>
      </c>
      <c r="E171" s="13">
        <v>0.27853586387434554</v>
      </c>
    </row>
    <row r="172" spans="1:5" x14ac:dyDescent="0.3">
      <c r="A172" s="3"/>
      <c r="B172" s="3" t="s">
        <v>601</v>
      </c>
      <c r="C172" s="5">
        <v>3264</v>
      </c>
      <c r="D172" s="5">
        <v>1199.5500000000002</v>
      </c>
      <c r="E172" s="13">
        <v>0.36750919117647063</v>
      </c>
    </row>
    <row r="173" spans="1:5" x14ac:dyDescent="0.3">
      <c r="A173" s="3"/>
      <c r="B173" s="3" t="s">
        <v>109</v>
      </c>
      <c r="C173" s="5">
        <v>48492</v>
      </c>
      <c r="D173" s="5">
        <v>15963.740000000002</v>
      </c>
      <c r="E173" s="13">
        <v>0.32920357997195415</v>
      </c>
    </row>
    <row r="174" spans="1:5" x14ac:dyDescent="0.3">
      <c r="A174" s="3"/>
      <c r="B174" s="3" t="s">
        <v>505</v>
      </c>
      <c r="C174" s="5">
        <v>1384</v>
      </c>
      <c r="D174" s="5">
        <v>493.01</v>
      </c>
      <c r="E174" s="13">
        <v>0.35622109826589593</v>
      </c>
    </row>
    <row r="175" spans="1:5" x14ac:dyDescent="0.3">
      <c r="A175" s="3"/>
      <c r="B175" s="3" t="s">
        <v>625</v>
      </c>
      <c r="C175" s="5">
        <v>400</v>
      </c>
      <c r="D175" s="5">
        <v>101.86000000000001</v>
      </c>
      <c r="E175" s="13">
        <v>0.25465000000000004</v>
      </c>
    </row>
    <row r="176" spans="1:5" x14ac:dyDescent="0.3">
      <c r="A176" s="3"/>
      <c r="B176" s="3" t="s">
        <v>299</v>
      </c>
      <c r="C176" s="5">
        <v>680</v>
      </c>
      <c r="D176" s="5">
        <v>258.44</v>
      </c>
      <c r="E176" s="13">
        <v>0.38005882352941178</v>
      </c>
    </row>
    <row r="177" spans="1:5" x14ac:dyDescent="0.3">
      <c r="A177" s="3"/>
      <c r="B177" s="3" t="s">
        <v>148</v>
      </c>
      <c r="C177" s="5">
        <v>2175</v>
      </c>
      <c r="D177" s="5">
        <v>522.45000000000005</v>
      </c>
      <c r="E177" s="13">
        <v>0.24020689655172417</v>
      </c>
    </row>
    <row r="178" spans="1:5" x14ac:dyDescent="0.3">
      <c r="A178" s="3"/>
      <c r="B178" s="3" t="s">
        <v>506</v>
      </c>
      <c r="C178" s="5">
        <v>1998</v>
      </c>
      <c r="D178" s="5">
        <v>690.46</v>
      </c>
      <c r="E178" s="13">
        <v>0.34557557557557561</v>
      </c>
    </row>
    <row r="179" spans="1:5" x14ac:dyDescent="0.3">
      <c r="A179" s="3"/>
      <c r="B179" s="3" t="s">
        <v>734</v>
      </c>
      <c r="C179" s="5">
        <v>11142</v>
      </c>
      <c r="D179" s="5">
        <v>4584.49</v>
      </c>
      <c r="E179" s="13">
        <v>0.41146024053132291</v>
      </c>
    </row>
    <row r="180" spans="1:5" x14ac:dyDescent="0.3">
      <c r="A180" s="3"/>
      <c r="B180" s="3" t="s">
        <v>328</v>
      </c>
      <c r="C180" s="5">
        <v>1968</v>
      </c>
      <c r="D180" s="5">
        <v>515.53</v>
      </c>
      <c r="E180" s="13">
        <v>0.26195630081300814</v>
      </c>
    </row>
    <row r="181" spans="1:5" x14ac:dyDescent="0.3">
      <c r="A181" s="3"/>
      <c r="B181" s="3" t="s">
        <v>301</v>
      </c>
      <c r="C181" s="5">
        <v>1775</v>
      </c>
      <c r="D181" s="5">
        <v>475.6400000000001</v>
      </c>
      <c r="E181" s="13">
        <v>0.26796619718309866</v>
      </c>
    </row>
    <row r="182" spans="1:5" x14ac:dyDescent="0.3">
      <c r="A182" s="3"/>
      <c r="B182" s="3" t="s">
        <v>627</v>
      </c>
      <c r="C182" s="5">
        <v>194</v>
      </c>
      <c r="D182" s="5">
        <v>63.360000000000014</v>
      </c>
      <c r="E182" s="13">
        <v>0.32659793814432997</v>
      </c>
    </row>
    <row r="183" spans="1:5" x14ac:dyDescent="0.3">
      <c r="A183" s="3"/>
      <c r="B183" s="3" t="s">
        <v>150</v>
      </c>
      <c r="C183" s="5">
        <v>2380</v>
      </c>
      <c r="D183" s="5">
        <v>1033.3900000000001</v>
      </c>
      <c r="E183" s="13">
        <v>0.43419747899159666</v>
      </c>
    </row>
    <row r="184" spans="1:5" x14ac:dyDescent="0.3">
      <c r="A184" s="3"/>
      <c r="B184" s="3" t="s">
        <v>110</v>
      </c>
      <c r="C184" s="5">
        <v>17205</v>
      </c>
      <c r="D184" s="5">
        <v>5685.9400000000005</v>
      </c>
      <c r="E184" s="13">
        <v>0.33048183667538511</v>
      </c>
    </row>
    <row r="185" spans="1:5" x14ac:dyDescent="0.3">
      <c r="A185" s="3"/>
      <c r="B185" s="3" t="s">
        <v>602</v>
      </c>
      <c r="C185" s="5">
        <v>4305</v>
      </c>
      <c r="D185" s="5">
        <v>1404.9899999999998</v>
      </c>
      <c r="E185" s="13">
        <v>0.32636236933797902</v>
      </c>
    </row>
    <row r="186" spans="1:5" x14ac:dyDescent="0.3">
      <c r="A186" s="3"/>
      <c r="B186" s="3" t="s">
        <v>112</v>
      </c>
      <c r="C186" s="5">
        <v>4089</v>
      </c>
      <c r="D186" s="5">
        <v>1412.56</v>
      </c>
      <c r="E186" s="13">
        <v>0.34545365615064805</v>
      </c>
    </row>
    <row r="187" spans="1:5" x14ac:dyDescent="0.3">
      <c r="A187" s="3"/>
      <c r="B187" s="3" t="s">
        <v>302</v>
      </c>
      <c r="C187" s="5">
        <v>2860</v>
      </c>
      <c r="D187" s="5">
        <v>766.94</v>
      </c>
      <c r="E187" s="13">
        <v>0.26816083916083916</v>
      </c>
    </row>
    <row r="188" spans="1:5" x14ac:dyDescent="0.3">
      <c r="A188" s="3"/>
      <c r="B188" s="3" t="s">
        <v>628</v>
      </c>
      <c r="C188" s="5">
        <v>190</v>
      </c>
      <c r="D188" s="5">
        <v>80.180000000000007</v>
      </c>
      <c r="E188" s="13">
        <v>0.42200000000000004</v>
      </c>
    </row>
    <row r="189" spans="1:5" x14ac:dyDescent="0.3">
      <c r="A189" s="3"/>
      <c r="B189" s="3" t="s">
        <v>303</v>
      </c>
      <c r="C189" s="5">
        <v>1683</v>
      </c>
      <c r="D189" s="5">
        <v>449.70000000000005</v>
      </c>
      <c r="E189" s="13">
        <v>0.26720142602495545</v>
      </c>
    </row>
    <row r="190" spans="1:5" x14ac:dyDescent="0.3">
      <c r="A190" s="3"/>
      <c r="B190" s="3" t="s">
        <v>629</v>
      </c>
      <c r="C190" s="5">
        <v>404</v>
      </c>
      <c r="D190" s="5">
        <v>116.62</v>
      </c>
      <c r="E190" s="13">
        <v>0.2886633663366337</v>
      </c>
    </row>
    <row r="191" spans="1:5" x14ac:dyDescent="0.3">
      <c r="A191" s="3"/>
      <c r="B191" s="3" t="s">
        <v>330</v>
      </c>
      <c r="C191" s="5">
        <v>700</v>
      </c>
      <c r="D191" s="5">
        <v>291.12</v>
      </c>
      <c r="E191" s="13">
        <v>0.4158857142857143</v>
      </c>
    </row>
    <row r="192" spans="1:5" x14ac:dyDescent="0.3">
      <c r="A192" s="3"/>
      <c r="B192" s="3" t="s">
        <v>736</v>
      </c>
      <c r="C192" s="5">
        <v>8888</v>
      </c>
      <c r="D192" s="5">
        <v>2793.6800000000003</v>
      </c>
      <c r="E192" s="13">
        <v>0.31432043204320437</v>
      </c>
    </row>
    <row r="193" spans="1:5" x14ac:dyDescent="0.3">
      <c r="A193" s="3"/>
      <c r="B193" s="3" t="s">
        <v>305</v>
      </c>
      <c r="C193" s="5">
        <v>2961</v>
      </c>
      <c r="D193" s="5">
        <v>909.04</v>
      </c>
      <c r="E193" s="13">
        <v>0.30700439040864569</v>
      </c>
    </row>
    <row r="194" spans="1:5" x14ac:dyDescent="0.3">
      <c r="A194" s="3"/>
      <c r="B194" s="3" t="s">
        <v>306</v>
      </c>
      <c r="C194" s="5">
        <v>2728</v>
      </c>
      <c r="D194" s="5">
        <v>1239.45</v>
      </c>
      <c r="E194" s="13">
        <v>0.45434384164222874</v>
      </c>
    </row>
    <row r="195" spans="1:5" x14ac:dyDescent="0.3">
      <c r="A195" s="3"/>
      <c r="B195" s="3" t="s">
        <v>114</v>
      </c>
      <c r="C195" s="5">
        <v>3679</v>
      </c>
      <c r="D195" s="5">
        <v>1185.8699999999999</v>
      </c>
      <c r="E195" s="13">
        <v>0.32233487360695839</v>
      </c>
    </row>
    <row r="196" spans="1:5" x14ac:dyDescent="0.3">
      <c r="A196" s="3"/>
      <c r="B196" s="3" t="s">
        <v>307</v>
      </c>
      <c r="C196" s="5">
        <v>1413</v>
      </c>
      <c r="D196" s="5">
        <v>498.86</v>
      </c>
      <c r="E196" s="13">
        <v>0.35305024769992926</v>
      </c>
    </row>
    <row r="197" spans="1:5" x14ac:dyDescent="0.3">
      <c r="A197" s="3"/>
      <c r="B197" s="3" t="s">
        <v>507</v>
      </c>
      <c r="C197" s="5">
        <v>1278</v>
      </c>
      <c r="D197" s="5">
        <v>394.53</v>
      </c>
      <c r="E197" s="13">
        <v>0.30870892018779339</v>
      </c>
    </row>
    <row r="198" spans="1:5" x14ac:dyDescent="0.3">
      <c r="A198" s="3"/>
      <c r="B198" s="3" t="s">
        <v>116</v>
      </c>
      <c r="C198" s="5">
        <v>8548</v>
      </c>
      <c r="D198" s="5">
        <v>2320.9899999999998</v>
      </c>
      <c r="E198" s="13">
        <v>0.27152433317735142</v>
      </c>
    </row>
    <row r="199" spans="1:5" x14ac:dyDescent="0.3">
      <c r="A199" s="3" t="s">
        <v>854</v>
      </c>
      <c r="B199" s="3"/>
      <c r="C199" s="5">
        <v>985951</v>
      </c>
      <c r="D199" s="5">
        <v>313430.14999999997</v>
      </c>
      <c r="E199" s="13">
        <v>0.31789627476416166</v>
      </c>
    </row>
    <row r="200" spans="1:5" x14ac:dyDescent="0.3">
      <c r="A200" s="3" t="s">
        <v>71</v>
      </c>
      <c r="B200" s="3" t="s">
        <v>536</v>
      </c>
      <c r="C200" s="5">
        <v>3010</v>
      </c>
      <c r="D200" s="5">
        <v>700.67000000000007</v>
      </c>
      <c r="E200" s="13">
        <v>0.23278073089700999</v>
      </c>
    </row>
    <row r="201" spans="1:5" x14ac:dyDescent="0.3">
      <c r="A201" s="3"/>
      <c r="B201" s="3" t="s">
        <v>509</v>
      </c>
      <c r="C201" s="5">
        <v>53631</v>
      </c>
      <c r="D201" s="5">
        <v>10321.059999999998</v>
      </c>
      <c r="E201" s="13">
        <v>0.19244578695157646</v>
      </c>
    </row>
    <row r="202" spans="1:5" x14ac:dyDescent="0.3">
      <c r="A202" s="3"/>
      <c r="B202" s="3" t="s">
        <v>557</v>
      </c>
      <c r="C202" s="5">
        <v>35568</v>
      </c>
      <c r="D202" s="5">
        <v>8491.07</v>
      </c>
      <c r="E202" s="13">
        <v>0.23872778902384165</v>
      </c>
    </row>
    <row r="203" spans="1:5" x14ac:dyDescent="0.3">
      <c r="A203" s="3"/>
      <c r="B203" s="3" t="s">
        <v>559</v>
      </c>
      <c r="C203" s="5">
        <v>12357</v>
      </c>
      <c r="D203" s="5">
        <v>1786.2099999999991</v>
      </c>
      <c r="E203" s="13">
        <v>0.14455045723071935</v>
      </c>
    </row>
    <row r="204" spans="1:5" x14ac:dyDescent="0.3">
      <c r="A204" s="3"/>
      <c r="B204" s="3" t="s">
        <v>332</v>
      </c>
      <c r="C204" s="5">
        <v>13284</v>
      </c>
      <c r="D204" s="5">
        <v>4849.0599999999995</v>
      </c>
      <c r="E204" s="13">
        <v>0.36503011141222519</v>
      </c>
    </row>
    <row r="205" spans="1:5" x14ac:dyDescent="0.3">
      <c r="A205" s="3"/>
      <c r="B205" s="3" t="s">
        <v>227</v>
      </c>
      <c r="C205" s="5">
        <v>1995</v>
      </c>
      <c r="D205" s="5">
        <v>468</v>
      </c>
      <c r="E205" s="13">
        <v>0.23458646616541354</v>
      </c>
    </row>
    <row r="206" spans="1:5" x14ac:dyDescent="0.3">
      <c r="A206" s="3"/>
      <c r="B206" s="3" t="s">
        <v>365</v>
      </c>
      <c r="C206" s="5">
        <v>2246</v>
      </c>
      <c r="D206" s="5">
        <v>700.43000000000006</v>
      </c>
      <c r="E206" s="13">
        <v>0.31185663401602853</v>
      </c>
    </row>
    <row r="207" spans="1:5" x14ac:dyDescent="0.3">
      <c r="A207" s="3"/>
      <c r="B207" s="3" t="s">
        <v>334</v>
      </c>
      <c r="C207" s="5">
        <v>4617</v>
      </c>
      <c r="D207" s="5">
        <v>936.71</v>
      </c>
      <c r="E207" s="13">
        <v>0.20288282434481267</v>
      </c>
    </row>
    <row r="208" spans="1:5" x14ac:dyDescent="0.3">
      <c r="A208" s="3"/>
      <c r="B208" s="3" t="s">
        <v>560</v>
      </c>
      <c r="C208" s="5">
        <v>5357</v>
      </c>
      <c r="D208" s="5">
        <v>1451.6100000000001</v>
      </c>
      <c r="E208" s="13">
        <v>0.27097442598469296</v>
      </c>
    </row>
    <row r="209" spans="1:5" x14ac:dyDescent="0.3">
      <c r="A209" s="3"/>
      <c r="B209" s="3" t="s">
        <v>368</v>
      </c>
      <c r="C209" s="5">
        <v>2090</v>
      </c>
      <c r="D209" s="5">
        <v>558.75</v>
      </c>
      <c r="E209" s="13">
        <v>0.2673444976076555</v>
      </c>
    </row>
    <row r="210" spans="1:5" x14ac:dyDescent="0.3">
      <c r="A210" s="3"/>
      <c r="B210" s="3" t="s">
        <v>230</v>
      </c>
      <c r="C210" s="5">
        <v>4090</v>
      </c>
      <c r="D210" s="5">
        <v>885.90999999999985</v>
      </c>
      <c r="E210" s="13">
        <v>0.21660391198044007</v>
      </c>
    </row>
    <row r="211" spans="1:5" x14ac:dyDescent="0.3">
      <c r="A211" s="3"/>
      <c r="B211" s="3" t="s">
        <v>512</v>
      </c>
      <c r="C211" s="5">
        <v>214660</v>
      </c>
      <c r="D211" s="5">
        <v>58252.829999999987</v>
      </c>
      <c r="E211" s="13">
        <v>0.27137254262554733</v>
      </c>
    </row>
    <row r="212" spans="1:5" x14ac:dyDescent="0.3">
      <c r="A212" s="3"/>
      <c r="B212" s="3" t="s">
        <v>335</v>
      </c>
      <c r="C212" s="5">
        <v>2622</v>
      </c>
      <c r="D212" s="5">
        <v>634.32999999999993</v>
      </c>
      <c r="E212" s="13">
        <v>0.24192601067887107</v>
      </c>
    </row>
    <row r="213" spans="1:5" x14ac:dyDescent="0.3">
      <c r="A213" s="3"/>
      <c r="B213" s="3" t="s">
        <v>538</v>
      </c>
      <c r="C213" s="5">
        <v>5730</v>
      </c>
      <c r="D213" s="5">
        <v>1179.46</v>
      </c>
      <c r="E213" s="13">
        <v>0.20583944153577663</v>
      </c>
    </row>
    <row r="214" spans="1:5" x14ac:dyDescent="0.3">
      <c r="A214" s="3"/>
      <c r="B214" s="3" t="s">
        <v>674</v>
      </c>
      <c r="C214" s="5">
        <v>4028</v>
      </c>
      <c r="D214" s="5">
        <v>976.25</v>
      </c>
      <c r="E214" s="13">
        <v>0.24236593843098311</v>
      </c>
    </row>
    <row r="215" spans="1:5" x14ac:dyDescent="0.3">
      <c r="A215" s="3"/>
      <c r="B215" s="3" t="s">
        <v>69</v>
      </c>
      <c r="C215" s="5">
        <v>1518</v>
      </c>
      <c r="D215" s="5">
        <v>399.47</v>
      </c>
      <c r="E215" s="13">
        <v>0.26315546772068515</v>
      </c>
    </row>
    <row r="216" spans="1:5" x14ac:dyDescent="0.3">
      <c r="A216" s="3"/>
      <c r="B216" s="3" t="s">
        <v>337</v>
      </c>
      <c r="C216" s="5">
        <v>1680</v>
      </c>
      <c r="D216" s="5">
        <v>563.22</v>
      </c>
      <c r="E216" s="13">
        <v>0.33524999999999999</v>
      </c>
    </row>
    <row r="217" spans="1:5" x14ac:dyDescent="0.3">
      <c r="A217" s="3"/>
      <c r="B217" s="3" t="s">
        <v>513</v>
      </c>
      <c r="C217" s="5">
        <v>65301</v>
      </c>
      <c r="D217" s="5">
        <v>20585.760000000002</v>
      </c>
      <c r="E217" s="13">
        <v>0.31524417696513074</v>
      </c>
    </row>
    <row r="218" spans="1:5" x14ac:dyDescent="0.3">
      <c r="A218" s="3"/>
      <c r="B218" s="3" t="s">
        <v>539</v>
      </c>
      <c r="C218" s="5">
        <v>1875</v>
      </c>
      <c r="D218" s="5">
        <v>268.67000000000007</v>
      </c>
      <c r="E218" s="13">
        <v>0.14329066666666671</v>
      </c>
    </row>
    <row r="219" spans="1:5" x14ac:dyDescent="0.3">
      <c r="A219" s="3"/>
      <c r="B219" s="3" t="s">
        <v>370</v>
      </c>
      <c r="C219" s="5">
        <v>1614</v>
      </c>
      <c r="D219" s="5">
        <v>310.59999999999991</v>
      </c>
      <c r="E219" s="13">
        <v>0.1924411400247831</v>
      </c>
    </row>
    <row r="220" spans="1:5" x14ac:dyDescent="0.3">
      <c r="A220" s="3"/>
      <c r="B220" s="3" t="s">
        <v>676</v>
      </c>
      <c r="C220" s="5">
        <v>15696</v>
      </c>
      <c r="D220" s="5">
        <v>3339.3700000000008</v>
      </c>
      <c r="E220" s="13">
        <v>0.2127529306829766</v>
      </c>
    </row>
    <row r="221" spans="1:5" x14ac:dyDescent="0.3">
      <c r="A221" s="3"/>
      <c r="B221" s="3" t="s">
        <v>562</v>
      </c>
      <c r="C221" s="5">
        <v>4748</v>
      </c>
      <c r="D221" s="5">
        <v>1416.63</v>
      </c>
      <c r="E221" s="13">
        <v>0.2983635214827296</v>
      </c>
    </row>
    <row r="222" spans="1:5" x14ac:dyDescent="0.3">
      <c r="A222" s="3"/>
      <c r="B222" s="3" t="s">
        <v>338</v>
      </c>
      <c r="C222" s="5">
        <v>2325</v>
      </c>
      <c r="D222" s="5">
        <v>462.78</v>
      </c>
      <c r="E222" s="13">
        <v>0.19904516129032257</v>
      </c>
    </row>
    <row r="223" spans="1:5" x14ac:dyDescent="0.3">
      <c r="A223" s="3"/>
      <c r="B223" s="3" t="s">
        <v>340</v>
      </c>
      <c r="C223" s="5">
        <v>7176</v>
      </c>
      <c r="D223" s="5">
        <v>1253.2600000000002</v>
      </c>
      <c r="E223" s="13">
        <v>0.1746460423634337</v>
      </c>
    </row>
    <row r="224" spans="1:5" x14ac:dyDescent="0.3">
      <c r="A224" s="3"/>
      <c r="B224" s="3" t="s">
        <v>372</v>
      </c>
      <c r="C224" s="5">
        <v>1341</v>
      </c>
      <c r="D224" s="5">
        <v>250.76</v>
      </c>
      <c r="E224" s="13">
        <v>0.18699478001491424</v>
      </c>
    </row>
    <row r="225" spans="1:5" x14ac:dyDescent="0.3">
      <c r="A225" s="3"/>
      <c r="B225" s="3" t="s">
        <v>342</v>
      </c>
      <c r="C225" s="5">
        <v>7784</v>
      </c>
      <c r="D225" s="5">
        <v>1760.63</v>
      </c>
      <c r="E225" s="13">
        <v>0.22618576567317575</v>
      </c>
    </row>
    <row r="226" spans="1:5" x14ac:dyDescent="0.3">
      <c r="A226" s="3"/>
      <c r="B226" s="3" t="s">
        <v>343</v>
      </c>
      <c r="C226" s="5">
        <v>18468</v>
      </c>
      <c r="D226" s="5">
        <v>4424.26</v>
      </c>
      <c r="E226" s="13">
        <v>0.23956356941737059</v>
      </c>
    </row>
    <row r="227" spans="1:5" x14ac:dyDescent="0.3">
      <c r="A227" s="3"/>
      <c r="B227" s="3" t="s">
        <v>515</v>
      </c>
      <c r="C227" s="5">
        <v>20168</v>
      </c>
      <c r="D227" s="5">
        <v>4807.7299999999996</v>
      </c>
      <c r="E227" s="13">
        <v>0.23838407378024593</v>
      </c>
    </row>
    <row r="228" spans="1:5" x14ac:dyDescent="0.3">
      <c r="A228" s="3"/>
      <c r="B228" s="3" t="s">
        <v>517</v>
      </c>
      <c r="C228" s="5">
        <v>82332</v>
      </c>
      <c r="D228" s="5">
        <v>22597.690000000002</v>
      </c>
      <c r="E228" s="13">
        <v>0.27447031530874999</v>
      </c>
    </row>
    <row r="229" spans="1:5" x14ac:dyDescent="0.3">
      <c r="A229" s="3"/>
      <c r="B229" s="3" t="s">
        <v>677</v>
      </c>
      <c r="C229" s="5">
        <v>11320</v>
      </c>
      <c r="D229" s="5">
        <v>3127.42</v>
      </c>
      <c r="E229" s="13">
        <v>0.27627385159010603</v>
      </c>
    </row>
    <row r="230" spans="1:5" x14ac:dyDescent="0.3">
      <c r="A230" s="3"/>
      <c r="B230" s="3" t="s">
        <v>519</v>
      </c>
      <c r="C230" s="5">
        <v>94305</v>
      </c>
      <c r="D230" s="5">
        <v>19783.449999999997</v>
      </c>
      <c r="E230" s="13">
        <v>0.20978155983245847</v>
      </c>
    </row>
    <row r="231" spans="1:5" x14ac:dyDescent="0.3">
      <c r="A231" s="3"/>
      <c r="B231" s="3" t="s">
        <v>374</v>
      </c>
      <c r="C231" s="5">
        <v>8310</v>
      </c>
      <c r="D231" s="5">
        <v>2155.91</v>
      </c>
      <c r="E231" s="13">
        <v>0.25943561973525869</v>
      </c>
    </row>
    <row r="232" spans="1:5" x14ac:dyDescent="0.3">
      <c r="A232" s="3"/>
      <c r="B232" s="3" t="s">
        <v>344</v>
      </c>
      <c r="C232" s="5">
        <v>2900</v>
      </c>
      <c r="D232" s="5">
        <v>747.23999999999978</v>
      </c>
      <c r="E232" s="13">
        <v>0.25766896551724128</v>
      </c>
    </row>
    <row r="233" spans="1:5" x14ac:dyDescent="0.3">
      <c r="A233" s="3"/>
      <c r="B233" s="3" t="s">
        <v>520</v>
      </c>
      <c r="C233" s="5">
        <v>60810</v>
      </c>
      <c r="D233" s="5">
        <v>12364.39</v>
      </c>
      <c r="E233" s="13">
        <v>0.20332823548758427</v>
      </c>
    </row>
    <row r="234" spans="1:5" x14ac:dyDescent="0.3">
      <c r="A234" s="3"/>
      <c r="B234" s="3" t="s">
        <v>564</v>
      </c>
      <c r="C234" s="5">
        <v>18936</v>
      </c>
      <c r="D234" s="5">
        <v>4307.4699999999993</v>
      </c>
      <c r="E234" s="13">
        <v>0.22747517955217572</v>
      </c>
    </row>
    <row r="235" spans="1:5" x14ac:dyDescent="0.3">
      <c r="A235" s="3"/>
      <c r="B235" s="3" t="s">
        <v>231</v>
      </c>
      <c r="C235" s="5">
        <v>1175</v>
      </c>
      <c r="D235" s="5">
        <v>242.80999999999995</v>
      </c>
      <c r="E235" s="13">
        <v>0.20664680851063824</v>
      </c>
    </row>
    <row r="236" spans="1:5" x14ac:dyDescent="0.3">
      <c r="A236" s="3"/>
      <c r="B236" s="3" t="s">
        <v>346</v>
      </c>
      <c r="C236" s="5">
        <v>18601</v>
      </c>
      <c r="D236" s="5">
        <v>3490.09</v>
      </c>
      <c r="E236" s="13">
        <v>0.18762915972259556</v>
      </c>
    </row>
    <row r="237" spans="1:5" x14ac:dyDescent="0.3">
      <c r="A237" s="3"/>
      <c r="B237" s="3" t="s">
        <v>347</v>
      </c>
      <c r="C237" s="5">
        <v>4544</v>
      </c>
      <c r="D237" s="5">
        <v>1383.5100000000002</v>
      </c>
      <c r="E237" s="13">
        <v>0.30446963028169016</v>
      </c>
    </row>
    <row r="238" spans="1:5" x14ac:dyDescent="0.3">
      <c r="A238" s="3"/>
      <c r="B238" s="3" t="s">
        <v>375</v>
      </c>
      <c r="C238" s="5">
        <v>1201</v>
      </c>
      <c r="D238" s="5">
        <v>370.71000000000004</v>
      </c>
      <c r="E238" s="13">
        <v>0.30866777685262287</v>
      </c>
    </row>
    <row r="239" spans="1:5" x14ac:dyDescent="0.3">
      <c r="A239" s="3"/>
      <c r="B239" s="3" t="s">
        <v>522</v>
      </c>
      <c r="C239" s="5">
        <v>36110</v>
      </c>
      <c r="D239" s="5">
        <v>12965.619999999999</v>
      </c>
      <c r="E239" s="13">
        <v>0.35905898643035167</v>
      </c>
    </row>
    <row r="240" spans="1:5" x14ac:dyDescent="0.3">
      <c r="A240" s="3"/>
      <c r="B240" s="3" t="s">
        <v>377</v>
      </c>
      <c r="C240" s="5">
        <v>2916</v>
      </c>
      <c r="D240" s="5">
        <v>1007.7</v>
      </c>
      <c r="E240" s="13">
        <v>0.34557613168724283</v>
      </c>
    </row>
    <row r="241" spans="1:5" x14ac:dyDescent="0.3">
      <c r="A241" s="3"/>
      <c r="B241" s="3" t="s">
        <v>565</v>
      </c>
      <c r="C241" s="5">
        <v>19731</v>
      </c>
      <c r="D241" s="5">
        <v>6316.1200000000008</v>
      </c>
      <c r="E241" s="13">
        <v>0.32011149967056918</v>
      </c>
    </row>
    <row r="242" spans="1:5" x14ac:dyDescent="0.3">
      <c r="A242" s="3"/>
      <c r="B242" s="3" t="s">
        <v>73</v>
      </c>
      <c r="C242" s="5">
        <v>14787</v>
      </c>
      <c r="D242" s="5">
        <v>4901.0499999999993</v>
      </c>
      <c r="E242" s="13">
        <v>0.3314431595320213</v>
      </c>
    </row>
    <row r="243" spans="1:5" x14ac:dyDescent="0.3">
      <c r="A243" s="3"/>
      <c r="B243" s="3" t="s">
        <v>566</v>
      </c>
      <c r="C243" s="5">
        <v>10886</v>
      </c>
      <c r="D243" s="5">
        <v>2302.3600000000006</v>
      </c>
      <c r="E243" s="13">
        <v>0.21149733602792584</v>
      </c>
    </row>
    <row r="244" spans="1:5" x14ac:dyDescent="0.3">
      <c r="A244" s="3"/>
      <c r="B244" s="3" t="s">
        <v>379</v>
      </c>
      <c r="C244" s="5">
        <v>2160</v>
      </c>
      <c r="D244" s="5">
        <v>463.15000000000009</v>
      </c>
      <c r="E244" s="13">
        <v>0.21442129629629633</v>
      </c>
    </row>
    <row r="245" spans="1:5" x14ac:dyDescent="0.3">
      <c r="A245" s="3"/>
      <c r="B245" s="3" t="s">
        <v>75</v>
      </c>
      <c r="C245" s="5">
        <v>2864</v>
      </c>
      <c r="D245" s="5">
        <v>948.65000000000009</v>
      </c>
      <c r="E245" s="13">
        <v>0.33123254189944135</v>
      </c>
    </row>
    <row r="246" spans="1:5" x14ac:dyDescent="0.3">
      <c r="A246" s="3"/>
      <c r="B246" s="3" t="s">
        <v>349</v>
      </c>
      <c r="C246" s="5">
        <v>8596</v>
      </c>
      <c r="D246" s="5">
        <v>2107.4700000000003</v>
      </c>
      <c r="E246" s="13">
        <v>0.24516868310842255</v>
      </c>
    </row>
    <row r="247" spans="1:5" x14ac:dyDescent="0.3">
      <c r="A247" s="3"/>
      <c r="B247" s="3" t="s">
        <v>381</v>
      </c>
      <c r="C247" s="5">
        <v>4360</v>
      </c>
      <c r="D247" s="5">
        <v>1541.8000000000002</v>
      </c>
      <c r="E247" s="13">
        <v>0.3536238532110092</v>
      </c>
    </row>
    <row r="248" spans="1:5" x14ac:dyDescent="0.3">
      <c r="A248" s="3"/>
      <c r="B248" s="3" t="s">
        <v>540</v>
      </c>
      <c r="C248" s="5">
        <v>585</v>
      </c>
      <c r="D248" s="5">
        <v>178.98000000000002</v>
      </c>
      <c r="E248" s="13">
        <v>0.30594871794871797</v>
      </c>
    </row>
    <row r="249" spans="1:5" x14ac:dyDescent="0.3">
      <c r="A249" s="3"/>
      <c r="B249" s="3" t="s">
        <v>567</v>
      </c>
      <c r="C249" s="5">
        <v>22735</v>
      </c>
      <c r="D249" s="5">
        <v>5387.66</v>
      </c>
      <c r="E249" s="13">
        <v>0.23697646800087968</v>
      </c>
    </row>
    <row r="250" spans="1:5" x14ac:dyDescent="0.3">
      <c r="A250" s="3"/>
      <c r="B250" s="3" t="s">
        <v>568</v>
      </c>
      <c r="C250" s="5">
        <v>16917</v>
      </c>
      <c r="D250" s="5">
        <v>6261.5</v>
      </c>
      <c r="E250" s="13">
        <v>0.37013063781994443</v>
      </c>
    </row>
    <row r="251" spans="1:5" x14ac:dyDescent="0.3">
      <c r="A251" s="3"/>
      <c r="B251" s="3" t="s">
        <v>77</v>
      </c>
      <c r="C251" s="5">
        <v>3488</v>
      </c>
      <c r="D251" s="5">
        <v>682.84999999999991</v>
      </c>
      <c r="E251" s="13">
        <v>0.19577121559633026</v>
      </c>
    </row>
    <row r="252" spans="1:5" x14ac:dyDescent="0.3">
      <c r="A252" s="3"/>
      <c r="B252" s="3" t="s">
        <v>570</v>
      </c>
      <c r="C252" s="5">
        <v>14559</v>
      </c>
      <c r="D252" s="5">
        <v>4006.8500000000004</v>
      </c>
      <c r="E252" s="13">
        <v>0.27521464386290267</v>
      </c>
    </row>
    <row r="253" spans="1:5" x14ac:dyDescent="0.3">
      <c r="A253" s="3"/>
      <c r="B253" s="3" t="s">
        <v>572</v>
      </c>
      <c r="C253" s="5">
        <v>13620</v>
      </c>
      <c r="D253" s="5">
        <v>2538</v>
      </c>
      <c r="E253" s="13">
        <v>0.18634361233480176</v>
      </c>
    </row>
    <row r="254" spans="1:5" x14ac:dyDescent="0.3">
      <c r="A254" s="3"/>
      <c r="B254" s="3" t="s">
        <v>542</v>
      </c>
      <c r="C254" s="5">
        <v>840</v>
      </c>
      <c r="D254" s="5">
        <v>274.44000000000005</v>
      </c>
      <c r="E254" s="13">
        <v>0.32671428571428579</v>
      </c>
    </row>
    <row r="255" spans="1:5" x14ac:dyDescent="0.3">
      <c r="A255" s="3"/>
      <c r="B255" s="3" t="s">
        <v>233</v>
      </c>
      <c r="C255" s="5">
        <v>10549</v>
      </c>
      <c r="D255" s="5">
        <v>1996.7099999999991</v>
      </c>
      <c r="E255" s="13">
        <v>0.18927955256422402</v>
      </c>
    </row>
    <row r="256" spans="1:5" x14ac:dyDescent="0.3">
      <c r="A256" s="3"/>
      <c r="B256" s="3" t="s">
        <v>382</v>
      </c>
      <c r="C256" s="5">
        <v>2592</v>
      </c>
      <c r="D256" s="5">
        <v>654.42000000000007</v>
      </c>
      <c r="E256" s="13">
        <v>0.25247685185185187</v>
      </c>
    </row>
    <row r="257" spans="1:5" x14ac:dyDescent="0.3">
      <c r="A257" s="3"/>
      <c r="B257" s="3" t="s">
        <v>544</v>
      </c>
      <c r="C257" s="5">
        <v>6580</v>
      </c>
      <c r="D257" s="5">
        <v>1071.6000000000004</v>
      </c>
      <c r="E257" s="13">
        <v>0.16285714285714292</v>
      </c>
    </row>
    <row r="258" spans="1:5" x14ac:dyDescent="0.3">
      <c r="A258" s="3"/>
      <c r="B258" s="3" t="s">
        <v>350</v>
      </c>
      <c r="C258" s="5">
        <v>5370</v>
      </c>
      <c r="D258" s="5">
        <v>1028.9099999999999</v>
      </c>
      <c r="E258" s="13">
        <v>0.19160335195530723</v>
      </c>
    </row>
    <row r="259" spans="1:5" x14ac:dyDescent="0.3">
      <c r="A259" s="3"/>
      <c r="B259" s="3" t="s">
        <v>574</v>
      </c>
      <c r="C259" s="5">
        <v>18488</v>
      </c>
      <c r="D259" s="5">
        <v>5187.92</v>
      </c>
      <c r="E259" s="13">
        <v>0.28061012548680225</v>
      </c>
    </row>
    <row r="260" spans="1:5" x14ac:dyDescent="0.3">
      <c r="A260" s="3"/>
      <c r="B260" s="3" t="s">
        <v>351</v>
      </c>
      <c r="C260" s="5">
        <v>4084</v>
      </c>
      <c r="D260" s="5">
        <v>902.57000000000016</v>
      </c>
      <c r="E260" s="13">
        <v>0.22100146914789426</v>
      </c>
    </row>
    <row r="261" spans="1:5" x14ac:dyDescent="0.3">
      <c r="A261" s="3"/>
      <c r="B261" s="3" t="s">
        <v>545</v>
      </c>
      <c r="C261" s="5">
        <v>1984</v>
      </c>
      <c r="D261" s="5">
        <v>405.3599999999999</v>
      </c>
      <c r="E261" s="13">
        <v>0.2043145161290322</v>
      </c>
    </row>
    <row r="262" spans="1:5" x14ac:dyDescent="0.3">
      <c r="A262" s="3"/>
      <c r="B262" s="3" t="s">
        <v>575</v>
      </c>
      <c r="C262" s="5">
        <v>20610</v>
      </c>
      <c r="D262" s="5">
        <v>6520.0499999999993</v>
      </c>
      <c r="E262" s="13">
        <v>0.31635371179039296</v>
      </c>
    </row>
    <row r="263" spans="1:5" x14ac:dyDescent="0.3">
      <c r="A263" s="3"/>
      <c r="B263" s="3" t="s">
        <v>678</v>
      </c>
      <c r="C263" s="5">
        <v>2780</v>
      </c>
      <c r="D263" s="5">
        <v>759.24</v>
      </c>
      <c r="E263" s="13">
        <v>0.27310791366906473</v>
      </c>
    </row>
    <row r="264" spans="1:5" x14ac:dyDescent="0.3">
      <c r="A264" s="3"/>
      <c r="B264" s="3" t="s">
        <v>353</v>
      </c>
      <c r="C264" s="5">
        <v>9804</v>
      </c>
      <c r="D264" s="5">
        <v>2889.4300000000003</v>
      </c>
      <c r="E264" s="13">
        <v>0.29471950224398208</v>
      </c>
    </row>
    <row r="265" spans="1:5" x14ac:dyDescent="0.3">
      <c r="A265" s="3"/>
      <c r="B265" s="3" t="s">
        <v>524</v>
      </c>
      <c r="C265" s="5">
        <v>90076</v>
      </c>
      <c r="D265" s="5">
        <v>19475.690000000002</v>
      </c>
      <c r="E265" s="13">
        <v>0.21621397486566901</v>
      </c>
    </row>
    <row r="266" spans="1:5" x14ac:dyDescent="0.3">
      <c r="A266" s="3"/>
      <c r="B266" s="3" t="s">
        <v>680</v>
      </c>
      <c r="C266" s="5">
        <v>10398</v>
      </c>
      <c r="D266" s="5">
        <v>4034.26</v>
      </c>
      <c r="E266" s="13">
        <v>0.38798422773610314</v>
      </c>
    </row>
    <row r="267" spans="1:5" x14ac:dyDescent="0.3">
      <c r="A267" s="3"/>
      <c r="B267" s="3" t="s">
        <v>234</v>
      </c>
      <c r="C267" s="5">
        <v>11376</v>
      </c>
      <c r="D267" s="5">
        <v>1410.0200000000004</v>
      </c>
      <c r="E267" s="13">
        <v>0.12394690576652606</v>
      </c>
    </row>
    <row r="268" spans="1:5" x14ac:dyDescent="0.3">
      <c r="A268" s="3"/>
      <c r="B268" s="3" t="s">
        <v>236</v>
      </c>
      <c r="C268" s="5">
        <v>4248</v>
      </c>
      <c r="D268" s="5">
        <v>1110.75</v>
      </c>
      <c r="E268" s="13">
        <v>0.26147598870056499</v>
      </c>
    </row>
    <row r="269" spans="1:5" x14ac:dyDescent="0.3">
      <c r="A269" s="3"/>
      <c r="B269" s="3" t="s">
        <v>547</v>
      </c>
      <c r="C269" s="5">
        <v>723</v>
      </c>
      <c r="D269" s="5">
        <v>153.49</v>
      </c>
      <c r="E269" s="13">
        <v>0.2122959889349931</v>
      </c>
    </row>
    <row r="270" spans="1:5" x14ac:dyDescent="0.3">
      <c r="A270" s="3"/>
      <c r="B270" s="3" t="s">
        <v>548</v>
      </c>
      <c r="C270" s="5">
        <v>1426</v>
      </c>
      <c r="D270" s="5">
        <v>288.29999999999995</v>
      </c>
      <c r="E270" s="13">
        <v>0.20217391304347823</v>
      </c>
    </row>
    <row r="271" spans="1:5" x14ac:dyDescent="0.3">
      <c r="A271" s="3"/>
      <c r="B271" s="3" t="s">
        <v>79</v>
      </c>
      <c r="C271" s="5">
        <v>1547</v>
      </c>
      <c r="D271" s="5">
        <v>298.90000000000009</v>
      </c>
      <c r="E271" s="13">
        <v>0.19321266968325798</v>
      </c>
    </row>
    <row r="272" spans="1:5" x14ac:dyDescent="0.3">
      <c r="A272" s="3"/>
      <c r="B272" s="3" t="s">
        <v>681</v>
      </c>
      <c r="C272" s="5">
        <v>7932</v>
      </c>
      <c r="D272" s="5">
        <v>1732.2700000000004</v>
      </c>
      <c r="E272" s="13">
        <v>0.21839006555723656</v>
      </c>
    </row>
    <row r="273" spans="1:5" x14ac:dyDescent="0.3">
      <c r="A273" s="3"/>
      <c r="B273" s="3" t="s">
        <v>384</v>
      </c>
      <c r="C273" s="5">
        <v>4260</v>
      </c>
      <c r="D273" s="5">
        <v>918.63999999999987</v>
      </c>
      <c r="E273" s="13">
        <v>0.21564319248826289</v>
      </c>
    </row>
    <row r="274" spans="1:5" x14ac:dyDescent="0.3">
      <c r="A274" s="3"/>
      <c r="B274" s="3" t="s">
        <v>81</v>
      </c>
      <c r="C274" s="5">
        <v>3156</v>
      </c>
      <c r="D274" s="5">
        <v>477.23</v>
      </c>
      <c r="E274" s="13">
        <v>0.15121356147021547</v>
      </c>
    </row>
    <row r="275" spans="1:5" x14ac:dyDescent="0.3">
      <c r="A275" s="3"/>
      <c r="B275" s="3" t="s">
        <v>355</v>
      </c>
      <c r="C275" s="5">
        <v>6792</v>
      </c>
      <c r="D275" s="5">
        <v>1453.7399999999998</v>
      </c>
      <c r="E275" s="13">
        <v>0.21403710247349819</v>
      </c>
    </row>
    <row r="276" spans="1:5" x14ac:dyDescent="0.3">
      <c r="A276" s="3"/>
      <c r="B276" s="3" t="s">
        <v>386</v>
      </c>
      <c r="C276" s="5">
        <v>2530</v>
      </c>
      <c r="D276" s="5">
        <v>536.47</v>
      </c>
      <c r="E276" s="13">
        <v>0.21204347826086958</v>
      </c>
    </row>
    <row r="277" spans="1:5" x14ac:dyDescent="0.3">
      <c r="A277" s="3"/>
      <c r="B277" s="3" t="s">
        <v>356</v>
      </c>
      <c r="C277" s="5">
        <v>4412</v>
      </c>
      <c r="D277" s="5">
        <v>1084.5300000000002</v>
      </c>
      <c r="E277" s="13">
        <v>0.24581368993653677</v>
      </c>
    </row>
    <row r="278" spans="1:5" x14ac:dyDescent="0.3">
      <c r="A278" s="3"/>
      <c r="B278" s="3" t="s">
        <v>526</v>
      </c>
      <c r="C278" s="5">
        <v>274885</v>
      </c>
      <c r="D278" s="5">
        <v>50072.929999999993</v>
      </c>
      <c r="E278" s="13">
        <v>0.18215955763319203</v>
      </c>
    </row>
    <row r="279" spans="1:5" x14ac:dyDescent="0.3">
      <c r="A279" s="3"/>
      <c r="B279" s="3" t="s">
        <v>358</v>
      </c>
      <c r="C279" s="5">
        <v>3158</v>
      </c>
      <c r="D279" s="5">
        <v>1062.67</v>
      </c>
      <c r="E279" s="13">
        <v>0.33650094996833441</v>
      </c>
    </row>
    <row r="280" spans="1:5" x14ac:dyDescent="0.3">
      <c r="A280" s="3"/>
      <c r="B280" s="3" t="s">
        <v>576</v>
      </c>
      <c r="C280" s="5">
        <v>30355</v>
      </c>
      <c r="D280" s="5">
        <v>4420.3300000000017</v>
      </c>
      <c r="E280" s="13">
        <v>0.14562114972821616</v>
      </c>
    </row>
    <row r="281" spans="1:5" x14ac:dyDescent="0.3">
      <c r="A281" s="3"/>
      <c r="B281" s="3" t="s">
        <v>527</v>
      </c>
      <c r="C281" s="5">
        <v>50930</v>
      </c>
      <c r="D281" s="5">
        <v>21598.47</v>
      </c>
      <c r="E281" s="13">
        <v>0.42408148439033971</v>
      </c>
    </row>
    <row r="282" spans="1:5" x14ac:dyDescent="0.3">
      <c r="A282" s="3"/>
      <c r="B282" s="3" t="s">
        <v>549</v>
      </c>
      <c r="C282" s="5">
        <v>4382</v>
      </c>
      <c r="D282" s="5">
        <v>1155.8200000000002</v>
      </c>
      <c r="E282" s="13">
        <v>0.26376540392514836</v>
      </c>
    </row>
    <row r="283" spans="1:5" x14ac:dyDescent="0.3">
      <c r="A283" s="3"/>
      <c r="B283" s="3" t="s">
        <v>360</v>
      </c>
      <c r="C283" s="5">
        <v>8748</v>
      </c>
      <c r="D283" s="5">
        <v>2807.6099999999997</v>
      </c>
      <c r="E283" s="13">
        <v>0.32094307270233191</v>
      </c>
    </row>
    <row r="284" spans="1:5" x14ac:dyDescent="0.3">
      <c r="A284" s="3"/>
      <c r="B284" s="3" t="s">
        <v>388</v>
      </c>
      <c r="C284" s="5">
        <v>4434</v>
      </c>
      <c r="D284" s="5">
        <v>1355.85</v>
      </c>
      <c r="E284" s="13">
        <v>0.30578484438430309</v>
      </c>
    </row>
    <row r="285" spans="1:5" x14ac:dyDescent="0.3">
      <c r="A285" s="3"/>
      <c r="B285" s="3" t="s">
        <v>83</v>
      </c>
      <c r="C285" s="5">
        <v>2912</v>
      </c>
      <c r="D285" s="5">
        <v>705.09000000000015</v>
      </c>
      <c r="E285" s="13">
        <v>0.24213255494505501</v>
      </c>
    </row>
    <row r="286" spans="1:5" x14ac:dyDescent="0.3">
      <c r="A286" s="3"/>
      <c r="B286" s="3" t="s">
        <v>390</v>
      </c>
      <c r="C286" s="5">
        <v>1146</v>
      </c>
      <c r="D286" s="5">
        <v>362.34000000000003</v>
      </c>
      <c r="E286" s="13">
        <v>0.3161780104712042</v>
      </c>
    </row>
    <row r="287" spans="1:5" x14ac:dyDescent="0.3">
      <c r="A287" s="3"/>
      <c r="B287" s="3" t="s">
        <v>682</v>
      </c>
      <c r="C287" s="5">
        <v>1476</v>
      </c>
      <c r="D287" s="5">
        <v>398.58999999999992</v>
      </c>
      <c r="E287" s="13">
        <v>0.2700474254742547</v>
      </c>
    </row>
    <row r="288" spans="1:5" x14ac:dyDescent="0.3">
      <c r="A288" s="3"/>
      <c r="B288" s="3" t="s">
        <v>528</v>
      </c>
      <c r="C288" s="5">
        <v>71091</v>
      </c>
      <c r="D288" s="5">
        <v>18232.330000000002</v>
      </c>
      <c r="E288" s="13">
        <v>0.25646467204006135</v>
      </c>
    </row>
    <row r="289" spans="1:5" x14ac:dyDescent="0.3">
      <c r="A289" s="3"/>
      <c r="B289" s="3" t="s">
        <v>238</v>
      </c>
      <c r="C289" s="5">
        <v>7968</v>
      </c>
      <c r="D289" s="5">
        <v>2651.87</v>
      </c>
      <c r="E289" s="13">
        <v>0.33281501004016062</v>
      </c>
    </row>
    <row r="290" spans="1:5" x14ac:dyDescent="0.3">
      <c r="A290" s="3"/>
      <c r="B290" s="3" t="s">
        <v>392</v>
      </c>
      <c r="C290" s="5">
        <v>2300</v>
      </c>
      <c r="D290" s="5">
        <v>534.40000000000009</v>
      </c>
      <c r="E290" s="13">
        <v>0.23234782608695656</v>
      </c>
    </row>
    <row r="291" spans="1:5" x14ac:dyDescent="0.3">
      <c r="A291" s="3"/>
      <c r="B291" s="3" t="s">
        <v>684</v>
      </c>
      <c r="C291" s="5">
        <v>9549</v>
      </c>
      <c r="D291" s="5">
        <v>3434.3500000000004</v>
      </c>
      <c r="E291" s="13">
        <v>0.35965546130484871</v>
      </c>
    </row>
    <row r="292" spans="1:5" x14ac:dyDescent="0.3">
      <c r="A292" s="3"/>
      <c r="B292" s="3" t="s">
        <v>578</v>
      </c>
      <c r="C292" s="5">
        <v>8964</v>
      </c>
      <c r="D292" s="5">
        <v>3143.0200000000004</v>
      </c>
      <c r="E292" s="13">
        <v>0.3506269522534583</v>
      </c>
    </row>
    <row r="293" spans="1:5" x14ac:dyDescent="0.3">
      <c r="A293" s="3"/>
      <c r="B293" s="3" t="s">
        <v>239</v>
      </c>
      <c r="C293" s="5">
        <v>14328</v>
      </c>
      <c r="D293" s="5">
        <v>4026.75</v>
      </c>
      <c r="E293" s="13">
        <v>0.28104061976549416</v>
      </c>
    </row>
    <row r="294" spans="1:5" x14ac:dyDescent="0.3">
      <c r="A294" s="3"/>
      <c r="B294" s="3" t="s">
        <v>529</v>
      </c>
      <c r="C294" s="5">
        <v>22538</v>
      </c>
      <c r="D294" s="5">
        <v>6121.9199999999983</v>
      </c>
      <c r="E294" s="13">
        <v>0.27162658620995644</v>
      </c>
    </row>
    <row r="295" spans="1:5" x14ac:dyDescent="0.3">
      <c r="A295" s="3"/>
      <c r="B295" s="3" t="s">
        <v>361</v>
      </c>
      <c r="C295" s="5">
        <v>5094</v>
      </c>
      <c r="D295" s="5">
        <v>656.61999999999989</v>
      </c>
      <c r="E295" s="13">
        <v>0.12890066745190418</v>
      </c>
    </row>
    <row r="296" spans="1:5" x14ac:dyDescent="0.3">
      <c r="A296" s="3"/>
      <c r="B296" s="3" t="s">
        <v>240</v>
      </c>
      <c r="C296" s="5">
        <v>2452</v>
      </c>
      <c r="D296" s="5">
        <v>783.1099999999999</v>
      </c>
      <c r="E296" s="13">
        <v>0.31937601957585643</v>
      </c>
    </row>
    <row r="297" spans="1:5" x14ac:dyDescent="0.3">
      <c r="A297" s="3"/>
      <c r="B297" s="3" t="s">
        <v>580</v>
      </c>
      <c r="C297" s="5">
        <v>5173</v>
      </c>
      <c r="D297" s="5">
        <v>1588.7199999999998</v>
      </c>
      <c r="E297" s="13">
        <v>0.30711772665764542</v>
      </c>
    </row>
    <row r="298" spans="1:5" x14ac:dyDescent="0.3">
      <c r="A298" s="3"/>
      <c r="B298" s="3" t="s">
        <v>393</v>
      </c>
      <c r="C298" s="5">
        <v>5160</v>
      </c>
      <c r="D298" s="5">
        <v>1368.3600000000001</v>
      </c>
      <c r="E298" s="13">
        <v>0.26518604651162792</v>
      </c>
    </row>
    <row r="299" spans="1:5" x14ac:dyDescent="0.3">
      <c r="A299" s="3"/>
      <c r="B299" s="3" t="s">
        <v>363</v>
      </c>
      <c r="C299" s="5">
        <v>3279</v>
      </c>
      <c r="D299" s="5">
        <v>1099.9499999999998</v>
      </c>
      <c r="E299" s="13">
        <v>0.3354528819762122</v>
      </c>
    </row>
    <row r="300" spans="1:5" x14ac:dyDescent="0.3">
      <c r="A300" s="3"/>
      <c r="B300" s="3" t="s">
        <v>531</v>
      </c>
      <c r="C300" s="5">
        <v>41832</v>
      </c>
      <c r="D300" s="5">
        <v>17051.07</v>
      </c>
      <c r="E300" s="13">
        <v>0.40760829030407342</v>
      </c>
    </row>
    <row r="301" spans="1:5" x14ac:dyDescent="0.3">
      <c r="A301" s="3"/>
      <c r="B301" s="3" t="s">
        <v>394</v>
      </c>
      <c r="C301" s="5">
        <v>4630</v>
      </c>
      <c r="D301" s="5">
        <v>995.11000000000013</v>
      </c>
      <c r="E301" s="13">
        <v>0.21492656587473005</v>
      </c>
    </row>
    <row r="302" spans="1:5" x14ac:dyDescent="0.3">
      <c r="A302" s="3"/>
      <c r="B302" s="3" t="s">
        <v>533</v>
      </c>
      <c r="C302" s="5">
        <v>74394</v>
      </c>
      <c r="D302" s="5">
        <v>26536.730000000003</v>
      </c>
      <c r="E302" s="13">
        <v>0.35670524504664358</v>
      </c>
    </row>
    <row r="303" spans="1:5" x14ac:dyDescent="0.3">
      <c r="A303" s="3"/>
      <c r="B303" s="3" t="s">
        <v>395</v>
      </c>
      <c r="C303" s="5">
        <v>1267</v>
      </c>
      <c r="D303" s="5">
        <v>334.26</v>
      </c>
      <c r="E303" s="13">
        <v>0.26382004735595893</v>
      </c>
    </row>
    <row r="304" spans="1:5" x14ac:dyDescent="0.3">
      <c r="A304" s="3"/>
      <c r="B304" s="3" t="s">
        <v>582</v>
      </c>
      <c r="C304" s="5">
        <v>5451</v>
      </c>
      <c r="D304" s="5">
        <v>1405.3200000000002</v>
      </c>
      <c r="E304" s="13">
        <v>0.25780957622454598</v>
      </c>
    </row>
    <row r="305" spans="1:5" x14ac:dyDescent="0.3">
      <c r="A305" s="3"/>
      <c r="B305" s="3" t="s">
        <v>550</v>
      </c>
      <c r="C305" s="5">
        <v>3150</v>
      </c>
      <c r="D305" s="5">
        <v>533.23</v>
      </c>
      <c r="E305" s="13">
        <v>0.16927936507936509</v>
      </c>
    </row>
    <row r="306" spans="1:5" x14ac:dyDescent="0.3">
      <c r="A306" s="3"/>
      <c r="B306" s="3" t="s">
        <v>685</v>
      </c>
      <c r="C306" s="5">
        <v>22134</v>
      </c>
      <c r="D306" s="5">
        <v>6135.34</v>
      </c>
      <c r="E306" s="13">
        <v>0.27719074726664861</v>
      </c>
    </row>
    <row r="307" spans="1:5" x14ac:dyDescent="0.3">
      <c r="A307" s="3"/>
      <c r="B307" s="3" t="s">
        <v>397</v>
      </c>
      <c r="C307" s="5">
        <v>8848</v>
      </c>
      <c r="D307" s="5">
        <v>2301.7200000000003</v>
      </c>
      <c r="E307" s="13">
        <v>0.26014014466546115</v>
      </c>
    </row>
    <row r="308" spans="1:5" x14ac:dyDescent="0.3">
      <c r="A308" s="3"/>
      <c r="B308" s="3" t="s">
        <v>534</v>
      </c>
      <c r="C308" s="5">
        <v>108102</v>
      </c>
      <c r="D308" s="5">
        <v>13450.929999999993</v>
      </c>
      <c r="E308" s="13">
        <v>0.12442813268949689</v>
      </c>
    </row>
    <row r="309" spans="1:5" x14ac:dyDescent="0.3">
      <c r="A309" s="3"/>
      <c r="B309" s="3" t="s">
        <v>583</v>
      </c>
      <c r="C309" s="5">
        <v>10966</v>
      </c>
      <c r="D309" s="5">
        <v>2913.5</v>
      </c>
      <c r="E309" s="13">
        <v>0.26568484406346893</v>
      </c>
    </row>
    <row r="310" spans="1:5" x14ac:dyDescent="0.3">
      <c r="A310" s="3"/>
      <c r="B310" s="3" t="s">
        <v>535</v>
      </c>
      <c r="C310" s="5">
        <v>21857</v>
      </c>
      <c r="D310" s="5">
        <v>4743.3100000000013</v>
      </c>
      <c r="E310" s="13">
        <v>0.2170156014091596</v>
      </c>
    </row>
    <row r="311" spans="1:5" x14ac:dyDescent="0.3">
      <c r="A311" s="3"/>
      <c r="B311" s="3" t="s">
        <v>242</v>
      </c>
      <c r="C311" s="5">
        <v>3910</v>
      </c>
      <c r="D311" s="5">
        <v>1064.77</v>
      </c>
      <c r="E311" s="13">
        <v>0.27231969309462917</v>
      </c>
    </row>
    <row r="312" spans="1:5" x14ac:dyDescent="0.3">
      <c r="A312" s="3"/>
      <c r="B312" s="3" t="s">
        <v>398</v>
      </c>
      <c r="C312" s="5">
        <v>3216</v>
      </c>
      <c r="D312" s="5">
        <v>527.07000000000016</v>
      </c>
      <c r="E312" s="13">
        <v>0.16388992537313438</v>
      </c>
    </row>
    <row r="313" spans="1:5" x14ac:dyDescent="0.3">
      <c r="A313" s="3"/>
      <c r="B313" s="3" t="s">
        <v>400</v>
      </c>
      <c r="C313" s="5">
        <v>2316</v>
      </c>
      <c r="D313" s="5">
        <v>389.40000000000009</v>
      </c>
      <c r="E313" s="13">
        <v>0.16813471502590677</v>
      </c>
    </row>
    <row r="314" spans="1:5" x14ac:dyDescent="0.3">
      <c r="A314" s="3"/>
      <c r="B314" s="3" t="s">
        <v>244</v>
      </c>
      <c r="C314" s="5">
        <v>4530</v>
      </c>
      <c r="D314" s="5">
        <v>742.71</v>
      </c>
      <c r="E314" s="13">
        <v>0.16395364238410598</v>
      </c>
    </row>
    <row r="315" spans="1:5" x14ac:dyDescent="0.3">
      <c r="A315" s="3"/>
      <c r="B315" s="3" t="s">
        <v>402</v>
      </c>
      <c r="C315" s="5">
        <v>2307</v>
      </c>
      <c r="D315" s="5">
        <v>569.44000000000005</v>
      </c>
      <c r="E315" s="13">
        <v>0.2468313827481578</v>
      </c>
    </row>
    <row r="316" spans="1:5" x14ac:dyDescent="0.3">
      <c r="A316" s="3"/>
      <c r="B316" s="3" t="s">
        <v>552</v>
      </c>
      <c r="C316" s="5">
        <v>795</v>
      </c>
      <c r="D316" s="5">
        <v>140.98000000000002</v>
      </c>
      <c r="E316" s="13">
        <v>0.17733333333333334</v>
      </c>
    </row>
    <row r="317" spans="1:5" x14ac:dyDescent="0.3">
      <c r="A317" s="3"/>
      <c r="B317" s="3" t="s">
        <v>554</v>
      </c>
      <c r="C317" s="5">
        <v>2607</v>
      </c>
      <c r="D317" s="5">
        <v>819.04</v>
      </c>
      <c r="E317" s="13">
        <v>0.31416954353663212</v>
      </c>
    </row>
    <row r="318" spans="1:5" x14ac:dyDescent="0.3">
      <c r="A318" s="3"/>
      <c r="B318" s="3" t="s">
        <v>556</v>
      </c>
      <c r="C318" s="5">
        <v>2840</v>
      </c>
      <c r="D318" s="5">
        <v>712.48</v>
      </c>
      <c r="E318" s="13">
        <v>0.25087323943661971</v>
      </c>
    </row>
    <row r="319" spans="1:5" x14ac:dyDescent="0.3">
      <c r="A319" s="3" t="s">
        <v>855</v>
      </c>
      <c r="B319" s="3"/>
      <c r="C319" s="5">
        <v>2091758</v>
      </c>
      <c r="D319" s="5">
        <v>517828.39</v>
      </c>
      <c r="E319" s="13">
        <v>0.2475565481284164</v>
      </c>
    </row>
    <row r="320" spans="1:5" x14ac:dyDescent="0.3">
      <c r="A320" s="3" t="s">
        <v>23</v>
      </c>
      <c r="B320" s="3" t="s">
        <v>445</v>
      </c>
      <c r="C320" s="5">
        <v>45</v>
      </c>
      <c r="D320" s="5">
        <v>25.94</v>
      </c>
      <c r="E320" s="13">
        <v>0.57644444444444443</v>
      </c>
    </row>
    <row r="321" spans="1:5" x14ac:dyDescent="0.3">
      <c r="A321" s="3"/>
      <c r="B321" s="3" t="s">
        <v>200</v>
      </c>
      <c r="C321" s="5">
        <v>17338</v>
      </c>
      <c r="D321" s="5">
        <v>5211.7299999999996</v>
      </c>
      <c r="E321" s="13">
        <v>0.30059580113046486</v>
      </c>
    </row>
    <row r="322" spans="1:5" x14ac:dyDescent="0.3">
      <c r="A322" s="3"/>
      <c r="B322" s="3" t="s">
        <v>18</v>
      </c>
      <c r="C322" s="5">
        <v>8602</v>
      </c>
      <c r="D322" s="5">
        <v>3852.7799999999997</v>
      </c>
      <c r="E322" s="13">
        <v>0.44789351313647985</v>
      </c>
    </row>
    <row r="323" spans="1:5" x14ac:dyDescent="0.3">
      <c r="A323" s="3"/>
      <c r="B323" s="3" t="s">
        <v>246</v>
      </c>
      <c r="C323" s="5">
        <v>123</v>
      </c>
      <c r="D323" s="5">
        <v>55.58</v>
      </c>
      <c r="E323" s="13">
        <v>0.45186991869918697</v>
      </c>
    </row>
    <row r="324" spans="1:5" x14ac:dyDescent="0.3">
      <c r="A324" s="3"/>
      <c r="B324" s="3" t="s">
        <v>468</v>
      </c>
      <c r="C324" s="5">
        <v>312</v>
      </c>
      <c r="D324" s="5">
        <v>90.25</v>
      </c>
      <c r="E324" s="13">
        <v>0.28926282051282054</v>
      </c>
    </row>
    <row r="325" spans="1:5" x14ac:dyDescent="0.3">
      <c r="A325" s="3"/>
      <c r="B325" s="3" t="s">
        <v>470</v>
      </c>
      <c r="C325" s="5">
        <v>720</v>
      </c>
      <c r="D325" s="5">
        <v>227.14</v>
      </c>
      <c r="E325" s="13">
        <v>0.31547222222222221</v>
      </c>
    </row>
    <row r="326" spans="1:5" x14ac:dyDescent="0.3">
      <c r="A326" s="3"/>
      <c r="B326" s="3" t="s">
        <v>448</v>
      </c>
      <c r="C326" s="5">
        <v>135</v>
      </c>
      <c r="D326" s="5">
        <v>80.52000000000001</v>
      </c>
      <c r="E326" s="13">
        <v>0.59644444444444455</v>
      </c>
    </row>
    <row r="327" spans="1:5" x14ac:dyDescent="0.3">
      <c r="A327" s="3"/>
      <c r="B327" s="3" t="s">
        <v>450</v>
      </c>
      <c r="C327" s="5">
        <v>30</v>
      </c>
      <c r="D327" s="5">
        <v>7.7899999999999991</v>
      </c>
      <c r="E327" s="13">
        <v>0.25966666666666666</v>
      </c>
    </row>
    <row r="328" spans="1:5" x14ac:dyDescent="0.3">
      <c r="A328" s="3"/>
      <c r="B328" s="3" t="s">
        <v>26</v>
      </c>
      <c r="C328" s="5">
        <v>15228</v>
      </c>
      <c r="D328" s="5">
        <v>6821.98</v>
      </c>
      <c r="E328" s="13">
        <v>0.44798923036511684</v>
      </c>
    </row>
    <row r="329" spans="1:5" x14ac:dyDescent="0.3">
      <c r="A329" s="3"/>
      <c r="B329" s="3" t="s">
        <v>631</v>
      </c>
      <c r="C329" s="5">
        <v>1260</v>
      </c>
      <c r="D329" s="5">
        <v>431.63</v>
      </c>
      <c r="E329" s="13">
        <v>0.34256349206349207</v>
      </c>
    </row>
    <row r="330" spans="1:5" x14ac:dyDescent="0.3">
      <c r="A330" s="3"/>
      <c r="B330" s="3" t="s">
        <v>404</v>
      </c>
      <c r="C330" s="5">
        <v>618</v>
      </c>
      <c r="D330" s="5">
        <v>200.12</v>
      </c>
      <c r="E330" s="13">
        <v>0.32381877022653721</v>
      </c>
    </row>
    <row r="331" spans="1:5" x14ac:dyDescent="0.3">
      <c r="A331" s="3"/>
      <c r="B331" s="3" t="s">
        <v>249</v>
      </c>
      <c r="C331" s="5">
        <v>250</v>
      </c>
      <c r="D331" s="5">
        <v>81.680000000000007</v>
      </c>
      <c r="E331" s="13">
        <v>0.32672000000000001</v>
      </c>
    </row>
    <row r="332" spans="1:5" x14ac:dyDescent="0.3">
      <c r="A332" s="3"/>
      <c r="B332" s="3" t="s">
        <v>152</v>
      </c>
      <c r="C332" s="5">
        <v>3342</v>
      </c>
      <c r="D332" s="5">
        <v>1281.5100000000002</v>
      </c>
      <c r="E332" s="13">
        <v>0.38345601436265714</v>
      </c>
    </row>
    <row r="333" spans="1:5" x14ac:dyDescent="0.3">
      <c r="A333" s="3"/>
      <c r="B333" s="3" t="s">
        <v>471</v>
      </c>
      <c r="C333" s="5">
        <v>324</v>
      </c>
      <c r="D333" s="5">
        <v>117.71000000000001</v>
      </c>
      <c r="E333" s="13">
        <v>0.3633024691358025</v>
      </c>
    </row>
    <row r="334" spans="1:5" x14ac:dyDescent="0.3">
      <c r="A334" s="3"/>
      <c r="B334" s="3" t="s">
        <v>406</v>
      </c>
      <c r="C334" s="5">
        <v>216</v>
      </c>
      <c r="D334" s="5">
        <v>64.039999999999992</v>
      </c>
      <c r="E334" s="13">
        <v>0.29648148148148146</v>
      </c>
    </row>
    <row r="335" spans="1:5" x14ac:dyDescent="0.3">
      <c r="A335" s="3"/>
      <c r="B335" s="3" t="s">
        <v>250</v>
      </c>
      <c r="C335" s="5">
        <v>132</v>
      </c>
      <c r="D335" s="5">
        <v>28.989999999999995</v>
      </c>
      <c r="E335" s="13">
        <v>0.21962121212121208</v>
      </c>
    </row>
    <row r="336" spans="1:5" x14ac:dyDescent="0.3">
      <c r="A336" s="3"/>
      <c r="B336" s="3" t="s">
        <v>203</v>
      </c>
      <c r="C336" s="5">
        <v>8948</v>
      </c>
      <c r="D336" s="5">
        <v>3362.91</v>
      </c>
      <c r="E336" s="13">
        <v>0.37582811801519889</v>
      </c>
    </row>
    <row r="337" spans="1:5" x14ac:dyDescent="0.3">
      <c r="A337" s="3"/>
      <c r="B337" s="3" t="s">
        <v>633</v>
      </c>
      <c r="C337" s="5">
        <v>240</v>
      </c>
      <c r="D337" s="5">
        <v>79.139999999999986</v>
      </c>
      <c r="E337" s="13">
        <v>0.32974999999999993</v>
      </c>
    </row>
    <row r="338" spans="1:5" x14ac:dyDescent="0.3">
      <c r="A338" s="3"/>
      <c r="B338" s="3" t="s">
        <v>28</v>
      </c>
      <c r="C338" s="5">
        <v>11962</v>
      </c>
      <c r="D338" s="5">
        <v>3888.7799999999997</v>
      </c>
      <c r="E338" s="13">
        <v>0.32509446580839324</v>
      </c>
    </row>
    <row r="339" spans="1:5" x14ac:dyDescent="0.3">
      <c r="A339" s="3"/>
      <c r="B339" s="3" t="s">
        <v>205</v>
      </c>
      <c r="C339" s="5">
        <v>31467</v>
      </c>
      <c r="D339" s="5">
        <v>9030.369999999999</v>
      </c>
      <c r="E339" s="13">
        <v>0.2869790574252391</v>
      </c>
    </row>
    <row r="340" spans="1:5" x14ac:dyDescent="0.3">
      <c r="A340" s="3"/>
      <c r="B340" s="3" t="s">
        <v>634</v>
      </c>
      <c r="C340" s="5">
        <v>1314</v>
      </c>
      <c r="D340" s="5">
        <v>518.70000000000005</v>
      </c>
      <c r="E340" s="13">
        <v>0.39474885844748864</v>
      </c>
    </row>
    <row r="341" spans="1:5" x14ac:dyDescent="0.3">
      <c r="A341" s="3"/>
      <c r="B341" s="3" t="s">
        <v>473</v>
      </c>
      <c r="C341" s="5">
        <v>249</v>
      </c>
      <c r="D341" s="5">
        <v>72.63</v>
      </c>
      <c r="E341" s="13">
        <v>0.29168674698795177</v>
      </c>
    </row>
    <row r="342" spans="1:5" x14ac:dyDescent="0.3">
      <c r="A342" s="3"/>
      <c r="B342" s="3" t="s">
        <v>207</v>
      </c>
      <c r="C342" s="5">
        <v>25665</v>
      </c>
      <c r="D342" s="5">
        <v>7905.7799999999988</v>
      </c>
      <c r="E342" s="13">
        <v>0.30803740502630034</v>
      </c>
    </row>
    <row r="343" spans="1:5" x14ac:dyDescent="0.3">
      <c r="A343" s="3"/>
      <c r="B343" s="3" t="s">
        <v>252</v>
      </c>
      <c r="C343" s="5">
        <v>60</v>
      </c>
      <c r="D343" s="5">
        <v>-6.1299999999999955</v>
      </c>
      <c r="E343" s="13">
        <v>-0.10216666666666659</v>
      </c>
    </row>
    <row r="344" spans="1:5" x14ac:dyDescent="0.3">
      <c r="A344" s="3"/>
      <c r="B344" s="3" t="s">
        <v>253</v>
      </c>
      <c r="C344" s="5">
        <v>200</v>
      </c>
      <c r="D344" s="5">
        <v>66.88</v>
      </c>
      <c r="E344" s="13">
        <v>0.33439999999999998</v>
      </c>
    </row>
    <row r="345" spans="1:5" x14ac:dyDescent="0.3">
      <c r="A345" s="3"/>
      <c r="B345" s="3" t="s">
        <v>407</v>
      </c>
      <c r="C345" s="5">
        <v>146</v>
      </c>
      <c r="D345" s="5">
        <v>58.86</v>
      </c>
      <c r="E345" s="13">
        <v>0.40315068493150685</v>
      </c>
    </row>
    <row r="346" spans="1:5" x14ac:dyDescent="0.3">
      <c r="A346" s="3"/>
      <c r="B346" s="3" t="s">
        <v>31</v>
      </c>
      <c r="C346" s="5">
        <v>4387</v>
      </c>
      <c r="D346" s="5">
        <v>1463.0300000000002</v>
      </c>
      <c r="E346" s="13">
        <v>0.33349213585593807</v>
      </c>
    </row>
    <row r="347" spans="1:5" x14ac:dyDescent="0.3">
      <c r="A347" s="3"/>
      <c r="B347" s="3" t="s">
        <v>452</v>
      </c>
      <c r="C347" s="5">
        <v>135</v>
      </c>
      <c r="D347" s="5">
        <v>53.739999999999995</v>
      </c>
      <c r="E347" s="13">
        <v>0.39807407407407402</v>
      </c>
    </row>
    <row r="348" spans="1:5" x14ac:dyDescent="0.3">
      <c r="A348" s="3"/>
      <c r="B348" s="3" t="s">
        <v>635</v>
      </c>
      <c r="C348" s="5">
        <v>446</v>
      </c>
      <c r="D348" s="5">
        <v>98.32</v>
      </c>
      <c r="E348" s="13">
        <v>0.22044843049327353</v>
      </c>
    </row>
    <row r="349" spans="1:5" x14ac:dyDescent="0.3">
      <c r="A349" s="3"/>
      <c r="B349" s="3" t="s">
        <v>453</v>
      </c>
      <c r="C349" s="5">
        <v>108</v>
      </c>
      <c r="D349" s="5">
        <v>36.989999999999995</v>
      </c>
      <c r="E349" s="13">
        <v>0.34249999999999997</v>
      </c>
    </row>
    <row r="350" spans="1:5" x14ac:dyDescent="0.3">
      <c r="A350" s="3"/>
      <c r="B350" s="3" t="s">
        <v>209</v>
      </c>
      <c r="C350" s="5">
        <v>26496</v>
      </c>
      <c r="D350" s="5">
        <v>7473.0800000000017</v>
      </c>
      <c r="E350" s="13">
        <v>0.28204559178743965</v>
      </c>
    </row>
    <row r="351" spans="1:5" x14ac:dyDescent="0.3">
      <c r="A351" s="3"/>
      <c r="B351" s="3" t="s">
        <v>637</v>
      </c>
      <c r="C351" s="5">
        <v>1530</v>
      </c>
      <c r="D351" s="5">
        <v>547.11</v>
      </c>
      <c r="E351" s="13">
        <v>0.35758823529411765</v>
      </c>
    </row>
    <row r="352" spans="1:5" x14ac:dyDescent="0.3">
      <c r="A352" s="3"/>
      <c r="B352" s="3" t="s">
        <v>408</v>
      </c>
      <c r="C352" s="5">
        <v>60</v>
      </c>
      <c r="D352" s="5">
        <v>26.39</v>
      </c>
      <c r="E352" s="13">
        <v>0.43983333333333335</v>
      </c>
    </row>
    <row r="353" spans="1:5" x14ac:dyDescent="0.3">
      <c r="A353" s="3"/>
      <c r="B353" s="3" t="s">
        <v>474</v>
      </c>
      <c r="C353" s="5">
        <v>212</v>
      </c>
      <c r="D353" s="5">
        <v>37.620000000000005</v>
      </c>
      <c r="E353" s="13">
        <v>0.17745283018867927</v>
      </c>
    </row>
    <row r="354" spans="1:5" x14ac:dyDescent="0.3">
      <c r="A354" s="3"/>
      <c r="B354" s="3" t="s">
        <v>410</v>
      </c>
      <c r="C354" s="5">
        <v>237</v>
      </c>
      <c r="D354" s="5">
        <v>59.539999999999992</v>
      </c>
      <c r="E354" s="13">
        <v>0.25122362869198311</v>
      </c>
    </row>
    <row r="355" spans="1:5" x14ac:dyDescent="0.3">
      <c r="A355" s="3"/>
      <c r="B355" s="3" t="s">
        <v>638</v>
      </c>
      <c r="C355" s="5">
        <v>2520</v>
      </c>
      <c r="D355" s="5">
        <v>983.7</v>
      </c>
      <c r="E355" s="13">
        <v>0.3903571428571429</v>
      </c>
    </row>
    <row r="356" spans="1:5" x14ac:dyDescent="0.3">
      <c r="A356" s="3"/>
      <c r="B356" s="3" t="s">
        <v>411</v>
      </c>
      <c r="C356" s="5">
        <v>146</v>
      </c>
      <c r="D356" s="5">
        <v>49.489999999999995</v>
      </c>
      <c r="E356" s="13">
        <v>0.33897260273972601</v>
      </c>
    </row>
    <row r="357" spans="1:5" x14ac:dyDescent="0.3">
      <c r="A357" s="3"/>
      <c r="B357" s="3" t="s">
        <v>155</v>
      </c>
      <c r="C357" s="5">
        <v>4683</v>
      </c>
      <c r="D357" s="5">
        <v>1556.2199999999998</v>
      </c>
      <c r="E357" s="13">
        <v>0.33231262011531065</v>
      </c>
    </row>
    <row r="358" spans="1:5" x14ac:dyDescent="0.3">
      <c r="A358" s="3"/>
      <c r="B358" s="3" t="s">
        <v>412</v>
      </c>
      <c r="C358" s="5">
        <v>261</v>
      </c>
      <c r="D358" s="5">
        <v>82.830000000000013</v>
      </c>
      <c r="E358" s="13">
        <v>0.31735632183908052</v>
      </c>
    </row>
    <row r="359" spans="1:5" x14ac:dyDescent="0.3">
      <c r="A359" s="3"/>
      <c r="B359" s="3" t="s">
        <v>34</v>
      </c>
      <c r="C359" s="5">
        <v>5212</v>
      </c>
      <c r="D359" s="5">
        <v>2017.04</v>
      </c>
      <c r="E359" s="13">
        <v>0.38699923254029162</v>
      </c>
    </row>
    <row r="360" spans="1:5" x14ac:dyDescent="0.3">
      <c r="A360" s="3"/>
      <c r="B360" s="3" t="s">
        <v>475</v>
      </c>
      <c r="C360" s="5">
        <v>900</v>
      </c>
      <c r="D360" s="5">
        <v>363.91999999999996</v>
      </c>
      <c r="E360" s="13">
        <v>0.40435555555555552</v>
      </c>
    </row>
    <row r="361" spans="1:5" x14ac:dyDescent="0.3">
      <c r="A361" s="3"/>
      <c r="B361" s="3" t="s">
        <v>157</v>
      </c>
      <c r="C361" s="5">
        <v>6600</v>
      </c>
      <c r="D361" s="5">
        <v>3069.43</v>
      </c>
      <c r="E361" s="13">
        <v>0.46506515151515149</v>
      </c>
    </row>
    <row r="362" spans="1:5" x14ac:dyDescent="0.3">
      <c r="A362" s="3"/>
      <c r="B362" s="3" t="s">
        <v>159</v>
      </c>
      <c r="C362" s="5">
        <v>2097</v>
      </c>
      <c r="D362" s="5">
        <v>771.56999999999994</v>
      </c>
      <c r="E362" s="13">
        <v>0.36793991416309008</v>
      </c>
    </row>
    <row r="363" spans="1:5" x14ac:dyDescent="0.3">
      <c r="A363" s="3"/>
      <c r="B363" s="3" t="s">
        <v>211</v>
      </c>
      <c r="C363" s="5">
        <v>9989</v>
      </c>
      <c r="D363" s="5">
        <v>2837.54</v>
      </c>
      <c r="E363" s="13">
        <v>0.28406647312043248</v>
      </c>
    </row>
    <row r="364" spans="1:5" x14ac:dyDescent="0.3">
      <c r="A364" s="3"/>
      <c r="B364" s="3" t="s">
        <v>36</v>
      </c>
      <c r="C364" s="5">
        <v>10678</v>
      </c>
      <c r="D364" s="5">
        <v>2247.1499999999996</v>
      </c>
      <c r="E364" s="13">
        <v>0.21044671286757816</v>
      </c>
    </row>
    <row r="365" spans="1:5" x14ac:dyDescent="0.3">
      <c r="A365" s="3"/>
      <c r="B365" s="3" t="s">
        <v>476</v>
      </c>
      <c r="C365" s="5">
        <v>680</v>
      </c>
      <c r="D365" s="5">
        <v>331.88</v>
      </c>
      <c r="E365" s="13">
        <v>0.48805882352941177</v>
      </c>
    </row>
    <row r="366" spans="1:5" x14ac:dyDescent="0.3">
      <c r="A366" s="3"/>
      <c r="B366" s="3" t="s">
        <v>39</v>
      </c>
      <c r="C366" s="5">
        <v>16304</v>
      </c>
      <c r="D366" s="5">
        <v>5599.5</v>
      </c>
      <c r="E366" s="13">
        <v>0.34344332679097156</v>
      </c>
    </row>
    <row r="367" spans="1:5" x14ac:dyDescent="0.3">
      <c r="A367" s="3"/>
      <c r="B367" s="3" t="s">
        <v>255</v>
      </c>
      <c r="C367" s="5">
        <v>144</v>
      </c>
      <c r="D367" s="5">
        <v>50.069999999999993</v>
      </c>
      <c r="E367" s="13">
        <v>0.34770833333333329</v>
      </c>
    </row>
    <row r="368" spans="1:5" x14ac:dyDescent="0.3">
      <c r="A368" s="3"/>
      <c r="B368" s="3" t="s">
        <v>256</v>
      </c>
      <c r="C368" s="5">
        <v>30</v>
      </c>
      <c r="D368" s="5">
        <v>-8.86</v>
      </c>
      <c r="E368" s="13">
        <v>-0.29533333333333334</v>
      </c>
    </row>
    <row r="369" spans="1:5" x14ac:dyDescent="0.3">
      <c r="A369" s="3"/>
      <c r="B369" s="3" t="s">
        <v>639</v>
      </c>
      <c r="C369" s="5">
        <v>128</v>
      </c>
      <c r="D369" s="5">
        <v>36.03</v>
      </c>
      <c r="E369" s="13">
        <v>0.28148437500000001</v>
      </c>
    </row>
    <row r="370" spans="1:5" x14ac:dyDescent="0.3">
      <c r="A370" s="3"/>
      <c r="B370" s="3" t="s">
        <v>454</v>
      </c>
      <c r="C370" s="5">
        <v>80</v>
      </c>
      <c r="D370" s="5">
        <v>28.72</v>
      </c>
      <c r="E370" s="13">
        <v>0.35899999999999999</v>
      </c>
    </row>
    <row r="371" spans="1:5" x14ac:dyDescent="0.3">
      <c r="A371" s="3"/>
      <c r="B371" s="3" t="s">
        <v>213</v>
      </c>
      <c r="C371" s="5">
        <v>16208</v>
      </c>
      <c r="D371" s="5">
        <v>5102.7099999999991</v>
      </c>
      <c r="E371" s="13">
        <v>0.3148266288252714</v>
      </c>
    </row>
    <row r="372" spans="1:5" x14ac:dyDescent="0.3">
      <c r="A372" s="3"/>
      <c r="B372" s="3" t="s">
        <v>414</v>
      </c>
      <c r="C372" s="5">
        <v>69</v>
      </c>
      <c r="D372" s="5">
        <v>26.54</v>
      </c>
      <c r="E372" s="13">
        <v>0.38463768115942026</v>
      </c>
    </row>
    <row r="373" spans="1:5" x14ac:dyDescent="0.3">
      <c r="A373" s="3"/>
      <c r="B373" s="3" t="s">
        <v>161</v>
      </c>
      <c r="C373" s="5">
        <v>5655</v>
      </c>
      <c r="D373" s="5">
        <v>2463.0500000000002</v>
      </c>
      <c r="E373" s="13">
        <v>0.43555260831122905</v>
      </c>
    </row>
    <row r="374" spans="1:5" x14ac:dyDescent="0.3">
      <c r="A374" s="3"/>
      <c r="B374" s="3" t="s">
        <v>258</v>
      </c>
      <c r="C374" s="5">
        <v>270</v>
      </c>
      <c r="D374" s="5">
        <v>-14.009999999999991</v>
      </c>
      <c r="E374" s="13">
        <v>-5.1888888888888852E-2</v>
      </c>
    </row>
    <row r="375" spans="1:5" x14ac:dyDescent="0.3">
      <c r="A375" s="3"/>
      <c r="B375" s="3" t="s">
        <v>416</v>
      </c>
      <c r="C375" s="5">
        <v>497</v>
      </c>
      <c r="D375" s="5">
        <v>124.73000000000002</v>
      </c>
      <c r="E375" s="13">
        <v>0.25096579476861169</v>
      </c>
    </row>
    <row r="376" spans="1:5" x14ac:dyDescent="0.3">
      <c r="A376" s="3"/>
      <c r="B376" s="3" t="s">
        <v>162</v>
      </c>
      <c r="C376" s="5">
        <v>9780</v>
      </c>
      <c r="D376" s="5">
        <v>3405.3999999999996</v>
      </c>
      <c r="E376" s="13">
        <v>0.34820040899795496</v>
      </c>
    </row>
    <row r="377" spans="1:5" x14ac:dyDescent="0.3">
      <c r="A377" s="3"/>
      <c r="B377" s="3" t="s">
        <v>477</v>
      </c>
      <c r="C377" s="5">
        <v>612</v>
      </c>
      <c r="D377" s="5">
        <v>225.23000000000002</v>
      </c>
      <c r="E377" s="13">
        <v>0.3680228758169935</v>
      </c>
    </row>
    <row r="378" spans="1:5" x14ac:dyDescent="0.3">
      <c r="A378" s="3"/>
      <c r="B378" s="3" t="s">
        <v>456</v>
      </c>
      <c r="C378" s="5">
        <v>180</v>
      </c>
      <c r="D378" s="5">
        <v>91.48</v>
      </c>
      <c r="E378" s="13">
        <v>0.50822222222222224</v>
      </c>
    </row>
    <row r="379" spans="1:5" x14ac:dyDescent="0.3">
      <c r="A379" s="3"/>
      <c r="B379" s="3" t="s">
        <v>41</v>
      </c>
      <c r="C379" s="5">
        <v>10922</v>
      </c>
      <c r="D379" s="5">
        <v>4209.7700000000004</v>
      </c>
      <c r="E379" s="13">
        <v>0.3854394799487274</v>
      </c>
    </row>
    <row r="380" spans="1:5" x14ac:dyDescent="0.3">
      <c r="A380" s="3"/>
      <c r="B380" s="3" t="s">
        <v>164</v>
      </c>
      <c r="C380" s="5">
        <v>2832</v>
      </c>
      <c r="D380" s="5">
        <v>1130.6400000000001</v>
      </c>
      <c r="E380" s="13">
        <v>0.39923728813559328</v>
      </c>
    </row>
    <row r="381" spans="1:5" x14ac:dyDescent="0.3">
      <c r="A381" s="3"/>
      <c r="B381" s="3" t="s">
        <v>215</v>
      </c>
      <c r="C381" s="5">
        <v>34590</v>
      </c>
      <c r="D381" s="5">
        <v>10970.380000000001</v>
      </c>
      <c r="E381" s="13">
        <v>0.31715466897947386</v>
      </c>
    </row>
    <row r="382" spans="1:5" x14ac:dyDescent="0.3">
      <c r="A382" s="3"/>
      <c r="B382" s="3" t="s">
        <v>259</v>
      </c>
      <c r="C382" s="5">
        <v>225</v>
      </c>
      <c r="D382" s="5">
        <v>50.94</v>
      </c>
      <c r="E382" s="13">
        <v>0.22639999999999999</v>
      </c>
    </row>
    <row r="383" spans="1:5" x14ac:dyDescent="0.3">
      <c r="A383" s="3"/>
      <c r="B383" s="3" t="s">
        <v>166</v>
      </c>
      <c r="C383" s="5">
        <v>3808</v>
      </c>
      <c r="D383" s="5">
        <v>565.02</v>
      </c>
      <c r="E383" s="13">
        <v>0.14837710084033612</v>
      </c>
    </row>
    <row r="384" spans="1:5" x14ac:dyDescent="0.3">
      <c r="A384" s="3"/>
      <c r="B384" s="3" t="s">
        <v>417</v>
      </c>
      <c r="C384" s="5">
        <v>304</v>
      </c>
      <c r="D384" s="5">
        <v>148.01</v>
      </c>
      <c r="E384" s="13">
        <v>0.48687499999999995</v>
      </c>
    </row>
    <row r="385" spans="1:5" x14ac:dyDescent="0.3">
      <c r="A385" s="3"/>
      <c r="B385" s="3" t="s">
        <v>216</v>
      </c>
      <c r="C385" s="5">
        <v>8036</v>
      </c>
      <c r="D385" s="5">
        <v>2064.9799999999996</v>
      </c>
      <c r="E385" s="13">
        <v>0.25696615231458431</v>
      </c>
    </row>
    <row r="386" spans="1:5" x14ac:dyDescent="0.3">
      <c r="A386" s="3"/>
      <c r="B386" s="3" t="s">
        <v>168</v>
      </c>
      <c r="C386" s="5">
        <v>9942</v>
      </c>
      <c r="D386" s="5">
        <v>3692.3900000000003</v>
      </c>
      <c r="E386" s="13">
        <v>0.37139307986320663</v>
      </c>
    </row>
    <row r="387" spans="1:5" x14ac:dyDescent="0.3">
      <c r="A387" s="3"/>
      <c r="B387" s="3" t="s">
        <v>641</v>
      </c>
      <c r="C387" s="5">
        <v>230</v>
      </c>
      <c r="D387" s="5">
        <v>112.14</v>
      </c>
      <c r="E387" s="13">
        <v>0.48756521739130437</v>
      </c>
    </row>
    <row r="388" spans="1:5" x14ac:dyDescent="0.3">
      <c r="A388" s="3"/>
      <c r="B388" s="3" t="s">
        <v>218</v>
      </c>
      <c r="C388" s="5">
        <v>15824</v>
      </c>
      <c r="D388" s="5">
        <v>5336.1</v>
      </c>
      <c r="E388" s="13">
        <v>0.33721562184024267</v>
      </c>
    </row>
    <row r="389" spans="1:5" x14ac:dyDescent="0.3">
      <c r="A389" s="3"/>
      <c r="B389" s="3" t="s">
        <v>260</v>
      </c>
      <c r="C389" s="5">
        <v>29</v>
      </c>
      <c r="D389" s="5">
        <v>7.6900000000000013</v>
      </c>
      <c r="E389" s="13">
        <v>0.26517241379310347</v>
      </c>
    </row>
    <row r="390" spans="1:5" x14ac:dyDescent="0.3">
      <c r="A390" s="3"/>
      <c r="B390" s="3" t="s">
        <v>169</v>
      </c>
      <c r="C390" s="5">
        <v>3076</v>
      </c>
      <c r="D390" s="5">
        <v>1007.0100000000002</v>
      </c>
      <c r="E390" s="13">
        <v>0.32737646293888173</v>
      </c>
    </row>
    <row r="391" spans="1:5" x14ac:dyDescent="0.3">
      <c r="A391" s="3"/>
      <c r="B391" s="3" t="s">
        <v>220</v>
      </c>
      <c r="C391" s="5">
        <v>63119</v>
      </c>
      <c r="D391" s="5">
        <v>18603.199999999997</v>
      </c>
      <c r="E391" s="13">
        <v>0.29473217256293666</v>
      </c>
    </row>
    <row r="392" spans="1:5" x14ac:dyDescent="0.3">
      <c r="A392" s="3"/>
      <c r="B392" s="3" t="s">
        <v>643</v>
      </c>
      <c r="C392" s="5">
        <v>423</v>
      </c>
      <c r="D392" s="5">
        <v>152.87</v>
      </c>
      <c r="E392" s="13">
        <v>0.36139479905437355</v>
      </c>
    </row>
    <row r="393" spans="1:5" x14ac:dyDescent="0.3">
      <c r="A393" s="3"/>
      <c r="B393" s="3" t="s">
        <v>644</v>
      </c>
      <c r="C393" s="5">
        <v>753</v>
      </c>
      <c r="D393" s="5">
        <v>236.78999999999996</v>
      </c>
      <c r="E393" s="13">
        <v>0.31446215139442224</v>
      </c>
    </row>
    <row r="394" spans="1:5" x14ac:dyDescent="0.3">
      <c r="A394" s="3"/>
      <c r="B394" s="3" t="s">
        <v>645</v>
      </c>
      <c r="C394" s="5">
        <v>582</v>
      </c>
      <c r="D394" s="5">
        <v>269.2</v>
      </c>
      <c r="E394" s="13">
        <v>0.46254295532646045</v>
      </c>
    </row>
    <row r="395" spans="1:5" x14ac:dyDescent="0.3">
      <c r="A395" s="3"/>
      <c r="B395" s="3" t="s">
        <v>458</v>
      </c>
      <c r="C395" s="5">
        <v>56</v>
      </c>
      <c r="D395" s="5">
        <v>29.08</v>
      </c>
      <c r="E395" s="13">
        <v>0.51928571428571424</v>
      </c>
    </row>
    <row r="396" spans="1:5" x14ac:dyDescent="0.3">
      <c r="A396" s="3"/>
      <c r="B396" s="3" t="s">
        <v>221</v>
      </c>
      <c r="C396" s="5">
        <v>21210</v>
      </c>
      <c r="D396" s="5">
        <v>7975.7000000000007</v>
      </c>
      <c r="E396" s="13">
        <v>0.37603488920320605</v>
      </c>
    </row>
    <row r="397" spans="1:5" x14ac:dyDescent="0.3">
      <c r="A397" s="3"/>
      <c r="B397" s="3" t="s">
        <v>262</v>
      </c>
      <c r="C397" s="5">
        <v>41</v>
      </c>
      <c r="D397" s="5">
        <v>16.27</v>
      </c>
      <c r="E397" s="13">
        <v>0.39682926829268289</v>
      </c>
    </row>
    <row r="398" spans="1:5" x14ac:dyDescent="0.3">
      <c r="A398" s="3"/>
      <c r="B398" s="3" t="s">
        <v>460</v>
      </c>
      <c r="C398" s="5">
        <v>32</v>
      </c>
      <c r="D398" s="5">
        <v>8.3500000000000014</v>
      </c>
      <c r="E398" s="13">
        <v>0.26093750000000004</v>
      </c>
    </row>
    <row r="399" spans="1:5" x14ac:dyDescent="0.3">
      <c r="A399" s="3"/>
      <c r="B399" s="3" t="s">
        <v>44</v>
      </c>
      <c r="C399" s="5">
        <v>3880</v>
      </c>
      <c r="D399" s="5">
        <v>1186.2800000000002</v>
      </c>
      <c r="E399" s="13">
        <v>0.30574226804123716</v>
      </c>
    </row>
    <row r="400" spans="1:5" x14ac:dyDescent="0.3">
      <c r="A400" s="3"/>
      <c r="B400" s="3" t="s">
        <v>418</v>
      </c>
      <c r="C400" s="5">
        <v>285</v>
      </c>
      <c r="D400" s="5">
        <v>115.75</v>
      </c>
      <c r="E400" s="13">
        <v>0.40614035087719297</v>
      </c>
    </row>
    <row r="401" spans="1:5" x14ac:dyDescent="0.3">
      <c r="A401" s="3"/>
      <c r="B401" s="3" t="s">
        <v>462</v>
      </c>
      <c r="C401" s="5">
        <v>190</v>
      </c>
      <c r="D401" s="5">
        <v>92.91</v>
      </c>
      <c r="E401" s="13">
        <v>0.48899999999999999</v>
      </c>
    </row>
    <row r="402" spans="1:5" x14ac:dyDescent="0.3">
      <c r="A402" s="3"/>
      <c r="B402" s="3" t="s">
        <v>478</v>
      </c>
      <c r="C402" s="5">
        <v>84</v>
      </c>
      <c r="D402" s="5">
        <v>28.47</v>
      </c>
      <c r="E402" s="13">
        <v>0.33892857142857141</v>
      </c>
    </row>
    <row r="403" spans="1:5" x14ac:dyDescent="0.3">
      <c r="A403" s="3"/>
      <c r="B403" s="3" t="s">
        <v>171</v>
      </c>
      <c r="C403" s="5">
        <v>5340</v>
      </c>
      <c r="D403" s="5">
        <v>1479.6599999999999</v>
      </c>
      <c r="E403" s="13">
        <v>0.27708988764044939</v>
      </c>
    </row>
    <row r="404" spans="1:5" x14ac:dyDescent="0.3">
      <c r="A404" s="3"/>
      <c r="B404" s="3" t="s">
        <v>47</v>
      </c>
      <c r="C404" s="5">
        <v>21126</v>
      </c>
      <c r="D404" s="5">
        <v>5273.4599999999991</v>
      </c>
      <c r="E404" s="13">
        <v>0.24961942629934675</v>
      </c>
    </row>
    <row r="405" spans="1:5" x14ac:dyDescent="0.3">
      <c r="A405" s="3"/>
      <c r="B405" s="3" t="s">
        <v>646</v>
      </c>
      <c r="C405" s="5">
        <v>472</v>
      </c>
      <c r="D405" s="5">
        <v>145.08999999999997</v>
      </c>
      <c r="E405" s="13">
        <v>0.3073940677966101</v>
      </c>
    </row>
    <row r="406" spans="1:5" x14ac:dyDescent="0.3">
      <c r="A406" s="3"/>
      <c r="B406" s="3" t="s">
        <v>223</v>
      </c>
      <c r="C406" s="5">
        <v>7578</v>
      </c>
      <c r="D406" s="5">
        <v>2924.7700000000004</v>
      </c>
      <c r="E406" s="13">
        <v>0.38595539720242816</v>
      </c>
    </row>
    <row r="407" spans="1:5" x14ac:dyDescent="0.3">
      <c r="A407" s="3"/>
      <c r="B407" s="3" t="s">
        <v>173</v>
      </c>
      <c r="C407" s="5">
        <v>2128</v>
      </c>
      <c r="D407" s="5">
        <v>672.54</v>
      </c>
      <c r="E407" s="13">
        <v>0.31604323308270676</v>
      </c>
    </row>
    <row r="408" spans="1:5" x14ac:dyDescent="0.3">
      <c r="A408" s="3"/>
      <c r="B408" s="3" t="s">
        <v>52</v>
      </c>
      <c r="C408" s="5">
        <v>15147</v>
      </c>
      <c r="D408" s="5">
        <v>4638.34</v>
      </c>
      <c r="E408" s="13">
        <v>0.30622169406483135</v>
      </c>
    </row>
    <row r="409" spans="1:5" x14ac:dyDescent="0.3">
      <c r="A409" s="3"/>
      <c r="B409" s="3" t="s">
        <v>648</v>
      </c>
      <c r="C409" s="5">
        <v>1156</v>
      </c>
      <c r="D409" s="5">
        <v>402.57000000000005</v>
      </c>
      <c r="E409" s="13">
        <v>0.34824394463667824</v>
      </c>
    </row>
    <row r="410" spans="1:5" x14ac:dyDescent="0.3">
      <c r="A410" s="3"/>
      <c r="B410" s="3" t="s">
        <v>419</v>
      </c>
      <c r="C410" s="5">
        <v>400</v>
      </c>
      <c r="D410" s="5">
        <v>119.88999999999999</v>
      </c>
      <c r="E410" s="13">
        <v>0.29972499999999996</v>
      </c>
    </row>
    <row r="411" spans="1:5" x14ac:dyDescent="0.3">
      <c r="A411" s="3"/>
      <c r="B411" s="3" t="s">
        <v>54</v>
      </c>
      <c r="C411" s="5">
        <v>12232</v>
      </c>
      <c r="D411" s="5">
        <v>3125.0599999999995</v>
      </c>
      <c r="E411" s="13">
        <v>0.25548234139960757</v>
      </c>
    </row>
    <row r="412" spans="1:5" x14ac:dyDescent="0.3">
      <c r="A412" s="3"/>
      <c r="B412" s="3" t="s">
        <v>650</v>
      </c>
      <c r="C412" s="5">
        <v>3060</v>
      </c>
      <c r="D412" s="5">
        <v>877.52</v>
      </c>
      <c r="E412" s="13">
        <v>0.28677124183006536</v>
      </c>
    </row>
    <row r="413" spans="1:5" x14ac:dyDescent="0.3">
      <c r="A413" s="3"/>
      <c r="B413" s="3" t="s">
        <v>56</v>
      </c>
      <c r="C413" s="5">
        <v>47660</v>
      </c>
      <c r="D413" s="5">
        <v>16130.029999999999</v>
      </c>
      <c r="E413" s="13">
        <v>0.33843957196810742</v>
      </c>
    </row>
    <row r="414" spans="1:5" x14ac:dyDescent="0.3">
      <c r="A414" s="3"/>
      <c r="B414" s="3" t="s">
        <v>651</v>
      </c>
      <c r="C414" s="5">
        <v>1075</v>
      </c>
      <c r="D414" s="5">
        <v>487.74</v>
      </c>
      <c r="E414" s="13">
        <v>0.45371162790697678</v>
      </c>
    </row>
    <row r="415" spans="1:5" x14ac:dyDescent="0.3">
      <c r="A415" s="3"/>
      <c r="B415" s="3" t="s">
        <v>225</v>
      </c>
      <c r="C415" s="5">
        <v>12626</v>
      </c>
      <c r="D415" s="5">
        <v>5247.88</v>
      </c>
      <c r="E415" s="13">
        <v>0.41564074132741963</v>
      </c>
    </row>
    <row r="416" spans="1:5" x14ac:dyDescent="0.3">
      <c r="A416" s="3"/>
      <c r="B416" s="3" t="s">
        <v>264</v>
      </c>
      <c r="C416" s="5">
        <v>48</v>
      </c>
      <c r="D416" s="5">
        <v>17.8</v>
      </c>
      <c r="E416" s="13">
        <v>0.37083333333333335</v>
      </c>
    </row>
    <row r="417" spans="1:5" x14ac:dyDescent="0.3">
      <c r="A417" s="3"/>
      <c r="B417" s="3" t="s">
        <v>175</v>
      </c>
      <c r="C417" s="5">
        <v>10717</v>
      </c>
      <c r="D417" s="5">
        <v>4417.72</v>
      </c>
      <c r="E417" s="13">
        <v>0.41221610525333585</v>
      </c>
    </row>
    <row r="418" spans="1:5" x14ac:dyDescent="0.3">
      <c r="A418" s="3"/>
      <c r="B418" s="3" t="s">
        <v>653</v>
      </c>
      <c r="C418" s="5">
        <v>211</v>
      </c>
      <c r="D418" s="5">
        <v>52.789999999999992</v>
      </c>
      <c r="E418" s="13">
        <v>0.2501895734597156</v>
      </c>
    </row>
    <row r="419" spans="1:5" x14ac:dyDescent="0.3">
      <c r="A419" s="3"/>
      <c r="B419" s="3" t="s">
        <v>464</v>
      </c>
      <c r="C419" s="5">
        <v>150</v>
      </c>
      <c r="D419" s="5">
        <v>56.650000000000006</v>
      </c>
      <c r="E419" s="13">
        <v>0.37766666666666671</v>
      </c>
    </row>
    <row r="420" spans="1:5" x14ac:dyDescent="0.3">
      <c r="A420" s="3"/>
      <c r="B420" s="3" t="s">
        <v>654</v>
      </c>
      <c r="C420" s="5">
        <v>135</v>
      </c>
      <c r="D420" s="5">
        <v>35.180000000000007</v>
      </c>
      <c r="E420" s="13">
        <v>0.26059259259259265</v>
      </c>
    </row>
    <row r="421" spans="1:5" x14ac:dyDescent="0.3">
      <c r="A421" s="3"/>
      <c r="B421" s="3" t="s">
        <v>177</v>
      </c>
      <c r="C421" s="5">
        <v>2139</v>
      </c>
      <c r="D421" s="5">
        <v>742.54</v>
      </c>
      <c r="E421" s="13">
        <v>0.34714352501168771</v>
      </c>
    </row>
    <row r="422" spans="1:5" x14ac:dyDescent="0.3">
      <c r="A422" s="3"/>
      <c r="B422" s="3" t="s">
        <v>465</v>
      </c>
      <c r="C422" s="5">
        <v>56</v>
      </c>
      <c r="D422" s="5">
        <v>41.31</v>
      </c>
      <c r="E422" s="13">
        <v>0.73767857142857152</v>
      </c>
    </row>
    <row r="423" spans="1:5" x14ac:dyDescent="0.3">
      <c r="A423" s="3"/>
      <c r="B423" s="3" t="s">
        <v>179</v>
      </c>
      <c r="C423" s="5">
        <v>6315</v>
      </c>
      <c r="D423" s="5">
        <v>2663.53</v>
      </c>
      <c r="E423" s="13">
        <v>0.42177830562153606</v>
      </c>
    </row>
    <row r="424" spans="1:5" x14ac:dyDescent="0.3">
      <c r="A424" s="3"/>
      <c r="B424" s="3" t="s">
        <v>656</v>
      </c>
      <c r="C424" s="5">
        <v>370</v>
      </c>
      <c r="D424" s="5">
        <v>102.37</v>
      </c>
      <c r="E424" s="13">
        <v>0.27667567567567569</v>
      </c>
    </row>
    <row r="425" spans="1:5" x14ac:dyDescent="0.3">
      <c r="A425" s="3"/>
      <c r="B425" s="3" t="s">
        <v>657</v>
      </c>
      <c r="C425" s="5">
        <v>1824</v>
      </c>
      <c r="D425" s="5">
        <v>549.23</v>
      </c>
      <c r="E425" s="13">
        <v>0.30111293859649124</v>
      </c>
    </row>
    <row r="426" spans="1:5" x14ac:dyDescent="0.3">
      <c r="A426" s="3"/>
      <c r="B426" s="3" t="s">
        <v>479</v>
      </c>
      <c r="C426" s="5">
        <v>95</v>
      </c>
      <c r="D426" s="5">
        <v>31.46</v>
      </c>
      <c r="E426" s="13">
        <v>0.3311578947368421</v>
      </c>
    </row>
    <row r="427" spans="1:5" x14ac:dyDescent="0.3">
      <c r="A427" s="3"/>
      <c r="B427" s="3" t="s">
        <v>467</v>
      </c>
      <c r="C427" s="5">
        <v>352</v>
      </c>
      <c r="D427" s="5">
        <v>224.24</v>
      </c>
      <c r="E427" s="13">
        <v>0.63704545454545458</v>
      </c>
    </row>
    <row r="428" spans="1:5" x14ac:dyDescent="0.3">
      <c r="A428" s="3"/>
      <c r="B428" s="3" t="s">
        <v>59</v>
      </c>
      <c r="C428" s="5">
        <v>15780</v>
      </c>
      <c r="D428" s="5">
        <v>4473.76</v>
      </c>
      <c r="E428" s="13">
        <v>0.28350823827629912</v>
      </c>
    </row>
    <row r="429" spans="1:5" x14ac:dyDescent="0.3">
      <c r="A429" s="3"/>
      <c r="B429" s="3" t="s">
        <v>481</v>
      </c>
      <c r="C429" s="5">
        <v>255</v>
      </c>
      <c r="D429" s="5">
        <v>87.330000000000013</v>
      </c>
      <c r="E429" s="13">
        <v>0.34247058823529419</v>
      </c>
    </row>
    <row r="430" spans="1:5" x14ac:dyDescent="0.3">
      <c r="A430" s="3"/>
      <c r="B430" s="3" t="s">
        <v>61</v>
      </c>
      <c r="C430" s="5">
        <v>9276</v>
      </c>
      <c r="D430" s="5">
        <v>3680.12</v>
      </c>
      <c r="E430" s="13">
        <v>0.39673566192324278</v>
      </c>
    </row>
    <row r="431" spans="1:5" x14ac:dyDescent="0.3">
      <c r="A431" s="3"/>
      <c r="B431" s="3" t="s">
        <v>64</v>
      </c>
      <c r="C431" s="5">
        <v>7922</v>
      </c>
      <c r="D431" s="5">
        <v>2617.9700000000003</v>
      </c>
      <c r="E431" s="13">
        <v>0.33046831608179755</v>
      </c>
    </row>
    <row r="432" spans="1:5" x14ac:dyDescent="0.3">
      <c r="A432" s="3"/>
      <c r="B432" s="3" t="s">
        <v>421</v>
      </c>
      <c r="C432" s="5">
        <v>146</v>
      </c>
      <c r="D432" s="5">
        <v>58.11</v>
      </c>
      <c r="E432" s="13">
        <v>0.39801369863013697</v>
      </c>
    </row>
    <row r="433" spans="1:5" x14ac:dyDescent="0.3">
      <c r="A433" s="3"/>
      <c r="B433" s="3" t="s">
        <v>181</v>
      </c>
      <c r="C433" s="5">
        <v>13624</v>
      </c>
      <c r="D433" s="5">
        <v>6967</v>
      </c>
      <c r="E433" s="13">
        <v>0.51137698179682911</v>
      </c>
    </row>
    <row r="434" spans="1:5" x14ac:dyDescent="0.3">
      <c r="A434" s="3"/>
      <c r="B434" s="3" t="s">
        <v>265</v>
      </c>
      <c r="C434" s="5">
        <v>200</v>
      </c>
      <c r="D434" s="5">
        <v>-82.740000000000009</v>
      </c>
      <c r="E434" s="13">
        <v>-0.41370000000000007</v>
      </c>
    </row>
    <row r="435" spans="1:5" x14ac:dyDescent="0.3">
      <c r="A435" s="3"/>
      <c r="B435" s="3" t="s">
        <v>66</v>
      </c>
      <c r="C435" s="5">
        <v>3763</v>
      </c>
      <c r="D435" s="5">
        <v>1324.2800000000002</v>
      </c>
      <c r="E435" s="13">
        <v>0.35192133935689612</v>
      </c>
    </row>
    <row r="436" spans="1:5" x14ac:dyDescent="0.3">
      <c r="A436" s="3"/>
      <c r="B436" s="3" t="s">
        <v>182</v>
      </c>
      <c r="C436" s="5">
        <v>3416</v>
      </c>
      <c r="D436" s="5">
        <v>1024.7199999999998</v>
      </c>
      <c r="E436" s="13">
        <v>0.29997658079625289</v>
      </c>
    </row>
    <row r="437" spans="1:5" x14ac:dyDescent="0.3">
      <c r="A437" s="3"/>
      <c r="B437" s="3" t="s">
        <v>658</v>
      </c>
      <c r="C437" s="5">
        <v>870</v>
      </c>
      <c r="D437" s="5">
        <v>296.65999999999997</v>
      </c>
      <c r="E437" s="13">
        <v>0.34098850574712641</v>
      </c>
    </row>
    <row r="438" spans="1:5" x14ac:dyDescent="0.3">
      <c r="A438" s="3"/>
      <c r="B438" s="3" t="s">
        <v>184</v>
      </c>
      <c r="C438" s="5">
        <v>14070</v>
      </c>
      <c r="D438" s="5">
        <v>4721.1100000000006</v>
      </c>
      <c r="E438" s="13">
        <v>0.33554442075337604</v>
      </c>
    </row>
    <row r="439" spans="1:5" x14ac:dyDescent="0.3">
      <c r="A439" s="3"/>
      <c r="B439" s="3" t="s">
        <v>659</v>
      </c>
      <c r="C439" s="5">
        <v>270</v>
      </c>
      <c r="D439" s="5">
        <v>102.52000000000001</v>
      </c>
      <c r="E439" s="13">
        <v>0.37970370370370377</v>
      </c>
    </row>
    <row r="440" spans="1:5" x14ac:dyDescent="0.3">
      <c r="A440" s="3"/>
      <c r="B440" s="3" t="s">
        <v>661</v>
      </c>
      <c r="C440" s="5">
        <v>304</v>
      </c>
      <c r="D440" s="5">
        <v>87.38</v>
      </c>
      <c r="E440" s="13">
        <v>0.28743421052631579</v>
      </c>
    </row>
    <row r="441" spans="1:5" x14ac:dyDescent="0.3">
      <c r="A441" s="3"/>
      <c r="B441" s="3" t="s">
        <v>267</v>
      </c>
      <c r="C441" s="5">
        <v>100</v>
      </c>
      <c r="D441" s="5">
        <v>1.9300000000000068</v>
      </c>
      <c r="E441" s="13">
        <v>1.9300000000000067E-2</v>
      </c>
    </row>
    <row r="442" spans="1:5" x14ac:dyDescent="0.3">
      <c r="A442" s="3" t="s">
        <v>856</v>
      </c>
      <c r="B442" s="3"/>
      <c r="C442" s="5">
        <v>659141</v>
      </c>
      <c r="D442" s="5">
        <v>218623.94999999998</v>
      </c>
      <c r="E442" s="13">
        <v>0.33168009576099799</v>
      </c>
    </row>
    <row r="443" spans="1:5" x14ac:dyDescent="0.3">
      <c r="A443" s="3" t="s">
        <v>188</v>
      </c>
      <c r="B443" s="3" t="s">
        <v>790</v>
      </c>
      <c r="C443" s="5">
        <v>8487</v>
      </c>
      <c r="D443" s="5">
        <v>3832.95</v>
      </c>
      <c r="E443" s="13">
        <v>0.45162601626016258</v>
      </c>
    </row>
    <row r="444" spans="1:5" x14ac:dyDescent="0.3">
      <c r="A444" s="3"/>
      <c r="B444" s="3" t="s">
        <v>662</v>
      </c>
      <c r="C444" s="5">
        <v>795</v>
      </c>
      <c r="D444" s="5">
        <v>237.07000000000005</v>
      </c>
      <c r="E444" s="13">
        <v>0.29820125786163526</v>
      </c>
    </row>
    <row r="445" spans="1:5" x14ac:dyDescent="0.3">
      <c r="A445" s="3"/>
      <c r="B445" s="3" t="s">
        <v>792</v>
      </c>
      <c r="C445" s="5">
        <v>13190</v>
      </c>
      <c r="D445" s="5">
        <v>6635.08</v>
      </c>
      <c r="E445" s="13">
        <v>0.5030386656557998</v>
      </c>
    </row>
    <row r="446" spans="1:5" x14ac:dyDescent="0.3">
      <c r="A446" s="3"/>
      <c r="B446" s="3" t="s">
        <v>793</v>
      </c>
      <c r="C446" s="5">
        <v>2500</v>
      </c>
      <c r="D446" s="5">
        <v>911.3599999999999</v>
      </c>
      <c r="E446" s="13">
        <v>0.36454399999999998</v>
      </c>
    </row>
    <row r="447" spans="1:5" x14ac:dyDescent="0.3">
      <c r="A447" s="3"/>
      <c r="B447" s="3" t="s">
        <v>737</v>
      </c>
      <c r="C447" s="5">
        <v>1216</v>
      </c>
      <c r="D447" s="5">
        <v>537.94000000000005</v>
      </c>
      <c r="E447" s="13">
        <v>0.44238486842105268</v>
      </c>
    </row>
    <row r="448" spans="1:5" x14ac:dyDescent="0.3">
      <c r="A448" s="3"/>
      <c r="B448" s="3" t="s">
        <v>739</v>
      </c>
      <c r="C448" s="5">
        <v>960</v>
      </c>
      <c r="D448" s="5">
        <v>258.13</v>
      </c>
      <c r="E448" s="13">
        <v>0.26888541666666665</v>
      </c>
    </row>
    <row r="449" spans="1:5" x14ac:dyDescent="0.3">
      <c r="A449" s="3"/>
      <c r="B449" s="3" t="s">
        <v>423</v>
      </c>
      <c r="C449" s="5">
        <v>5040</v>
      </c>
      <c r="D449" s="5">
        <v>2179.8000000000002</v>
      </c>
      <c r="E449" s="13">
        <v>0.43250000000000005</v>
      </c>
    </row>
    <row r="450" spans="1:5" x14ac:dyDescent="0.3">
      <c r="A450" s="3"/>
      <c r="B450" s="3" t="s">
        <v>814</v>
      </c>
      <c r="C450" s="5">
        <v>728</v>
      </c>
      <c r="D450" s="5">
        <v>283.93</v>
      </c>
      <c r="E450" s="13">
        <v>0.39001373626373625</v>
      </c>
    </row>
    <row r="451" spans="1:5" x14ac:dyDescent="0.3">
      <c r="A451" s="3"/>
      <c r="B451" s="3" t="s">
        <v>816</v>
      </c>
      <c r="C451" s="5">
        <v>861</v>
      </c>
      <c r="D451" s="5">
        <v>324.52999999999997</v>
      </c>
      <c r="E451" s="13">
        <v>0.3769221835075493</v>
      </c>
    </row>
    <row r="452" spans="1:5" x14ac:dyDescent="0.3">
      <c r="A452" s="3"/>
      <c r="B452" s="3" t="s">
        <v>771</v>
      </c>
      <c r="C452" s="5">
        <v>11373</v>
      </c>
      <c r="D452" s="5">
        <v>3689.3599999999997</v>
      </c>
      <c r="E452" s="13">
        <v>0.32439637738503468</v>
      </c>
    </row>
    <row r="453" spans="1:5" x14ac:dyDescent="0.3">
      <c r="A453" s="3"/>
      <c r="B453" s="3" t="s">
        <v>186</v>
      </c>
      <c r="C453" s="5">
        <v>172</v>
      </c>
      <c r="D453" s="5">
        <v>61.849999999999994</v>
      </c>
      <c r="E453" s="13">
        <v>0.35959302325581394</v>
      </c>
    </row>
    <row r="454" spans="1:5" x14ac:dyDescent="0.3">
      <c r="A454" s="3"/>
      <c r="B454" s="3" t="s">
        <v>741</v>
      </c>
      <c r="C454" s="5">
        <v>4940</v>
      </c>
      <c r="D454" s="5">
        <v>720.29</v>
      </c>
      <c r="E454" s="13">
        <v>0.1458076923076923</v>
      </c>
    </row>
    <row r="455" spans="1:5" x14ac:dyDescent="0.3">
      <c r="A455" s="3"/>
      <c r="B455" s="3" t="s">
        <v>794</v>
      </c>
      <c r="C455" s="5">
        <v>5541</v>
      </c>
      <c r="D455" s="5">
        <v>1878.65</v>
      </c>
      <c r="E455" s="13">
        <v>0.33904529868254829</v>
      </c>
    </row>
    <row r="456" spans="1:5" x14ac:dyDescent="0.3">
      <c r="A456" s="3"/>
      <c r="B456" s="3" t="s">
        <v>796</v>
      </c>
      <c r="C456" s="5">
        <v>7308</v>
      </c>
      <c r="D456" s="5">
        <v>2882.79</v>
      </c>
      <c r="E456" s="13">
        <v>0.39447044334975367</v>
      </c>
    </row>
    <row r="457" spans="1:5" x14ac:dyDescent="0.3">
      <c r="A457" s="3"/>
      <c r="B457" s="3" t="s">
        <v>425</v>
      </c>
      <c r="C457" s="5">
        <v>1845</v>
      </c>
      <c r="D457" s="5">
        <v>1010.67</v>
      </c>
      <c r="E457" s="13">
        <v>0.54778861788617883</v>
      </c>
    </row>
    <row r="458" spans="1:5" x14ac:dyDescent="0.3">
      <c r="A458" s="3"/>
      <c r="B458" s="3" t="s">
        <v>426</v>
      </c>
      <c r="C458" s="5">
        <v>4028</v>
      </c>
      <c r="D458" s="5">
        <v>1504.4299999999998</v>
      </c>
      <c r="E458" s="13">
        <v>0.37349304865938426</v>
      </c>
    </row>
    <row r="459" spans="1:5" x14ac:dyDescent="0.3">
      <c r="A459" s="3"/>
      <c r="B459" s="3" t="s">
        <v>686</v>
      </c>
      <c r="C459" s="5">
        <v>3000</v>
      </c>
      <c r="D459" s="5">
        <v>689.88000000000011</v>
      </c>
      <c r="E459" s="13">
        <v>0.22996000000000003</v>
      </c>
    </row>
    <row r="460" spans="1:5" x14ac:dyDescent="0.3">
      <c r="A460" s="3"/>
      <c r="B460" s="3" t="s">
        <v>773</v>
      </c>
      <c r="C460" s="5">
        <v>7065</v>
      </c>
      <c r="D460" s="5">
        <v>3496.38</v>
      </c>
      <c r="E460" s="13">
        <v>0.49488747346072187</v>
      </c>
    </row>
    <row r="461" spans="1:5" x14ac:dyDescent="0.3">
      <c r="A461" s="3"/>
      <c r="B461" s="3" t="s">
        <v>428</v>
      </c>
      <c r="C461" s="5">
        <v>4168</v>
      </c>
      <c r="D461" s="5">
        <v>1282.9499999999998</v>
      </c>
      <c r="E461" s="13">
        <v>0.30780950095969284</v>
      </c>
    </row>
    <row r="462" spans="1:5" x14ac:dyDescent="0.3">
      <c r="A462" s="3"/>
      <c r="B462" s="3" t="s">
        <v>742</v>
      </c>
      <c r="C462" s="5">
        <v>1092</v>
      </c>
      <c r="D462" s="5">
        <v>410.96000000000004</v>
      </c>
      <c r="E462" s="13">
        <v>0.37633699633699635</v>
      </c>
    </row>
    <row r="463" spans="1:5" x14ac:dyDescent="0.3">
      <c r="A463" s="3"/>
      <c r="B463" s="3" t="s">
        <v>744</v>
      </c>
      <c r="C463" s="5">
        <v>507</v>
      </c>
      <c r="D463" s="5">
        <v>144.70999999999998</v>
      </c>
      <c r="E463" s="13">
        <v>0.28542406311637075</v>
      </c>
    </row>
    <row r="464" spans="1:5" x14ac:dyDescent="0.3">
      <c r="A464" s="3"/>
      <c r="B464" s="3" t="s">
        <v>664</v>
      </c>
      <c r="C464" s="5">
        <v>873</v>
      </c>
      <c r="D464" s="5">
        <v>362.55</v>
      </c>
      <c r="E464" s="13">
        <v>0.41529209621993129</v>
      </c>
    </row>
    <row r="465" spans="1:5" x14ac:dyDescent="0.3">
      <c r="A465" s="3"/>
      <c r="B465" s="3" t="s">
        <v>745</v>
      </c>
      <c r="C465" s="5">
        <v>1860</v>
      </c>
      <c r="D465" s="5">
        <v>868.44</v>
      </c>
      <c r="E465" s="13">
        <v>0.46690322580645166</v>
      </c>
    </row>
    <row r="466" spans="1:5" x14ac:dyDescent="0.3">
      <c r="A466" s="3"/>
      <c r="B466" s="3" t="s">
        <v>746</v>
      </c>
      <c r="C466" s="5">
        <v>5285</v>
      </c>
      <c r="D466" s="5">
        <v>1635.46</v>
      </c>
      <c r="E466" s="13">
        <v>0.30945316934720907</v>
      </c>
    </row>
    <row r="467" spans="1:5" x14ac:dyDescent="0.3">
      <c r="A467" s="3"/>
      <c r="B467" s="3" t="s">
        <v>665</v>
      </c>
      <c r="C467" s="5">
        <v>1515</v>
      </c>
      <c r="D467" s="5">
        <v>514.54</v>
      </c>
      <c r="E467" s="13">
        <v>0.33963036303630362</v>
      </c>
    </row>
    <row r="468" spans="1:5" x14ac:dyDescent="0.3">
      <c r="A468" s="3"/>
      <c r="B468" s="3" t="s">
        <v>797</v>
      </c>
      <c r="C468" s="5">
        <v>6464</v>
      </c>
      <c r="D468" s="5">
        <v>2729.02</v>
      </c>
      <c r="E468" s="13">
        <v>0.42218749999999999</v>
      </c>
    </row>
    <row r="469" spans="1:5" x14ac:dyDescent="0.3">
      <c r="A469" s="3"/>
      <c r="B469" s="3" t="s">
        <v>747</v>
      </c>
      <c r="C469" s="5">
        <v>773</v>
      </c>
      <c r="D469" s="5">
        <v>318.04000000000002</v>
      </c>
      <c r="E469" s="13">
        <v>0.41143596377749031</v>
      </c>
    </row>
    <row r="470" spans="1:5" x14ac:dyDescent="0.3">
      <c r="A470" s="3"/>
      <c r="B470" s="3" t="s">
        <v>667</v>
      </c>
      <c r="C470" s="5">
        <v>848</v>
      </c>
      <c r="D470" s="5">
        <v>297.24</v>
      </c>
      <c r="E470" s="13">
        <v>0.3505188679245283</v>
      </c>
    </row>
    <row r="471" spans="1:5" x14ac:dyDescent="0.3">
      <c r="A471" s="3"/>
      <c r="B471" s="3" t="s">
        <v>689</v>
      </c>
      <c r="C471" s="5">
        <v>3816</v>
      </c>
      <c r="D471" s="5">
        <v>1110.5500000000002</v>
      </c>
      <c r="E471" s="13">
        <v>0.29102463312368976</v>
      </c>
    </row>
    <row r="472" spans="1:5" x14ac:dyDescent="0.3">
      <c r="A472" s="3"/>
      <c r="B472" s="3" t="s">
        <v>774</v>
      </c>
      <c r="C472" s="5">
        <v>17919</v>
      </c>
      <c r="D472" s="5">
        <v>7543.15</v>
      </c>
      <c r="E472" s="13">
        <v>0.42095820079245494</v>
      </c>
    </row>
    <row r="473" spans="1:5" x14ac:dyDescent="0.3">
      <c r="A473" s="3"/>
      <c r="B473" s="3" t="s">
        <v>429</v>
      </c>
      <c r="C473" s="5">
        <v>916</v>
      </c>
      <c r="D473" s="5">
        <v>226.09000000000003</v>
      </c>
      <c r="E473" s="13">
        <v>0.24682314410480352</v>
      </c>
    </row>
    <row r="474" spans="1:5" x14ac:dyDescent="0.3">
      <c r="A474" s="3"/>
      <c r="B474" s="3" t="s">
        <v>431</v>
      </c>
      <c r="C474" s="5">
        <v>5148</v>
      </c>
      <c r="D474" s="5">
        <v>1073.1799999999998</v>
      </c>
      <c r="E474" s="13">
        <v>0.20846542346542343</v>
      </c>
    </row>
    <row r="475" spans="1:5" x14ac:dyDescent="0.3">
      <c r="A475" s="3"/>
      <c r="B475" s="3" t="s">
        <v>775</v>
      </c>
      <c r="C475" s="5">
        <v>23738</v>
      </c>
      <c r="D475" s="5">
        <v>7951.1399999999994</v>
      </c>
      <c r="E475" s="13">
        <v>0.33495408206251576</v>
      </c>
    </row>
    <row r="476" spans="1:5" x14ac:dyDescent="0.3">
      <c r="A476" s="3"/>
      <c r="B476" s="3" t="s">
        <v>818</v>
      </c>
      <c r="C476" s="5">
        <v>2303</v>
      </c>
      <c r="D476" s="5">
        <v>1035.77</v>
      </c>
      <c r="E476" s="13">
        <v>0.44974815458098133</v>
      </c>
    </row>
    <row r="477" spans="1:5" x14ac:dyDescent="0.3">
      <c r="A477" s="3"/>
      <c r="B477" s="3" t="s">
        <v>668</v>
      </c>
      <c r="C477" s="5">
        <v>2412</v>
      </c>
      <c r="D477" s="5">
        <v>1318.52</v>
      </c>
      <c r="E477" s="13">
        <v>0.54665008291873962</v>
      </c>
    </row>
    <row r="478" spans="1:5" x14ac:dyDescent="0.3">
      <c r="A478" s="3"/>
      <c r="B478" s="3" t="s">
        <v>819</v>
      </c>
      <c r="C478" s="5">
        <v>1024</v>
      </c>
      <c r="D478" s="5">
        <v>400.73</v>
      </c>
      <c r="E478" s="13">
        <v>0.39133789062500002</v>
      </c>
    </row>
    <row r="479" spans="1:5" x14ac:dyDescent="0.3">
      <c r="A479" s="3"/>
      <c r="B479" s="3" t="s">
        <v>820</v>
      </c>
      <c r="C479" s="5">
        <v>764</v>
      </c>
      <c r="D479" s="5">
        <v>375.43</v>
      </c>
      <c r="E479" s="13">
        <v>0.49140052356020941</v>
      </c>
    </row>
    <row r="480" spans="1:5" x14ac:dyDescent="0.3">
      <c r="A480" s="3"/>
      <c r="B480" s="3" t="s">
        <v>749</v>
      </c>
      <c r="C480" s="5">
        <v>481</v>
      </c>
      <c r="D480" s="5">
        <v>145.22000000000003</v>
      </c>
      <c r="E480" s="13">
        <v>0.30191268191268195</v>
      </c>
    </row>
    <row r="481" spans="1:5" x14ac:dyDescent="0.3">
      <c r="A481" s="3"/>
      <c r="B481" s="3" t="s">
        <v>798</v>
      </c>
      <c r="C481" s="5">
        <v>1145</v>
      </c>
      <c r="D481" s="5">
        <v>435.79999999999995</v>
      </c>
      <c r="E481" s="13">
        <v>0.38061135371179033</v>
      </c>
    </row>
    <row r="482" spans="1:5" x14ac:dyDescent="0.3">
      <c r="A482" s="3"/>
      <c r="B482" s="3" t="s">
        <v>690</v>
      </c>
      <c r="C482" s="5">
        <v>1423</v>
      </c>
      <c r="D482" s="5">
        <v>591.64</v>
      </c>
      <c r="E482" s="13">
        <v>0.41576950105411103</v>
      </c>
    </row>
    <row r="483" spans="1:5" x14ac:dyDescent="0.3">
      <c r="A483" s="3"/>
      <c r="B483" s="3" t="s">
        <v>799</v>
      </c>
      <c r="C483" s="5">
        <v>5808</v>
      </c>
      <c r="D483" s="5">
        <v>2951.4</v>
      </c>
      <c r="E483" s="13">
        <v>0.50816115702479336</v>
      </c>
    </row>
    <row r="484" spans="1:5" x14ac:dyDescent="0.3">
      <c r="A484" s="3"/>
      <c r="B484" s="3" t="s">
        <v>800</v>
      </c>
      <c r="C484" s="5">
        <v>903</v>
      </c>
      <c r="D484" s="5">
        <v>294</v>
      </c>
      <c r="E484" s="13">
        <v>0.32558139534883723</v>
      </c>
    </row>
    <row r="485" spans="1:5" x14ac:dyDescent="0.3">
      <c r="A485" s="3"/>
      <c r="B485" s="3" t="s">
        <v>801</v>
      </c>
      <c r="C485" s="5">
        <v>5230</v>
      </c>
      <c r="D485" s="5">
        <v>2462.85</v>
      </c>
      <c r="E485" s="13">
        <v>0.47090822179732311</v>
      </c>
    </row>
    <row r="486" spans="1:5" x14ac:dyDescent="0.3">
      <c r="A486" s="3"/>
      <c r="B486" s="3" t="s">
        <v>691</v>
      </c>
      <c r="C486" s="5">
        <v>19096</v>
      </c>
      <c r="D486" s="5">
        <v>8187.4400000000005</v>
      </c>
      <c r="E486" s="13">
        <v>0.42875157100963557</v>
      </c>
    </row>
    <row r="487" spans="1:5" x14ac:dyDescent="0.3">
      <c r="A487" s="3"/>
      <c r="B487" s="3" t="s">
        <v>669</v>
      </c>
      <c r="C487" s="5">
        <v>486</v>
      </c>
      <c r="D487" s="5">
        <v>152.69999999999999</v>
      </c>
      <c r="E487" s="13">
        <v>0.31419753086419749</v>
      </c>
    </row>
    <row r="488" spans="1:5" x14ac:dyDescent="0.3">
      <c r="A488" s="3"/>
      <c r="B488" s="3" t="s">
        <v>751</v>
      </c>
      <c r="C488" s="5">
        <v>1048</v>
      </c>
      <c r="D488" s="5">
        <v>346.77</v>
      </c>
      <c r="E488" s="13">
        <v>0.33088740458015264</v>
      </c>
    </row>
    <row r="489" spans="1:5" x14ac:dyDescent="0.3">
      <c r="A489" s="3"/>
      <c r="B489" s="3" t="s">
        <v>776</v>
      </c>
      <c r="C489" s="5">
        <v>8740</v>
      </c>
      <c r="D489" s="5">
        <v>2725.6899999999996</v>
      </c>
      <c r="E489" s="13">
        <v>0.3118638443935926</v>
      </c>
    </row>
    <row r="490" spans="1:5" x14ac:dyDescent="0.3">
      <c r="A490" s="3"/>
      <c r="B490" s="3" t="s">
        <v>432</v>
      </c>
      <c r="C490" s="5">
        <v>1512</v>
      </c>
      <c r="D490" s="5">
        <v>765.94</v>
      </c>
      <c r="E490" s="13">
        <v>0.50657407407407407</v>
      </c>
    </row>
    <row r="491" spans="1:5" x14ac:dyDescent="0.3">
      <c r="A491" s="3"/>
      <c r="B491" s="3" t="s">
        <v>671</v>
      </c>
      <c r="C491" s="5">
        <v>2431</v>
      </c>
      <c r="D491" s="5">
        <v>903.51</v>
      </c>
      <c r="E491" s="13">
        <v>0.37166186754422048</v>
      </c>
    </row>
    <row r="492" spans="1:5" x14ac:dyDescent="0.3">
      <c r="A492" s="3"/>
      <c r="B492" s="3" t="s">
        <v>692</v>
      </c>
      <c r="C492" s="5">
        <v>4264</v>
      </c>
      <c r="D492" s="5">
        <v>1391.73</v>
      </c>
      <c r="E492" s="13">
        <v>0.32639071294559102</v>
      </c>
    </row>
    <row r="493" spans="1:5" x14ac:dyDescent="0.3">
      <c r="A493" s="3"/>
      <c r="B493" s="3" t="s">
        <v>433</v>
      </c>
      <c r="C493" s="5">
        <v>7385</v>
      </c>
      <c r="D493" s="5">
        <v>3313.3</v>
      </c>
      <c r="E493" s="13">
        <v>0.44865267433987815</v>
      </c>
    </row>
    <row r="494" spans="1:5" x14ac:dyDescent="0.3">
      <c r="A494" s="3"/>
      <c r="B494" s="3" t="s">
        <v>694</v>
      </c>
      <c r="C494" s="5">
        <v>1806</v>
      </c>
      <c r="D494" s="5">
        <v>872.23</v>
      </c>
      <c r="E494" s="13">
        <v>0.48296234772978958</v>
      </c>
    </row>
    <row r="495" spans="1:5" x14ac:dyDescent="0.3">
      <c r="A495" s="3"/>
      <c r="B495" s="3" t="s">
        <v>753</v>
      </c>
      <c r="C495" s="5">
        <v>1311</v>
      </c>
      <c r="D495" s="5">
        <v>666.63</v>
      </c>
      <c r="E495" s="13">
        <v>0.50848970251716252</v>
      </c>
    </row>
    <row r="496" spans="1:5" x14ac:dyDescent="0.3">
      <c r="A496" s="3"/>
      <c r="B496" s="3" t="s">
        <v>821</v>
      </c>
      <c r="C496" s="5">
        <v>4160</v>
      </c>
      <c r="D496" s="5">
        <v>1190.69</v>
      </c>
      <c r="E496" s="13">
        <v>0.28622355769230773</v>
      </c>
    </row>
    <row r="497" spans="1:5" x14ac:dyDescent="0.3">
      <c r="A497" s="3"/>
      <c r="B497" s="3" t="s">
        <v>802</v>
      </c>
      <c r="C497" s="5">
        <v>3732</v>
      </c>
      <c r="D497" s="5">
        <v>1012.52</v>
      </c>
      <c r="E497" s="13">
        <v>0.27130760986066454</v>
      </c>
    </row>
    <row r="498" spans="1:5" x14ac:dyDescent="0.3">
      <c r="A498" s="3"/>
      <c r="B498" s="3" t="s">
        <v>190</v>
      </c>
      <c r="C498" s="5">
        <v>189</v>
      </c>
      <c r="D498" s="5">
        <v>99.31</v>
      </c>
      <c r="E498" s="13">
        <v>0.5254497354497355</v>
      </c>
    </row>
    <row r="499" spans="1:5" x14ac:dyDescent="0.3">
      <c r="A499" s="3"/>
      <c r="B499" s="3" t="s">
        <v>191</v>
      </c>
      <c r="C499" s="5">
        <v>1776</v>
      </c>
      <c r="D499" s="5">
        <v>644.90000000000009</v>
      </c>
      <c r="E499" s="13">
        <v>0.36311936936936939</v>
      </c>
    </row>
    <row r="500" spans="1:5" x14ac:dyDescent="0.3">
      <c r="A500" s="3"/>
      <c r="B500" s="3" t="s">
        <v>822</v>
      </c>
      <c r="C500" s="5">
        <v>748</v>
      </c>
      <c r="D500" s="5">
        <v>204.26999999999998</v>
      </c>
      <c r="E500" s="13">
        <v>0.27308823529411763</v>
      </c>
    </row>
    <row r="501" spans="1:5" x14ac:dyDescent="0.3">
      <c r="A501" s="3"/>
      <c r="B501" s="3" t="s">
        <v>755</v>
      </c>
      <c r="C501" s="5">
        <v>998</v>
      </c>
      <c r="D501" s="5">
        <v>287.42999999999995</v>
      </c>
      <c r="E501" s="13">
        <v>0.28800601202404802</v>
      </c>
    </row>
    <row r="502" spans="1:5" x14ac:dyDescent="0.3">
      <c r="A502" s="3"/>
      <c r="B502" s="3" t="s">
        <v>192</v>
      </c>
      <c r="C502" s="5">
        <v>156</v>
      </c>
      <c r="D502" s="5">
        <v>62</v>
      </c>
      <c r="E502" s="13">
        <v>0.39743589743589741</v>
      </c>
    </row>
    <row r="503" spans="1:5" x14ac:dyDescent="0.3">
      <c r="A503" s="3"/>
      <c r="B503" s="3" t="s">
        <v>804</v>
      </c>
      <c r="C503" s="5">
        <v>6120</v>
      </c>
      <c r="D503" s="5">
        <v>1936.1899999999996</v>
      </c>
      <c r="E503" s="13">
        <v>0.31637091503267967</v>
      </c>
    </row>
    <row r="504" spans="1:5" x14ac:dyDescent="0.3">
      <c r="A504" s="3"/>
      <c r="B504" s="3" t="s">
        <v>757</v>
      </c>
      <c r="C504" s="5">
        <v>1006</v>
      </c>
      <c r="D504" s="5">
        <v>319.83000000000004</v>
      </c>
      <c r="E504" s="13">
        <v>0.31792246520874756</v>
      </c>
    </row>
    <row r="505" spans="1:5" x14ac:dyDescent="0.3">
      <c r="A505" s="3"/>
      <c r="B505" s="3" t="s">
        <v>434</v>
      </c>
      <c r="C505" s="5">
        <v>1206</v>
      </c>
      <c r="D505" s="5">
        <v>396.57000000000005</v>
      </c>
      <c r="E505" s="13">
        <v>0.3288308457711443</v>
      </c>
    </row>
    <row r="506" spans="1:5" x14ac:dyDescent="0.3">
      <c r="A506" s="3"/>
      <c r="B506" s="3" t="s">
        <v>435</v>
      </c>
      <c r="C506" s="5">
        <v>2289</v>
      </c>
      <c r="D506" s="5">
        <v>969.36999999999989</v>
      </c>
      <c r="E506" s="13">
        <v>0.4234906072520751</v>
      </c>
    </row>
    <row r="507" spans="1:5" x14ac:dyDescent="0.3">
      <c r="A507" s="3"/>
      <c r="B507" s="3" t="s">
        <v>777</v>
      </c>
      <c r="C507" s="5">
        <v>17150</v>
      </c>
      <c r="D507" s="5">
        <v>5683.24</v>
      </c>
      <c r="E507" s="13">
        <v>0.33138425655976678</v>
      </c>
    </row>
    <row r="508" spans="1:5" x14ac:dyDescent="0.3">
      <c r="A508" s="3"/>
      <c r="B508" s="3" t="s">
        <v>696</v>
      </c>
      <c r="C508" s="5">
        <v>9828</v>
      </c>
      <c r="D508" s="5">
        <v>4155.95</v>
      </c>
      <c r="E508" s="13">
        <v>0.42286833536833535</v>
      </c>
    </row>
    <row r="509" spans="1:5" x14ac:dyDescent="0.3">
      <c r="A509" s="3"/>
      <c r="B509" s="3" t="s">
        <v>193</v>
      </c>
      <c r="C509" s="5">
        <v>531</v>
      </c>
      <c r="D509" s="5">
        <v>189.68</v>
      </c>
      <c r="E509" s="13">
        <v>0.35721280602636535</v>
      </c>
    </row>
    <row r="510" spans="1:5" x14ac:dyDescent="0.3">
      <c r="A510" s="3"/>
      <c r="B510" s="3" t="s">
        <v>436</v>
      </c>
      <c r="C510" s="5">
        <v>504</v>
      </c>
      <c r="D510" s="5">
        <v>180.7</v>
      </c>
      <c r="E510" s="13">
        <v>0.35853174603174603</v>
      </c>
    </row>
    <row r="511" spans="1:5" x14ac:dyDescent="0.3">
      <c r="A511" s="3"/>
      <c r="B511" s="3" t="s">
        <v>758</v>
      </c>
      <c r="C511" s="5">
        <v>609</v>
      </c>
      <c r="D511" s="5">
        <v>179.05</v>
      </c>
      <c r="E511" s="13">
        <v>0.29400656814449921</v>
      </c>
    </row>
    <row r="512" spans="1:5" x14ac:dyDescent="0.3">
      <c r="A512" s="3"/>
      <c r="B512" s="3" t="s">
        <v>697</v>
      </c>
      <c r="C512" s="5">
        <v>8496</v>
      </c>
      <c r="D512" s="5">
        <v>3196.7200000000003</v>
      </c>
      <c r="E512" s="13">
        <v>0.3762617702448211</v>
      </c>
    </row>
    <row r="513" spans="1:5" x14ac:dyDescent="0.3">
      <c r="A513" s="3"/>
      <c r="B513" s="3" t="s">
        <v>779</v>
      </c>
      <c r="C513" s="5">
        <v>13612</v>
      </c>
      <c r="D513" s="5">
        <v>4461.6000000000004</v>
      </c>
      <c r="E513" s="13">
        <v>0.32776961504554808</v>
      </c>
    </row>
    <row r="514" spans="1:5" x14ac:dyDescent="0.3">
      <c r="A514" s="3"/>
      <c r="B514" s="3" t="s">
        <v>780</v>
      </c>
      <c r="C514" s="5">
        <v>8004</v>
      </c>
      <c r="D514" s="5">
        <v>3604.1899999999996</v>
      </c>
      <c r="E514" s="13">
        <v>0.45029860069965011</v>
      </c>
    </row>
    <row r="515" spans="1:5" x14ac:dyDescent="0.3">
      <c r="A515" s="3"/>
      <c r="B515" s="3" t="s">
        <v>805</v>
      </c>
      <c r="C515" s="5">
        <v>12290</v>
      </c>
      <c r="D515" s="5">
        <v>5688.5</v>
      </c>
      <c r="E515" s="13">
        <v>0.46285598047192839</v>
      </c>
    </row>
    <row r="516" spans="1:5" x14ac:dyDescent="0.3">
      <c r="A516" s="3"/>
      <c r="B516" s="3" t="s">
        <v>759</v>
      </c>
      <c r="C516" s="5">
        <v>1904</v>
      </c>
      <c r="D516" s="5">
        <v>696.7</v>
      </c>
      <c r="E516" s="13">
        <v>0.36591386554621852</v>
      </c>
    </row>
    <row r="517" spans="1:5" x14ac:dyDescent="0.3">
      <c r="A517" s="3"/>
      <c r="B517" s="3" t="s">
        <v>760</v>
      </c>
      <c r="C517" s="5">
        <v>986</v>
      </c>
      <c r="D517" s="5">
        <v>365.49</v>
      </c>
      <c r="E517" s="13">
        <v>0.3706795131845842</v>
      </c>
    </row>
    <row r="518" spans="1:5" x14ac:dyDescent="0.3">
      <c r="A518" s="3"/>
      <c r="B518" s="3" t="s">
        <v>762</v>
      </c>
      <c r="C518" s="5">
        <v>1479</v>
      </c>
      <c r="D518" s="5">
        <v>428.15000000000009</v>
      </c>
      <c r="E518" s="13">
        <v>0.28948613928329958</v>
      </c>
    </row>
    <row r="519" spans="1:5" x14ac:dyDescent="0.3">
      <c r="A519" s="3"/>
      <c r="B519" s="3" t="s">
        <v>806</v>
      </c>
      <c r="C519" s="5">
        <v>12276</v>
      </c>
      <c r="D519" s="5">
        <v>4186.5</v>
      </c>
      <c r="E519" s="13">
        <v>0.34103128054740955</v>
      </c>
    </row>
    <row r="520" spans="1:5" x14ac:dyDescent="0.3">
      <c r="A520" s="3"/>
      <c r="B520" s="3" t="s">
        <v>782</v>
      </c>
      <c r="C520" s="5">
        <v>4330</v>
      </c>
      <c r="D520" s="5">
        <v>1897.1</v>
      </c>
      <c r="E520" s="13">
        <v>0.43812933025404155</v>
      </c>
    </row>
    <row r="521" spans="1:5" x14ac:dyDescent="0.3">
      <c r="A521" s="3"/>
      <c r="B521" s="3" t="s">
        <v>764</v>
      </c>
      <c r="C521" s="5">
        <v>536</v>
      </c>
      <c r="D521" s="5">
        <v>153.30000000000001</v>
      </c>
      <c r="E521" s="13">
        <v>0.28600746268656718</v>
      </c>
    </row>
    <row r="522" spans="1:5" x14ac:dyDescent="0.3">
      <c r="A522" s="3"/>
      <c r="B522" s="3" t="s">
        <v>807</v>
      </c>
      <c r="C522" s="5">
        <v>7280</v>
      </c>
      <c r="D522" s="5">
        <v>2786.6000000000004</v>
      </c>
      <c r="E522" s="13">
        <v>0.38277472527472534</v>
      </c>
    </row>
    <row r="523" spans="1:5" x14ac:dyDescent="0.3">
      <c r="A523" s="3"/>
      <c r="B523" s="3" t="s">
        <v>809</v>
      </c>
      <c r="C523" s="5">
        <v>4884</v>
      </c>
      <c r="D523" s="5">
        <v>1603.7199999999998</v>
      </c>
      <c r="E523" s="13">
        <v>0.32836199836199831</v>
      </c>
    </row>
    <row r="524" spans="1:5" x14ac:dyDescent="0.3">
      <c r="A524" s="3"/>
      <c r="B524" s="3" t="s">
        <v>811</v>
      </c>
      <c r="C524" s="5">
        <v>2996</v>
      </c>
      <c r="D524" s="5">
        <v>1137.92</v>
      </c>
      <c r="E524" s="13">
        <v>0.37981308411214953</v>
      </c>
    </row>
    <row r="525" spans="1:5" x14ac:dyDescent="0.3">
      <c r="A525" s="3"/>
      <c r="B525" s="3" t="s">
        <v>698</v>
      </c>
      <c r="C525" s="5">
        <v>3552</v>
      </c>
      <c r="D525" s="5">
        <v>1084.5999999999999</v>
      </c>
      <c r="E525" s="13">
        <v>0.30534909909909907</v>
      </c>
    </row>
    <row r="526" spans="1:5" x14ac:dyDescent="0.3">
      <c r="A526" s="3"/>
      <c r="B526" s="3" t="s">
        <v>437</v>
      </c>
      <c r="C526" s="5">
        <v>753</v>
      </c>
      <c r="D526" s="5">
        <v>243.26999999999998</v>
      </c>
      <c r="E526" s="13">
        <v>0.32306772908366532</v>
      </c>
    </row>
    <row r="527" spans="1:5" x14ac:dyDescent="0.3">
      <c r="A527" s="3"/>
      <c r="B527" s="3" t="s">
        <v>823</v>
      </c>
      <c r="C527" s="5">
        <v>2024</v>
      </c>
      <c r="D527" s="5">
        <v>976.88000000000011</v>
      </c>
      <c r="E527" s="13">
        <v>0.48264822134387358</v>
      </c>
    </row>
    <row r="528" spans="1:5" x14ac:dyDescent="0.3">
      <c r="A528" s="3"/>
      <c r="B528" s="3" t="s">
        <v>824</v>
      </c>
      <c r="C528" s="5">
        <v>2136</v>
      </c>
      <c r="D528" s="5">
        <v>261.6099999999999</v>
      </c>
      <c r="E528" s="13">
        <v>0.12247659176029958</v>
      </c>
    </row>
    <row r="529" spans="1:5" x14ac:dyDescent="0.3">
      <c r="A529" s="3"/>
      <c r="B529" s="3" t="s">
        <v>812</v>
      </c>
      <c r="C529" s="5">
        <v>9030</v>
      </c>
      <c r="D529" s="5">
        <v>3142.2299999999996</v>
      </c>
      <c r="E529" s="13">
        <v>0.34797674418604646</v>
      </c>
    </row>
    <row r="530" spans="1:5" x14ac:dyDescent="0.3">
      <c r="A530" s="3"/>
      <c r="B530" s="3" t="s">
        <v>672</v>
      </c>
      <c r="C530" s="5">
        <v>640</v>
      </c>
      <c r="D530" s="5">
        <v>188.16000000000003</v>
      </c>
      <c r="E530" s="13">
        <v>0.29400000000000004</v>
      </c>
    </row>
    <row r="531" spans="1:5" x14ac:dyDescent="0.3">
      <c r="A531" s="3"/>
      <c r="B531" s="3" t="s">
        <v>783</v>
      </c>
      <c r="C531" s="5">
        <v>7719</v>
      </c>
      <c r="D531" s="5">
        <v>1999.8500000000004</v>
      </c>
      <c r="E531" s="13">
        <v>0.25908148723927976</v>
      </c>
    </row>
    <row r="532" spans="1:5" x14ac:dyDescent="0.3">
      <c r="A532" s="3"/>
      <c r="B532" s="3" t="s">
        <v>700</v>
      </c>
      <c r="C532" s="5">
        <v>3168</v>
      </c>
      <c r="D532" s="5">
        <v>859.94999999999982</v>
      </c>
      <c r="E532" s="13">
        <v>0.27144886363636356</v>
      </c>
    </row>
    <row r="533" spans="1:5" x14ac:dyDescent="0.3">
      <c r="A533" s="3"/>
      <c r="B533" s="3" t="s">
        <v>765</v>
      </c>
      <c r="C533" s="5">
        <v>2244</v>
      </c>
      <c r="D533" s="5">
        <v>847.79</v>
      </c>
      <c r="E533" s="13">
        <v>0.37780303030303031</v>
      </c>
    </row>
    <row r="534" spans="1:5" x14ac:dyDescent="0.3">
      <c r="A534" s="3"/>
      <c r="B534" s="3" t="s">
        <v>195</v>
      </c>
      <c r="C534" s="5">
        <v>201</v>
      </c>
      <c r="D534" s="5">
        <v>89.95</v>
      </c>
      <c r="E534" s="13">
        <v>0.4475124378109453</v>
      </c>
    </row>
    <row r="535" spans="1:5" x14ac:dyDescent="0.3">
      <c r="A535" s="3"/>
      <c r="B535" s="3" t="s">
        <v>438</v>
      </c>
      <c r="C535" s="5">
        <v>1626</v>
      </c>
      <c r="D535" s="5">
        <v>406.23</v>
      </c>
      <c r="E535" s="13">
        <v>0.24983394833948341</v>
      </c>
    </row>
    <row r="536" spans="1:5" x14ac:dyDescent="0.3">
      <c r="A536" s="3"/>
      <c r="B536" s="3" t="s">
        <v>440</v>
      </c>
      <c r="C536" s="5">
        <v>2457</v>
      </c>
      <c r="D536" s="5">
        <v>876</v>
      </c>
      <c r="E536" s="13">
        <v>0.35653235653235654</v>
      </c>
    </row>
    <row r="537" spans="1:5" x14ac:dyDescent="0.3">
      <c r="A537" s="3"/>
      <c r="B537" s="3" t="s">
        <v>197</v>
      </c>
      <c r="C537" s="5">
        <v>470</v>
      </c>
      <c r="D537" s="5">
        <v>176.99</v>
      </c>
      <c r="E537" s="13">
        <v>0.37657446808510642</v>
      </c>
    </row>
    <row r="538" spans="1:5" x14ac:dyDescent="0.3">
      <c r="A538" s="3"/>
      <c r="B538" s="3" t="s">
        <v>785</v>
      </c>
      <c r="C538" s="5">
        <v>6393</v>
      </c>
      <c r="D538" s="5">
        <v>2649.92</v>
      </c>
      <c r="E538" s="13">
        <v>0.41450336305333962</v>
      </c>
    </row>
    <row r="539" spans="1:5" x14ac:dyDescent="0.3">
      <c r="A539" s="3"/>
      <c r="B539" s="3" t="s">
        <v>825</v>
      </c>
      <c r="C539" s="5">
        <v>864</v>
      </c>
      <c r="D539" s="5">
        <v>329.67999999999995</v>
      </c>
      <c r="E539" s="13">
        <v>0.38157407407407401</v>
      </c>
    </row>
    <row r="540" spans="1:5" x14ac:dyDescent="0.3">
      <c r="A540" s="3"/>
      <c r="B540" s="3" t="s">
        <v>702</v>
      </c>
      <c r="C540" s="5">
        <v>944</v>
      </c>
      <c r="D540" s="5">
        <v>412.62</v>
      </c>
      <c r="E540" s="13">
        <v>0.43709745762711866</v>
      </c>
    </row>
    <row r="541" spans="1:5" x14ac:dyDescent="0.3">
      <c r="A541" s="3"/>
      <c r="B541" s="3" t="s">
        <v>704</v>
      </c>
      <c r="C541" s="5">
        <v>1170</v>
      </c>
      <c r="D541" s="5">
        <v>523.30999999999995</v>
      </c>
      <c r="E541" s="13">
        <v>0.44727350427350421</v>
      </c>
    </row>
    <row r="542" spans="1:5" x14ac:dyDescent="0.3">
      <c r="A542" s="3"/>
      <c r="B542" s="3" t="s">
        <v>673</v>
      </c>
      <c r="C542" s="5">
        <v>1908</v>
      </c>
      <c r="D542" s="5">
        <v>786.56</v>
      </c>
      <c r="E542" s="13">
        <v>0.41224318658280917</v>
      </c>
    </row>
    <row r="543" spans="1:5" x14ac:dyDescent="0.3">
      <c r="A543" s="3"/>
      <c r="B543" s="3" t="s">
        <v>767</v>
      </c>
      <c r="C543" s="5">
        <v>5436</v>
      </c>
      <c r="D543" s="5">
        <v>949.79</v>
      </c>
      <c r="E543" s="13">
        <v>0.17472222222222222</v>
      </c>
    </row>
    <row r="544" spans="1:5" x14ac:dyDescent="0.3">
      <c r="A544" s="3"/>
      <c r="B544" s="3" t="s">
        <v>199</v>
      </c>
      <c r="C544" s="5">
        <v>1380</v>
      </c>
      <c r="D544" s="5">
        <v>566.11</v>
      </c>
      <c r="E544" s="13">
        <v>0.41022463768115941</v>
      </c>
    </row>
    <row r="545" spans="1:5" x14ac:dyDescent="0.3">
      <c r="A545" s="3"/>
      <c r="B545" s="3" t="s">
        <v>768</v>
      </c>
      <c r="C545" s="5">
        <v>2608</v>
      </c>
      <c r="D545" s="5">
        <v>896.67000000000007</v>
      </c>
      <c r="E545" s="13">
        <v>0.34381518404907979</v>
      </c>
    </row>
    <row r="546" spans="1:5" x14ac:dyDescent="0.3">
      <c r="A546" s="3"/>
      <c r="B546" s="3" t="s">
        <v>813</v>
      </c>
      <c r="C546" s="5">
        <v>4032</v>
      </c>
      <c r="D546" s="5">
        <v>1768.12</v>
      </c>
      <c r="E546" s="13">
        <v>0.43852182539682538</v>
      </c>
    </row>
    <row r="547" spans="1:5" x14ac:dyDescent="0.3">
      <c r="A547" s="3"/>
      <c r="B547" s="3" t="s">
        <v>441</v>
      </c>
      <c r="C547" s="5">
        <v>3175</v>
      </c>
      <c r="D547" s="5">
        <v>1261.21</v>
      </c>
      <c r="E547" s="13">
        <v>0.39723149606299213</v>
      </c>
    </row>
    <row r="548" spans="1:5" x14ac:dyDescent="0.3">
      <c r="A548" s="3"/>
      <c r="B548" s="3" t="s">
        <v>769</v>
      </c>
      <c r="C548" s="5">
        <v>6432</v>
      </c>
      <c r="D548" s="5">
        <v>1969.21</v>
      </c>
      <c r="E548" s="13">
        <v>0.30615827114427863</v>
      </c>
    </row>
    <row r="549" spans="1:5" x14ac:dyDescent="0.3">
      <c r="A549" s="3"/>
      <c r="B549" s="3" t="s">
        <v>786</v>
      </c>
      <c r="C549" s="5">
        <v>14994</v>
      </c>
      <c r="D549" s="5">
        <v>3967.42</v>
      </c>
      <c r="E549" s="13">
        <v>0.26460050686941444</v>
      </c>
    </row>
    <row r="550" spans="1:5" x14ac:dyDescent="0.3">
      <c r="A550" s="3"/>
      <c r="B550" s="3" t="s">
        <v>443</v>
      </c>
      <c r="C550" s="5">
        <v>1306</v>
      </c>
      <c r="D550" s="5">
        <v>521.62</v>
      </c>
      <c r="E550" s="13">
        <v>0.39940275650842266</v>
      </c>
    </row>
    <row r="551" spans="1:5" x14ac:dyDescent="0.3">
      <c r="A551" s="3"/>
      <c r="B551" s="3" t="s">
        <v>706</v>
      </c>
      <c r="C551" s="5">
        <v>1742</v>
      </c>
      <c r="D551" s="5">
        <v>564.67000000000007</v>
      </c>
      <c r="E551" s="13">
        <v>0.32415040183696903</v>
      </c>
    </row>
    <row r="552" spans="1:5" x14ac:dyDescent="0.3">
      <c r="A552" s="3"/>
      <c r="B552" s="3" t="s">
        <v>826</v>
      </c>
      <c r="C552" s="5">
        <v>866</v>
      </c>
      <c r="D552" s="5">
        <v>333.19000000000005</v>
      </c>
      <c r="E552" s="13">
        <v>0.38474595842956127</v>
      </c>
    </row>
    <row r="553" spans="1:5" x14ac:dyDescent="0.3">
      <c r="A553" s="3"/>
      <c r="B553" s="3" t="s">
        <v>787</v>
      </c>
      <c r="C553" s="5">
        <v>3952</v>
      </c>
      <c r="D553" s="5">
        <v>1651.83</v>
      </c>
      <c r="E553" s="13">
        <v>0.41797317813765178</v>
      </c>
    </row>
    <row r="554" spans="1:5" x14ac:dyDescent="0.3">
      <c r="A554" s="3"/>
      <c r="B554" s="3" t="s">
        <v>770</v>
      </c>
      <c r="C554" s="5">
        <v>2110</v>
      </c>
      <c r="D554" s="5">
        <v>880.05</v>
      </c>
      <c r="E554" s="13">
        <v>0.417085308056872</v>
      </c>
    </row>
    <row r="555" spans="1:5" x14ac:dyDescent="0.3">
      <c r="A555" s="3"/>
      <c r="B555" s="3" t="s">
        <v>707</v>
      </c>
      <c r="C555" s="5">
        <v>10998</v>
      </c>
      <c r="D555" s="5">
        <v>5341.79</v>
      </c>
      <c r="E555" s="13">
        <v>0.48570558283324239</v>
      </c>
    </row>
    <row r="556" spans="1:5" x14ac:dyDescent="0.3">
      <c r="A556" s="3"/>
      <c r="B556" s="3" t="s">
        <v>789</v>
      </c>
      <c r="C556" s="5">
        <v>28548</v>
      </c>
      <c r="D556" s="5">
        <v>8169.5999999999985</v>
      </c>
      <c r="E556" s="13">
        <v>0.28617065994115171</v>
      </c>
    </row>
    <row r="557" spans="1:5" x14ac:dyDescent="0.3">
      <c r="A557" s="3" t="s">
        <v>857</v>
      </c>
      <c r="B557" s="3"/>
      <c r="C557" s="5">
        <v>488496</v>
      </c>
      <c r="D557" s="5">
        <v>179355.48000000007</v>
      </c>
      <c r="E557" s="13">
        <v>0.36715854377517948</v>
      </c>
    </row>
    <row r="558" spans="1:5" x14ac:dyDescent="0.3">
      <c r="A558" s="18" t="s">
        <v>829</v>
      </c>
      <c r="B558" s="18"/>
      <c r="C558" s="5">
        <v>4225346</v>
      </c>
      <c r="D558" s="5">
        <v>1229237.9699999988</v>
      </c>
      <c r="E558" s="13">
        <v>0.29092007376437312</v>
      </c>
    </row>
  </sheetData>
  <mergeCells count="1">
    <mergeCell ref="A1:P2"/>
  </mergeCells>
  <pageMargins left="0.7" right="0.7" top="0.75" bottom="0.75" header="0.3" footer="0.3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DCECF-5AED-4B5F-9DCB-82B21A69FE0D}">
  <dimension ref="A1:R503"/>
  <sheetViews>
    <sheetView topLeftCell="D1" workbookViewId="0">
      <selection activeCell="R5" sqref="R5"/>
    </sheetView>
  </sheetViews>
  <sheetFormatPr defaultRowHeight="14.4" x14ac:dyDescent="0.3"/>
  <cols>
    <col min="1" max="1" width="18" customWidth="1"/>
    <col min="2" max="2" width="19.33203125" customWidth="1"/>
    <col min="3" max="3" width="23" customWidth="1"/>
    <col min="5" max="5" width="14.77734375" customWidth="1"/>
    <col min="6" max="6" width="17.33203125" customWidth="1"/>
    <col min="7" max="7" width="18" customWidth="1"/>
    <col min="8" max="8" width="27.6640625" customWidth="1"/>
    <col min="10" max="10" width="12.6640625" customWidth="1"/>
    <col min="11" max="11" width="12.44140625" customWidth="1"/>
    <col min="12" max="12" width="11.88671875" customWidth="1"/>
    <col min="13" max="13" width="11.5546875" customWidth="1"/>
    <col min="14" max="14" width="12.33203125" customWidth="1"/>
    <col min="18" max="18" width="9.77734375" customWidth="1"/>
  </cols>
  <sheetData>
    <row r="1" spans="1:18" x14ac:dyDescent="0.3">
      <c r="A1" s="1" t="s">
        <v>1</v>
      </c>
    </row>
    <row r="3" spans="1:18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843</v>
      </c>
      <c r="Q3" t="s">
        <v>17</v>
      </c>
      <c r="R3" t="s">
        <v>870</v>
      </c>
    </row>
    <row r="4" spans="1:18" x14ac:dyDescent="0.3">
      <c r="A4" s="2">
        <v>45330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>
        <v>2</v>
      </c>
      <c r="K4">
        <v>4301</v>
      </c>
      <c r="L4">
        <v>0.08</v>
      </c>
      <c r="M4">
        <v>8602</v>
      </c>
      <c r="N4">
        <v>4749.22</v>
      </c>
      <c r="O4">
        <v>3852.7799999999997</v>
      </c>
      <c r="P4" s="19">
        <f>Tabuľka4[[#This Row],[Zisk]]/Tabuľka4[[#This Row],[Trzba]]</f>
        <v>0.44789351313647985</v>
      </c>
      <c r="Q4">
        <v>2024</v>
      </c>
      <c r="R4" t="str">
        <f>TEXT(Tabuľka4[[#This Row],[Datum]],"MMMM")</f>
        <v>február</v>
      </c>
    </row>
    <row r="5" spans="1:18" x14ac:dyDescent="0.3">
      <c r="A5" s="2">
        <v>45379</v>
      </c>
      <c r="B5" t="s">
        <v>26</v>
      </c>
      <c r="C5" t="s">
        <v>27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>
        <v>3</v>
      </c>
      <c r="K5">
        <v>5076</v>
      </c>
      <c r="L5">
        <v>0.15</v>
      </c>
      <c r="M5">
        <v>15228</v>
      </c>
      <c r="N5">
        <v>8406.02</v>
      </c>
      <c r="O5">
        <v>6821.98</v>
      </c>
      <c r="P5" s="19">
        <f>Tabuľka4[[#This Row],[Zisk]]/Tabuľka4[[#This Row],[Trzba]]</f>
        <v>0.44798923036511684</v>
      </c>
      <c r="Q5">
        <v>2024</v>
      </c>
      <c r="R5" t="str">
        <f>TEXT(Tabuľka4[[#This Row],[Datum]],"MMMM")</f>
        <v>marec</v>
      </c>
    </row>
    <row r="6" spans="1:18" x14ac:dyDescent="0.3">
      <c r="A6" s="2">
        <v>45437</v>
      </c>
      <c r="B6" t="s">
        <v>28</v>
      </c>
      <c r="C6" t="s">
        <v>29</v>
      </c>
      <c r="D6" t="s">
        <v>20</v>
      </c>
      <c r="E6" t="s">
        <v>0</v>
      </c>
      <c r="F6" t="s">
        <v>22</v>
      </c>
      <c r="G6" t="s">
        <v>23</v>
      </c>
      <c r="H6" t="s">
        <v>24</v>
      </c>
      <c r="I6" t="s">
        <v>30</v>
      </c>
      <c r="J6">
        <v>2</v>
      </c>
      <c r="K6">
        <v>5981</v>
      </c>
      <c r="L6">
        <v>0.09</v>
      </c>
      <c r="M6">
        <v>11962</v>
      </c>
      <c r="N6">
        <v>8073.22</v>
      </c>
      <c r="O6">
        <v>3888.7799999999997</v>
      </c>
      <c r="P6" s="19">
        <f>Tabuľka4[[#This Row],[Zisk]]/Tabuľka4[[#This Row],[Trzba]]</f>
        <v>0.32509446580839324</v>
      </c>
      <c r="Q6">
        <v>2024</v>
      </c>
      <c r="R6" t="str">
        <f>TEXT(Tabuľka4[[#This Row],[Datum]],"MMMM")</f>
        <v>máj</v>
      </c>
    </row>
    <row r="7" spans="1:18" x14ac:dyDescent="0.3">
      <c r="A7" s="2">
        <v>45506</v>
      </c>
      <c r="B7" t="s">
        <v>31</v>
      </c>
      <c r="C7" t="s">
        <v>32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33</v>
      </c>
      <c r="J7">
        <v>1</v>
      </c>
      <c r="K7">
        <v>4387</v>
      </c>
      <c r="L7">
        <v>0</v>
      </c>
      <c r="M7">
        <v>4387</v>
      </c>
      <c r="N7">
        <v>2923.97</v>
      </c>
      <c r="O7">
        <v>1463.0300000000002</v>
      </c>
      <c r="P7" s="19">
        <f>Tabuľka4[[#This Row],[Zisk]]/Tabuľka4[[#This Row],[Trzba]]</f>
        <v>0.33349213585593807</v>
      </c>
      <c r="Q7">
        <v>2024</v>
      </c>
      <c r="R7" t="str">
        <f>TEXT(Tabuľka4[[#This Row],[Datum]],"MMMM")</f>
        <v>august</v>
      </c>
    </row>
    <row r="8" spans="1:18" x14ac:dyDescent="0.3">
      <c r="A8" s="2">
        <v>45569</v>
      </c>
      <c r="B8" t="s">
        <v>34</v>
      </c>
      <c r="C8" t="s">
        <v>35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30</v>
      </c>
      <c r="J8">
        <v>1</v>
      </c>
      <c r="K8">
        <v>5212</v>
      </c>
      <c r="L8">
        <v>7.0000000000000007E-2</v>
      </c>
      <c r="M8">
        <v>5212</v>
      </c>
      <c r="N8">
        <v>3194.96</v>
      </c>
      <c r="O8">
        <v>2017.04</v>
      </c>
      <c r="P8" s="19">
        <f>Tabuľka4[[#This Row],[Zisk]]/Tabuľka4[[#This Row],[Trzba]]</f>
        <v>0.38699923254029162</v>
      </c>
      <c r="Q8">
        <v>2024</v>
      </c>
      <c r="R8" t="str">
        <f>TEXT(Tabuľka4[[#This Row],[Datum]],"MMMM")</f>
        <v>október</v>
      </c>
    </row>
    <row r="9" spans="1:18" x14ac:dyDescent="0.3">
      <c r="A9" s="2">
        <v>45595</v>
      </c>
      <c r="B9" t="s">
        <v>36</v>
      </c>
      <c r="C9" t="s">
        <v>37</v>
      </c>
      <c r="D9" t="s">
        <v>20</v>
      </c>
      <c r="E9" t="s">
        <v>0</v>
      </c>
      <c r="F9" t="s">
        <v>22</v>
      </c>
      <c r="G9" t="s">
        <v>23</v>
      </c>
      <c r="H9" t="s">
        <v>24</v>
      </c>
      <c r="I9" t="s">
        <v>38</v>
      </c>
      <c r="J9">
        <v>2</v>
      </c>
      <c r="K9">
        <v>5339</v>
      </c>
      <c r="L9">
        <v>0.03</v>
      </c>
      <c r="M9">
        <v>10678</v>
      </c>
      <c r="N9">
        <v>8430.85</v>
      </c>
      <c r="O9">
        <v>2247.1499999999996</v>
      </c>
      <c r="P9" s="19">
        <f>Tabuľka4[[#This Row],[Zisk]]/Tabuľka4[[#This Row],[Trzba]]</f>
        <v>0.21044671286757816</v>
      </c>
      <c r="Q9">
        <v>2024</v>
      </c>
      <c r="R9" t="str">
        <f>TEXT(Tabuľka4[[#This Row],[Datum]],"MMMM")</f>
        <v>október</v>
      </c>
    </row>
    <row r="10" spans="1:18" x14ac:dyDescent="0.3">
      <c r="A10" s="2">
        <v>45597</v>
      </c>
      <c r="B10" t="s">
        <v>39</v>
      </c>
      <c r="C10" t="s">
        <v>40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>
        <v>4</v>
      </c>
      <c r="K10">
        <v>4076</v>
      </c>
      <c r="L10">
        <v>0.12</v>
      </c>
      <c r="M10">
        <v>16304</v>
      </c>
      <c r="N10">
        <v>10704.5</v>
      </c>
      <c r="O10">
        <v>5599.5</v>
      </c>
      <c r="P10" s="19">
        <f>Tabuľka4[[#This Row],[Zisk]]/Tabuľka4[[#This Row],[Trzba]]</f>
        <v>0.34344332679097156</v>
      </c>
      <c r="Q10">
        <v>2024</v>
      </c>
      <c r="R10" t="str">
        <f>TEXT(Tabuľka4[[#This Row],[Datum]],"MMMM")</f>
        <v>november</v>
      </c>
    </row>
    <row r="11" spans="1:18" x14ac:dyDescent="0.3">
      <c r="A11" s="2">
        <v>45668</v>
      </c>
      <c r="B11" t="s">
        <v>41</v>
      </c>
      <c r="C11" t="s">
        <v>42</v>
      </c>
      <c r="D11" t="s">
        <v>20</v>
      </c>
      <c r="E11" t="s">
        <v>21</v>
      </c>
      <c r="F11" t="s">
        <v>43</v>
      </c>
      <c r="G11" t="s">
        <v>23</v>
      </c>
      <c r="H11" t="s">
        <v>24</v>
      </c>
      <c r="I11" t="s">
        <v>25</v>
      </c>
      <c r="J11">
        <v>2</v>
      </c>
      <c r="K11">
        <v>5461</v>
      </c>
      <c r="L11">
        <v>0.1</v>
      </c>
      <c r="M11">
        <v>10922</v>
      </c>
      <c r="N11">
        <v>6712.23</v>
      </c>
      <c r="O11">
        <v>4209.7700000000004</v>
      </c>
      <c r="P11" s="19">
        <f>Tabuľka4[[#This Row],[Zisk]]/Tabuľka4[[#This Row],[Trzba]]</f>
        <v>0.3854394799487274</v>
      </c>
      <c r="Q11">
        <v>2025</v>
      </c>
      <c r="R11" t="str">
        <f>TEXT(Tabuľka4[[#This Row],[Datum]],"MMMM")</f>
        <v>január</v>
      </c>
    </row>
    <row r="12" spans="1:18" x14ac:dyDescent="0.3">
      <c r="A12" s="2">
        <v>45837</v>
      </c>
      <c r="B12" t="s">
        <v>44</v>
      </c>
      <c r="C12" t="s">
        <v>45</v>
      </c>
      <c r="D12" t="s">
        <v>20</v>
      </c>
      <c r="E12" t="s">
        <v>21</v>
      </c>
      <c r="F12" t="s">
        <v>43</v>
      </c>
      <c r="G12" t="s">
        <v>23</v>
      </c>
      <c r="H12" t="s">
        <v>24</v>
      </c>
      <c r="I12" t="s">
        <v>46</v>
      </c>
      <c r="J12">
        <v>1</v>
      </c>
      <c r="K12">
        <v>3880</v>
      </c>
      <c r="L12">
        <v>0.08</v>
      </c>
      <c r="M12">
        <v>3880</v>
      </c>
      <c r="N12">
        <v>2693.72</v>
      </c>
      <c r="O12">
        <v>1186.2800000000002</v>
      </c>
      <c r="P12" s="19">
        <f>Tabuľka4[[#This Row],[Zisk]]/Tabuľka4[[#This Row],[Trzba]]</f>
        <v>0.30574226804123716</v>
      </c>
      <c r="Q12">
        <v>2025</v>
      </c>
      <c r="R12" t="str">
        <f>TEXT(Tabuľka4[[#This Row],[Datum]],"MMMM")</f>
        <v>jún</v>
      </c>
    </row>
    <row r="13" spans="1:18" x14ac:dyDescent="0.3">
      <c r="A13" s="2">
        <v>45879</v>
      </c>
      <c r="B13" t="s">
        <v>47</v>
      </c>
      <c r="C13" t="s">
        <v>48</v>
      </c>
      <c r="D13" t="s">
        <v>49</v>
      </c>
      <c r="E13" t="s">
        <v>50</v>
      </c>
      <c r="F13" t="s">
        <v>22</v>
      </c>
      <c r="G13" t="s">
        <v>23</v>
      </c>
      <c r="H13" t="s">
        <v>24</v>
      </c>
      <c r="I13" t="s">
        <v>51</v>
      </c>
      <c r="J13">
        <v>6</v>
      </c>
      <c r="K13">
        <v>3521</v>
      </c>
      <c r="L13">
        <v>0.05</v>
      </c>
      <c r="M13">
        <v>21126</v>
      </c>
      <c r="N13">
        <v>15852.54</v>
      </c>
      <c r="O13">
        <v>5273.4599999999991</v>
      </c>
      <c r="P13" s="19">
        <f>Tabuľka4[[#This Row],[Zisk]]/Tabuľka4[[#This Row],[Trzba]]</f>
        <v>0.24961942629934675</v>
      </c>
      <c r="Q13">
        <v>2025</v>
      </c>
      <c r="R13" t="str">
        <f>TEXT(Tabuľka4[[#This Row],[Datum]],"MMMM")</f>
        <v>august</v>
      </c>
    </row>
    <row r="14" spans="1:18" x14ac:dyDescent="0.3">
      <c r="A14" s="2">
        <v>45903</v>
      </c>
      <c r="B14" t="s">
        <v>52</v>
      </c>
      <c r="C14" t="s">
        <v>53</v>
      </c>
      <c r="D14" t="s">
        <v>20</v>
      </c>
      <c r="E14" t="s">
        <v>0</v>
      </c>
      <c r="F14" t="s">
        <v>22</v>
      </c>
      <c r="G14" t="s">
        <v>23</v>
      </c>
      <c r="H14" t="s">
        <v>24</v>
      </c>
      <c r="I14" t="s">
        <v>33</v>
      </c>
      <c r="J14">
        <v>3</v>
      </c>
      <c r="K14">
        <v>5049</v>
      </c>
      <c r="L14">
        <v>0.06</v>
      </c>
      <c r="M14">
        <v>15147</v>
      </c>
      <c r="N14">
        <v>10508.66</v>
      </c>
      <c r="O14">
        <v>4638.34</v>
      </c>
      <c r="P14" s="19">
        <f>Tabuľka4[[#This Row],[Zisk]]/Tabuľka4[[#This Row],[Trzba]]</f>
        <v>0.30622169406483135</v>
      </c>
      <c r="Q14">
        <v>2025</v>
      </c>
      <c r="R14" t="str">
        <f>TEXT(Tabuľka4[[#This Row],[Datum]],"MMMM")</f>
        <v>september</v>
      </c>
    </row>
    <row r="15" spans="1:18" x14ac:dyDescent="0.3">
      <c r="A15" s="2">
        <v>45940</v>
      </c>
      <c r="B15" t="s">
        <v>54</v>
      </c>
      <c r="C15" t="s">
        <v>55</v>
      </c>
      <c r="D15" t="s">
        <v>20</v>
      </c>
      <c r="E15" t="s">
        <v>0</v>
      </c>
      <c r="F15" t="s">
        <v>22</v>
      </c>
      <c r="G15" t="s">
        <v>23</v>
      </c>
      <c r="H15" t="s">
        <v>24</v>
      </c>
      <c r="I15" t="s">
        <v>30</v>
      </c>
      <c r="J15">
        <v>2</v>
      </c>
      <c r="K15">
        <v>6116</v>
      </c>
      <c r="L15">
        <v>0.06</v>
      </c>
      <c r="M15">
        <v>12232</v>
      </c>
      <c r="N15">
        <v>9106.94</v>
      </c>
      <c r="O15">
        <v>3125.0599999999995</v>
      </c>
      <c r="P15" s="19">
        <f>Tabuľka4[[#This Row],[Zisk]]/Tabuľka4[[#This Row],[Trzba]]</f>
        <v>0.25548234139960757</v>
      </c>
      <c r="Q15">
        <v>2025</v>
      </c>
      <c r="R15" t="str">
        <f>TEXT(Tabuľka4[[#This Row],[Datum]],"MMMM")</f>
        <v>október</v>
      </c>
    </row>
    <row r="16" spans="1:18" x14ac:dyDescent="0.3">
      <c r="A16" s="2">
        <v>45963</v>
      </c>
      <c r="B16" t="s">
        <v>56</v>
      </c>
      <c r="C16" t="s">
        <v>57</v>
      </c>
      <c r="D16" t="s">
        <v>49</v>
      </c>
      <c r="E16" t="s">
        <v>0</v>
      </c>
      <c r="F16" t="s">
        <v>58</v>
      </c>
      <c r="G16" t="s">
        <v>23</v>
      </c>
      <c r="H16" t="s">
        <v>24</v>
      </c>
      <c r="I16" t="s">
        <v>33</v>
      </c>
      <c r="J16">
        <v>10</v>
      </c>
      <c r="K16">
        <v>4766</v>
      </c>
      <c r="L16">
        <v>0.2</v>
      </c>
      <c r="M16">
        <v>47660</v>
      </c>
      <c r="N16">
        <v>31529.97</v>
      </c>
      <c r="O16">
        <v>16130.029999999999</v>
      </c>
      <c r="P16" s="19">
        <f>Tabuľka4[[#This Row],[Zisk]]/Tabuľka4[[#This Row],[Trzba]]</f>
        <v>0.33843957196810742</v>
      </c>
      <c r="Q16">
        <v>2025</v>
      </c>
      <c r="R16" t="str">
        <f>TEXT(Tabuľka4[[#This Row],[Datum]],"MMMM")</f>
        <v>november</v>
      </c>
    </row>
    <row r="17" spans="1:18" x14ac:dyDescent="0.3">
      <c r="A17" s="2">
        <v>46097</v>
      </c>
      <c r="B17" t="s">
        <v>59</v>
      </c>
      <c r="C17" t="s">
        <v>60</v>
      </c>
      <c r="D17" t="s">
        <v>20</v>
      </c>
      <c r="E17" t="s">
        <v>50</v>
      </c>
      <c r="F17" t="s">
        <v>43</v>
      </c>
      <c r="G17" t="s">
        <v>23</v>
      </c>
      <c r="H17" t="s">
        <v>24</v>
      </c>
      <c r="I17" t="s">
        <v>25</v>
      </c>
      <c r="J17">
        <v>4</v>
      </c>
      <c r="K17">
        <v>3945</v>
      </c>
      <c r="L17">
        <v>0.08</v>
      </c>
      <c r="M17">
        <v>15780</v>
      </c>
      <c r="N17">
        <v>11306.24</v>
      </c>
      <c r="O17">
        <v>4473.76</v>
      </c>
      <c r="P17" s="19">
        <f>Tabuľka4[[#This Row],[Zisk]]/Tabuľka4[[#This Row],[Trzba]]</f>
        <v>0.28350823827629912</v>
      </c>
      <c r="Q17">
        <v>2026</v>
      </c>
      <c r="R17" t="str">
        <f>TEXT(Tabuľka4[[#This Row],[Datum]],"MMMM")</f>
        <v>marec</v>
      </c>
    </row>
    <row r="18" spans="1:18" x14ac:dyDescent="0.3">
      <c r="A18" s="2">
        <v>46104</v>
      </c>
      <c r="B18" t="s">
        <v>61</v>
      </c>
      <c r="C18" t="s">
        <v>62</v>
      </c>
      <c r="D18" t="s">
        <v>20</v>
      </c>
      <c r="E18" t="s">
        <v>0</v>
      </c>
      <c r="F18" t="s">
        <v>58</v>
      </c>
      <c r="G18" t="s">
        <v>23</v>
      </c>
      <c r="H18" t="s">
        <v>24</v>
      </c>
      <c r="I18" t="s">
        <v>63</v>
      </c>
      <c r="J18">
        <v>2</v>
      </c>
      <c r="K18">
        <v>4638</v>
      </c>
      <c r="L18">
        <v>0.11</v>
      </c>
      <c r="M18">
        <v>9276</v>
      </c>
      <c r="N18">
        <v>5595.88</v>
      </c>
      <c r="O18">
        <v>3680.12</v>
      </c>
      <c r="P18" s="19">
        <f>Tabuľka4[[#This Row],[Zisk]]/Tabuľka4[[#This Row],[Trzba]]</f>
        <v>0.39673566192324278</v>
      </c>
      <c r="Q18">
        <v>2026</v>
      </c>
      <c r="R18" t="str">
        <f>TEXT(Tabuľka4[[#This Row],[Datum]],"MMMM")</f>
        <v>marec</v>
      </c>
    </row>
    <row r="19" spans="1:18" x14ac:dyDescent="0.3">
      <c r="A19" s="2">
        <v>46108</v>
      </c>
      <c r="B19" t="s">
        <v>64</v>
      </c>
      <c r="C19" t="s">
        <v>65</v>
      </c>
      <c r="D19" t="s">
        <v>20</v>
      </c>
      <c r="E19" t="s">
        <v>50</v>
      </c>
      <c r="F19" t="s">
        <v>22</v>
      </c>
      <c r="G19" t="s">
        <v>23</v>
      </c>
      <c r="H19" t="s">
        <v>24</v>
      </c>
      <c r="I19" t="s">
        <v>63</v>
      </c>
      <c r="J19">
        <v>2</v>
      </c>
      <c r="K19">
        <v>3961</v>
      </c>
      <c r="L19">
        <v>0.03</v>
      </c>
      <c r="M19">
        <v>7922</v>
      </c>
      <c r="N19">
        <v>5304.03</v>
      </c>
      <c r="O19">
        <v>2617.9700000000003</v>
      </c>
      <c r="P19" s="19">
        <f>Tabuľka4[[#This Row],[Zisk]]/Tabuľka4[[#This Row],[Trzba]]</f>
        <v>0.33046831608179755</v>
      </c>
      <c r="Q19">
        <v>2026</v>
      </c>
      <c r="R19" t="str">
        <f>TEXT(Tabuľka4[[#This Row],[Datum]],"MMMM")</f>
        <v>marec</v>
      </c>
    </row>
    <row r="20" spans="1:18" x14ac:dyDescent="0.3">
      <c r="A20" s="2">
        <v>46135</v>
      </c>
      <c r="B20" t="s">
        <v>66</v>
      </c>
      <c r="C20" t="s">
        <v>67</v>
      </c>
      <c r="D20" t="s">
        <v>20</v>
      </c>
      <c r="E20" t="s">
        <v>68</v>
      </c>
      <c r="F20" t="s">
        <v>43</v>
      </c>
      <c r="G20" t="s">
        <v>23</v>
      </c>
      <c r="H20" t="s">
        <v>24</v>
      </c>
      <c r="I20" t="s">
        <v>38</v>
      </c>
      <c r="J20">
        <v>1</v>
      </c>
      <c r="K20">
        <v>3763</v>
      </c>
      <c r="L20">
        <v>0.05</v>
      </c>
      <c r="M20">
        <v>3763</v>
      </c>
      <c r="N20">
        <v>2438.7199999999998</v>
      </c>
      <c r="O20">
        <v>1324.2800000000002</v>
      </c>
      <c r="P20" s="19">
        <f>Tabuľka4[[#This Row],[Zisk]]/Tabuľka4[[#This Row],[Trzba]]</f>
        <v>0.35192133935689612</v>
      </c>
      <c r="Q20">
        <v>2026</v>
      </c>
      <c r="R20" t="str">
        <f>TEXT(Tabuľka4[[#This Row],[Datum]],"MMMM")</f>
        <v>apríl</v>
      </c>
    </row>
    <row r="21" spans="1:18" x14ac:dyDescent="0.3">
      <c r="A21" s="2">
        <v>45397</v>
      </c>
      <c r="B21" t="s">
        <v>69</v>
      </c>
      <c r="C21" t="s">
        <v>70</v>
      </c>
      <c r="D21" t="s">
        <v>20</v>
      </c>
      <c r="E21" t="s">
        <v>68</v>
      </c>
      <c r="F21" t="s">
        <v>22</v>
      </c>
      <c r="G21" t="s">
        <v>71</v>
      </c>
      <c r="H21" t="s">
        <v>72</v>
      </c>
      <c r="I21" t="s">
        <v>38</v>
      </c>
      <c r="J21">
        <v>1</v>
      </c>
      <c r="K21">
        <v>1518</v>
      </c>
      <c r="L21">
        <v>0.14000000000000001</v>
      </c>
      <c r="M21">
        <v>1518</v>
      </c>
      <c r="N21">
        <v>1118.53</v>
      </c>
      <c r="O21">
        <v>399.47</v>
      </c>
      <c r="P21" s="19">
        <f>Tabuľka4[[#This Row],[Zisk]]/Tabuľka4[[#This Row],[Trzba]]</f>
        <v>0.26315546772068515</v>
      </c>
      <c r="Q21">
        <v>2024</v>
      </c>
      <c r="R21" t="str">
        <f>TEXT(Tabuľka4[[#This Row],[Datum]],"MMMM")</f>
        <v>apríl</v>
      </c>
    </row>
    <row r="22" spans="1:18" x14ac:dyDescent="0.3">
      <c r="A22" s="2">
        <v>45632</v>
      </c>
      <c r="B22" t="s">
        <v>73</v>
      </c>
      <c r="C22" t="s">
        <v>74</v>
      </c>
      <c r="D22" t="s">
        <v>49</v>
      </c>
      <c r="E22" t="s">
        <v>68</v>
      </c>
      <c r="F22" t="s">
        <v>58</v>
      </c>
      <c r="G22" t="s">
        <v>71</v>
      </c>
      <c r="H22" t="s">
        <v>72</v>
      </c>
      <c r="I22" t="s">
        <v>63</v>
      </c>
      <c r="J22">
        <v>9</v>
      </c>
      <c r="K22">
        <v>1643</v>
      </c>
      <c r="L22">
        <v>0.14000000000000001</v>
      </c>
      <c r="M22">
        <v>14787</v>
      </c>
      <c r="N22">
        <v>9885.9500000000007</v>
      </c>
      <c r="O22">
        <v>4901.0499999999993</v>
      </c>
      <c r="P22" s="19">
        <f>Tabuľka4[[#This Row],[Zisk]]/Tabuľka4[[#This Row],[Trzba]]</f>
        <v>0.3314431595320213</v>
      </c>
      <c r="Q22">
        <v>2024</v>
      </c>
      <c r="R22" t="str">
        <f>TEXT(Tabuľka4[[#This Row],[Datum]],"MMMM")</f>
        <v>december</v>
      </c>
    </row>
    <row r="23" spans="1:18" x14ac:dyDescent="0.3">
      <c r="A23" s="2">
        <v>45645</v>
      </c>
      <c r="B23" t="s">
        <v>75</v>
      </c>
      <c r="C23" t="s">
        <v>76</v>
      </c>
      <c r="D23" t="s">
        <v>20</v>
      </c>
      <c r="E23" t="s">
        <v>21</v>
      </c>
      <c r="F23" t="s">
        <v>43</v>
      </c>
      <c r="G23" t="s">
        <v>71</v>
      </c>
      <c r="H23" t="s">
        <v>72</v>
      </c>
      <c r="I23" t="s">
        <v>63</v>
      </c>
      <c r="J23">
        <v>4</v>
      </c>
      <c r="K23">
        <v>716</v>
      </c>
      <c r="L23">
        <v>0.22</v>
      </c>
      <c r="M23">
        <v>2864</v>
      </c>
      <c r="N23">
        <v>1915.35</v>
      </c>
      <c r="O23">
        <v>948.65000000000009</v>
      </c>
      <c r="P23" s="19">
        <f>Tabuľka4[[#This Row],[Zisk]]/Tabuľka4[[#This Row],[Trzba]]</f>
        <v>0.33123254189944135</v>
      </c>
      <c r="Q23">
        <v>2024</v>
      </c>
      <c r="R23" t="str">
        <f>TEXT(Tabuľka4[[#This Row],[Datum]],"MMMM")</f>
        <v>december</v>
      </c>
    </row>
    <row r="24" spans="1:18" x14ac:dyDescent="0.3">
      <c r="A24" s="2">
        <v>45706</v>
      </c>
      <c r="B24" t="s">
        <v>77</v>
      </c>
      <c r="C24" t="s">
        <v>78</v>
      </c>
      <c r="D24" t="s">
        <v>20</v>
      </c>
      <c r="E24" t="s">
        <v>21</v>
      </c>
      <c r="F24" t="s">
        <v>22</v>
      </c>
      <c r="G24" t="s">
        <v>71</v>
      </c>
      <c r="H24" t="s">
        <v>72</v>
      </c>
      <c r="I24" t="s">
        <v>51</v>
      </c>
      <c r="J24">
        <v>2</v>
      </c>
      <c r="K24">
        <v>1744</v>
      </c>
      <c r="L24">
        <v>0.01</v>
      </c>
      <c r="M24">
        <v>3488</v>
      </c>
      <c r="N24">
        <v>2805.15</v>
      </c>
      <c r="O24">
        <v>682.84999999999991</v>
      </c>
      <c r="P24" s="19">
        <f>Tabuľka4[[#This Row],[Zisk]]/Tabuľka4[[#This Row],[Trzba]]</f>
        <v>0.19577121559633026</v>
      </c>
      <c r="Q24">
        <v>2025</v>
      </c>
      <c r="R24" t="str">
        <f>TEXT(Tabuľka4[[#This Row],[Datum]],"MMMM")</f>
        <v>február</v>
      </c>
    </row>
    <row r="25" spans="1:18" x14ac:dyDescent="0.3">
      <c r="A25" s="2">
        <v>45945</v>
      </c>
      <c r="B25" t="s">
        <v>79</v>
      </c>
      <c r="C25" t="s">
        <v>80</v>
      </c>
      <c r="D25" t="s">
        <v>20</v>
      </c>
      <c r="E25" t="s">
        <v>0</v>
      </c>
      <c r="F25" t="s">
        <v>22</v>
      </c>
      <c r="G25" t="s">
        <v>71</v>
      </c>
      <c r="H25" t="s">
        <v>72</v>
      </c>
      <c r="I25" t="s">
        <v>46</v>
      </c>
      <c r="J25">
        <v>1</v>
      </c>
      <c r="K25">
        <v>1547</v>
      </c>
      <c r="L25">
        <v>7.0000000000000007E-2</v>
      </c>
      <c r="M25">
        <v>1547</v>
      </c>
      <c r="N25">
        <v>1248.0999999999999</v>
      </c>
      <c r="O25">
        <v>298.90000000000009</v>
      </c>
      <c r="P25" s="19">
        <f>Tabuľka4[[#This Row],[Zisk]]/Tabuľka4[[#This Row],[Trzba]]</f>
        <v>0.19321266968325798</v>
      </c>
      <c r="Q25">
        <v>2025</v>
      </c>
      <c r="R25" t="str">
        <f>TEXT(Tabuľka4[[#This Row],[Datum]],"MMMM")</f>
        <v>október</v>
      </c>
    </row>
    <row r="26" spans="1:18" x14ac:dyDescent="0.3">
      <c r="A26" s="2">
        <v>45949</v>
      </c>
      <c r="B26" t="s">
        <v>81</v>
      </c>
      <c r="C26" t="s">
        <v>82</v>
      </c>
      <c r="D26" t="s">
        <v>20</v>
      </c>
      <c r="E26" t="s">
        <v>0</v>
      </c>
      <c r="F26" t="s">
        <v>22</v>
      </c>
      <c r="G26" t="s">
        <v>71</v>
      </c>
      <c r="H26" t="s">
        <v>72</v>
      </c>
      <c r="I26" t="s">
        <v>30</v>
      </c>
      <c r="J26">
        <v>4</v>
      </c>
      <c r="K26">
        <v>789</v>
      </c>
      <c r="L26">
        <v>0.02</v>
      </c>
      <c r="M26">
        <v>3156</v>
      </c>
      <c r="N26">
        <v>2678.77</v>
      </c>
      <c r="O26">
        <v>477.23</v>
      </c>
      <c r="P26" s="19">
        <f>Tabuľka4[[#This Row],[Zisk]]/Tabuľka4[[#This Row],[Trzba]]</f>
        <v>0.15121356147021547</v>
      </c>
      <c r="Q26">
        <v>2025</v>
      </c>
      <c r="R26" t="str">
        <f>TEXT(Tabuľka4[[#This Row],[Datum]],"MMMM")</f>
        <v>október</v>
      </c>
    </row>
    <row r="27" spans="1:18" x14ac:dyDescent="0.3">
      <c r="A27" s="2">
        <v>45976</v>
      </c>
      <c r="B27" t="s">
        <v>83</v>
      </c>
      <c r="C27" t="s">
        <v>84</v>
      </c>
      <c r="D27" t="s">
        <v>20</v>
      </c>
      <c r="E27" t="s">
        <v>68</v>
      </c>
      <c r="F27" t="s">
        <v>22</v>
      </c>
      <c r="G27" t="s">
        <v>71</v>
      </c>
      <c r="H27" t="s">
        <v>72</v>
      </c>
      <c r="I27" t="s">
        <v>30</v>
      </c>
      <c r="J27">
        <v>4</v>
      </c>
      <c r="K27">
        <v>728</v>
      </c>
      <c r="L27">
        <v>7.0000000000000007E-2</v>
      </c>
      <c r="M27">
        <v>2912</v>
      </c>
      <c r="N27">
        <v>2206.91</v>
      </c>
      <c r="O27">
        <v>705.09000000000015</v>
      </c>
      <c r="P27" s="19">
        <f>Tabuľka4[[#This Row],[Zisk]]/Tabuľka4[[#This Row],[Trzba]]</f>
        <v>0.24213255494505501</v>
      </c>
      <c r="Q27">
        <v>2025</v>
      </c>
      <c r="R27" t="str">
        <f>TEXT(Tabuľka4[[#This Row],[Datum]],"MMMM")</f>
        <v>november</v>
      </c>
    </row>
    <row r="28" spans="1:18" x14ac:dyDescent="0.3">
      <c r="A28" s="2">
        <v>45328</v>
      </c>
      <c r="B28" t="s">
        <v>85</v>
      </c>
      <c r="C28" t="s">
        <v>48</v>
      </c>
      <c r="D28" t="s">
        <v>49</v>
      </c>
      <c r="E28" t="s">
        <v>21</v>
      </c>
      <c r="F28" t="s">
        <v>43</v>
      </c>
      <c r="G28" t="s">
        <v>86</v>
      </c>
      <c r="H28" t="s">
        <v>87</v>
      </c>
      <c r="I28" t="s">
        <v>88</v>
      </c>
      <c r="J28">
        <v>10</v>
      </c>
      <c r="K28">
        <v>3354</v>
      </c>
      <c r="L28">
        <v>0</v>
      </c>
      <c r="M28">
        <v>33540</v>
      </c>
      <c r="N28">
        <v>25346.61</v>
      </c>
      <c r="O28">
        <v>8193.39</v>
      </c>
      <c r="P28" s="19">
        <f>Tabuľka4[[#This Row],[Zisk]]/Tabuľka4[[#This Row],[Trzba]]</f>
        <v>0.24428711985688728</v>
      </c>
      <c r="Q28">
        <v>2024</v>
      </c>
      <c r="R28" t="str">
        <f>TEXT(Tabuľka4[[#This Row],[Datum]],"MMMM")</f>
        <v>február</v>
      </c>
    </row>
    <row r="29" spans="1:18" x14ac:dyDescent="0.3">
      <c r="A29" s="2">
        <v>45412</v>
      </c>
      <c r="B29" t="s">
        <v>89</v>
      </c>
      <c r="C29" t="s">
        <v>90</v>
      </c>
      <c r="D29" t="s">
        <v>20</v>
      </c>
      <c r="E29" t="s">
        <v>0</v>
      </c>
      <c r="F29" t="s">
        <v>22</v>
      </c>
      <c r="G29" t="s">
        <v>86</v>
      </c>
      <c r="H29" t="s">
        <v>87</v>
      </c>
      <c r="I29" t="s">
        <v>25</v>
      </c>
      <c r="J29">
        <v>1</v>
      </c>
      <c r="K29">
        <v>6684</v>
      </c>
      <c r="L29">
        <v>0.09</v>
      </c>
      <c r="M29">
        <v>6684</v>
      </c>
      <c r="N29">
        <v>4242.88</v>
      </c>
      <c r="O29">
        <v>2441.12</v>
      </c>
      <c r="P29" s="19">
        <f>Tabuľka4[[#This Row],[Zisk]]/Tabuľka4[[#This Row],[Trzba]]</f>
        <v>0.36521843207660082</v>
      </c>
      <c r="Q29">
        <v>2024</v>
      </c>
      <c r="R29" t="str">
        <f>TEXT(Tabuľka4[[#This Row],[Datum]],"MMMM")</f>
        <v>apríl</v>
      </c>
    </row>
    <row r="30" spans="1:18" x14ac:dyDescent="0.3">
      <c r="A30" s="2">
        <v>45623</v>
      </c>
      <c r="B30" t="s">
        <v>91</v>
      </c>
      <c r="C30" t="s">
        <v>92</v>
      </c>
      <c r="D30" t="s">
        <v>20</v>
      </c>
      <c r="E30" t="s">
        <v>50</v>
      </c>
      <c r="F30" t="s">
        <v>43</v>
      </c>
      <c r="G30" t="s">
        <v>86</v>
      </c>
      <c r="H30" t="s">
        <v>87</v>
      </c>
      <c r="I30" t="s">
        <v>30</v>
      </c>
      <c r="J30">
        <v>1</v>
      </c>
      <c r="K30">
        <v>4540</v>
      </c>
      <c r="L30">
        <v>0.04</v>
      </c>
      <c r="M30">
        <v>4540</v>
      </c>
      <c r="N30">
        <v>3213.24</v>
      </c>
      <c r="O30">
        <v>1326.7600000000002</v>
      </c>
      <c r="P30" s="19">
        <f>Tabuľka4[[#This Row],[Zisk]]/Tabuľka4[[#This Row],[Trzba]]</f>
        <v>0.29223788546255514</v>
      </c>
      <c r="Q30">
        <v>2024</v>
      </c>
      <c r="R30" t="str">
        <f>TEXT(Tabuľka4[[#This Row],[Datum]],"MMMM")</f>
        <v>november</v>
      </c>
    </row>
    <row r="31" spans="1:18" x14ac:dyDescent="0.3">
      <c r="A31" s="2">
        <v>45632</v>
      </c>
      <c r="B31" t="s">
        <v>93</v>
      </c>
      <c r="C31" t="s">
        <v>94</v>
      </c>
      <c r="D31" t="s">
        <v>20</v>
      </c>
      <c r="E31" t="s">
        <v>0</v>
      </c>
      <c r="F31" t="s">
        <v>22</v>
      </c>
      <c r="G31" t="s">
        <v>86</v>
      </c>
      <c r="H31" t="s">
        <v>87</v>
      </c>
      <c r="I31" t="s">
        <v>51</v>
      </c>
      <c r="J31">
        <v>2</v>
      </c>
      <c r="K31">
        <v>5312</v>
      </c>
      <c r="L31">
        <v>0.13</v>
      </c>
      <c r="M31">
        <v>10624</v>
      </c>
      <c r="N31">
        <v>5479.64</v>
      </c>
      <c r="O31">
        <v>5144.3599999999997</v>
      </c>
      <c r="P31" s="19">
        <f>Tabuľka4[[#This Row],[Zisk]]/Tabuľka4[[#This Row],[Trzba]]</f>
        <v>0.48422063253012043</v>
      </c>
      <c r="Q31">
        <v>2024</v>
      </c>
      <c r="R31" t="str">
        <f>TEXT(Tabuľka4[[#This Row],[Datum]],"MMMM")</f>
        <v>december</v>
      </c>
    </row>
    <row r="32" spans="1:18" x14ac:dyDescent="0.3">
      <c r="A32" s="2">
        <v>45657</v>
      </c>
      <c r="B32" t="s">
        <v>95</v>
      </c>
      <c r="C32" t="s">
        <v>96</v>
      </c>
      <c r="D32" t="s">
        <v>49</v>
      </c>
      <c r="E32" t="s">
        <v>0</v>
      </c>
      <c r="F32" t="s">
        <v>43</v>
      </c>
      <c r="G32" t="s">
        <v>86</v>
      </c>
      <c r="H32" t="s">
        <v>87</v>
      </c>
      <c r="I32" t="s">
        <v>30</v>
      </c>
      <c r="J32">
        <v>7</v>
      </c>
      <c r="K32">
        <v>6783</v>
      </c>
      <c r="L32">
        <v>0.11</v>
      </c>
      <c r="M32">
        <v>47481</v>
      </c>
      <c r="N32">
        <v>30036.36</v>
      </c>
      <c r="O32">
        <v>17444.64</v>
      </c>
      <c r="P32" s="19">
        <f>Tabuľka4[[#This Row],[Zisk]]/Tabuľka4[[#This Row],[Trzba]]</f>
        <v>0.36740253996335376</v>
      </c>
      <c r="Q32">
        <v>2024</v>
      </c>
      <c r="R32" t="str">
        <f>TEXT(Tabuľka4[[#This Row],[Datum]],"MMMM")</f>
        <v>december</v>
      </c>
    </row>
    <row r="33" spans="1:18" x14ac:dyDescent="0.3">
      <c r="A33" s="2">
        <v>45679</v>
      </c>
      <c r="B33" t="s">
        <v>97</v>
      </c>
      <c r="C33" t="s">
        <v>98</v>
      </c>
      <c r="D33" t="s">
        <v>20</v>
      </c>
      <c r="E33" t="s">
        <v>68</v>
      </c>
      <c r="F33" t="s">
        <v>22</v>
      </c>
      <c r="G33" t="s">
        <v>86</v>
      </c>
      <c r="H33" t="s">
        <v>87</v>
      </c>
      <c r="I33" t="s">
        <v>33</v>
      </c>
      <c r="J33">
        <v>2</v>
      </c>
      <c r="K33">
        <v>4493</v>
      </c>
      <c r="L33">
        <v>0.04</v>
      </c>
      <c r="M33">
        <v>8986</v>
      </c>
      <c r="N33">
        <v>6906.02</v>
      </c>
      <c r="O33">
        <v>2079.9799999999996</v>
      </c>
      <c r="P33" s="19">
        <f>Tabuľka4[[#This Row],[Zisk]]/Tabuľka4[[#This Row],[Trzba]]</f>
        <v>0.23146895170264853</v>
      </c>
      <c r="Q33">
        <v>2025</v>
      </c>
      <c r="R33" t="str">
        <f>TEXT(Tabuľka4[[#This Row],[Datum]],"MMMM")</f>
        <v>január</v>
      </c>
    </row>
    <row r="34" spans="1:18" x14ac:dyDescent="0.3">
      <c r="A34" s="2">
        <v>45710</v>
      </c>
      <c r="B34" t="s">
        <v>99</v>
      </c>
      <c r="C34" t="s">
        <v>100</v>
      </c>
      <c r="D34" t="s">
        <v>20</v>
      </c>
      <c r="E34" t="s">
        <v>0</v>
      </c>
      <c r="F34" t="s">
        <v>43</v>
      </c>
      <c r="G34" t="s">
        <v>86</v>
      </c>
      <c r="H34" t="s">
        <v>87</v>
      </c>
      <c r="I34" t="s">
        <v>88</v>
      </c>
      <c r="J34">
        <v>3</v>
      </c>
      <c r="K34">
        <v>5434</v>
      </c>
      <c r="L34">
        <v>0.15</v>
      </c>
      <c r="M34">
        <v>16302</v>
      </c>
      <c r="N34">
        <v>10198.92</v>
      </c>
      <c r="O34">
        <v>6103.08</v>
      </c>
      <c r="P34" s="19">
        <f>Tabuľka4[[#This Row],[Zisk]]/Tabuľka4[[#This Row],[Trzba]]</f>
        <v>0.37437615016562387</v>
      </c>
      <c r="Q34">
        <v>2025</v>
      </c>
      <c r="R34" t="str">
        <f>TEXT(Tabuľka4[[#This Row],[Datum]],"MMMM")</f>
        <v>február</v>
      </c>
    </row>
    <row r="35" spans="1:18" x14ac:dyDescent="0.3">
      <c r="A35" s="2">
        <v>45833</v>
      </c>
      <c r="B35" t="s">
        <v>101</v>
      </c>
      <c r="C35" t="s">
        <v>102</v>
      </c>
      <c r="D35" t="s">
        <v>20</v>
      </c>
      <c r="E35" t="s">
        <v>68</v>
      </c>
      <c r="F35" t="s">
        <v>43</v>
      </c>
      <c r="G35" t="s">
        <v>86</v>
      </c>
      <c r="H35" t="s">
        <v>87</v>
      </c>
      <c r="I35" t="s">
        <v>30</v>
      </c>
      <c r="J35">
        <v>5</v>
      </c>
      <c r="K35">
        <v>7587</v>
      </c>
      <c r="L35">
        <v>0.08</v>
      </c>
      <c r="M35">
        <v>37935</v>
      </c>
      <c r="N35">
        <v>25000.61</v>
      </c>
      <c r="O35">
        <v>12934.39</v>
      </c>
      <c r="P35" s="19">
        <f>Tabuľka4[[#This Row],[Zisk]]/Tabuľka4[[#This Row],[Trzba]]</f>
        <v>0.34096190852774483</v>
      </c>
      <c r="Q35">
        <v>2025</v>
      </c>
      <c r="R35" t="str">
        <f>TEXT(Tabuľka4[[#This Row],[Datum]],"MMMM")</f>
        <v>jún</v>
      </c>
    </row>
    <row r="36" spans="1:18" x14ac:dyDescent="0.3">
      <c r="A36" s="2">
        <v>45951</v>
      </c>
      <c r="B36" t="s">
        <v>103</v>
      </c>
      <c r="C36" t="s">
        <v>104</v>
      </c>
      <c r="D36" t="s">
        <v>20</v>
      </c>
      <c r="E36" t="s">
        <v>0</v>
      </c>
      <c r="F36" t="s">
        <v>43</v>
      </c>
      <c r="G36" t="s">
        <v>86</v>
      </c>
      <c r="H36" t="s">
        <v>87</v>
      </c>
      <c r="I36" t="s">
        <v>25</v>
      </c>
      <c r="J36">
        <v>3</v>
      </c>
      <c r="K36">
        <v>6120</v>
      </c>
      <c r="L36">
        <v>0.06</v>
      </c>
      <c r="M36">
        <v>18360</v>
      </c>
      <c r="N36">
        <v>13329.51</v>
      </c>
      <c r="O36">
        <v>5030.49</v>
      </c>
      <c r="P36" s="19">
        <f>Tabuľka4[[#This Row],[Zisk]]/Tabuľka4[[#This Row],[Trzba]]</f>
        <v>0.27399183006535949</v>
      </c>
      <c r="Q36">
        <v>2025</v>
      </c>
      <c r="R36" t="str">
        <f>TEXT(Tabuľka4[[#This Row],[Datum]],"MMMM")</f>
        <v>október</v>
      </c>
    </row>
    <row r="37" spans="1:18" x14ac:dyDescent="0.3">
      <c r="A37" s="2">
        <v>45990</v>
      </c>
      <c r="B37" t="s">
        <v>105</v>
      </c>
      <c r="C37" t="s">
        <v>106</v>
      </c>
      <c r="D37" t="s">
        <v>20</v>
      </c>
      <c r="E37" t="s">
        <v>0</v>
      </c>
      <c r="F37" t="s">
        <v>43</v>
      </c>
      <c r="G37" t="s">
        <v>86</v>
      </c>
      <c r="H37" t="s">
        <v>87</v>
      </c>
      <c r="I37" t="s">
        <v>46</v>
      </c>
      <c r="J37">
        <v>4</v>
      </c>
      <c r="K37">
        <v>4125</v>
      </c>
      <c r="L37">
        <v>0</v>
      </c>
      <c r="M37">
        <v>16500</v>
      </c>
      <c r="N37">
        <v>12922.5</v>
      </c>
      <c r="O37">
        <v>3577.5</v>
      </c>
      <c r="P37" s="19">
        <f>Tabuľka4[[#This Row],[Zisk]]/Tabuľka4[[#This Row],[Trzba]]</f>
        <v>0.21681818181818183</v>
      </c>
      <c r="Q37">
        <v>2025</v>
      </c>
      <c r="R37" t="str">
        <f>TEXT(Tabuľka4[[#This Row],[Datum]],"MMMM")</f>
        <v>november</v>
      </c>
    </row>
    <row r="38" spans="1:18" x14ac:dyDescent="0.3">
      <c r="A38" s="2">
        <v>46005</v>
      </c>
      <c r="B38" t="s">
        <v>107</v>
      </c>
      <c r="C38" t="s">
        <v>108</v>
      </c>
      <c r="D38" t="s">
        <v>20</v>
      </c>
      <c r="E38" t="s">
        <v>0</v>
      </c>
      <c r="F38" t="s">
        <v>22</v>
      </c>
      <c r="G38" t="s">
        <v>86</v>
      </c>
      <c r="H38" t="s">
        <v>87</v>
      </c>
      <c r="I38" t="s">
        <v>63</v>
      </c>
      <c r="J38">
        <v>2</v>
      </c>
      <c r="K38">
        <v>3997</v>
      </c>
      <c r="L38">
        <v>0.14000000000000001</v>
      </c>
      <c r="M38">
        <v>7994</v>
      </c>
      <c r="N38">
        <v>5146.74</v>
      </c>
      <c r="O38">
        <v>2847.26</v>
      </c>
      <c r="P38" s="19">
        <f>Tabuľka4[[#This Row],[Zisk]]/Tabuľka4[[#This Row],[Trzba]]</f>
        <v>0.35617463097322993</v>
      </c>
      <c r="Q38">
        <v>2025</v>
      </c>
      <c r="R38" t="str">
        <f>TEXT(Tabuľka4[[#This Row],[Datum]],"MMMM")</f>
        <v>december</v>
      </c>
    </row>
    <row r="39" spans="1:18" x14ac:dyDescent="0.3">
      <c r="A39" s="2">
        <v>46051</v>
      </c>
      <c r="B39" t="s">
        <v>109</v>
      </c>
      <c r="C39" t="s">
        <v>74</v>
      </c>
      <c r="D39" t="s">
        <v>49</v>
      </c>
      <c r="E39" t="s">
        <v>0</v>
      </c>
      <c r="F39" t="s">
        <v>58</v>
      </c>
      <c r="G39" t="s">
        <v>86</v>
      </c>
      <c r="H39" t="s">
        <v>87</v>
      </c>
      <c r="I39" t="s">
        <v>38</v>
      </c>
      <c r="J39">
        <v>9</v>
      </c>
      <c r="K39">
        <v>5388</v>
      </c>
      <c r="L39">
        <v>0.12</v>
      </c>
      <c r="M39">
        <v>48492</v>
      </c>
      <c r="N39">
        <v>32528.26</v>
      </c>
      <c r="O39">
        <v>15963.740000000002</v>
      </c>
      <c r="P39" s="19">
        <f>Tabuľka4[[#This Row],[Zisk]]/Tabuľka4[[#This Row],[Trzba]]</f>
        <v>0.32920357997195415</v>
      </c>
      <c r="Q39">
        <v>2026</v>
      </c>
      <c r="R39" t="str">
        <f>TEXT(Tabuľka4[[#This Row],[Datum]],"MMMM")</f>
        <v>január</v>
      </c>
    </row>
    <row r="40" spans="1:18" x14ac:dyDescent="0.3">
      <c r="A40" s="2">
        <v>46110</v>
      </c>
      <c r="B40" t="s">
        <v>110</v>
      </c>
      <c r="C40" t="s">
        <v>111</v>
      </c>
      <c r="D40" t="s">
        <v>20</v>
      </c>
      <c r="E40" t="s">
        <v>50</v>
      </c>
      <c r="F40" t="s">
        <v>43</v>
      </c>
      <c r="G40" t="s">
        <v>86</v>
      </c>
      <c r="H40" t="s">
        <v>87</v>
      </c>
      <c r="I40" t="s">
        <v>33</v>
      </c>
      <c r="J40">
        <v>5</v>
      </c>
      <c r="K40">
        <v>3441</v>
      </c>
      <c r="L40">
        <v>0.11</v>
      </c>
      <c r="M40">
        <v>17205</v>
      </c>
      <c r="N40">
        <v>11519.06</v>
      </c>
      <c r="O40">
        <v>5685.9400000000005</v>
      </c>
      <c r="P40" s="19">
        <f>Tabuľka4[[#This Row],[Zisk]]/Tabuľka4[[#This Row],[Trzba]]</f>
        <v>0.33048183667538511</v>
      </c>
      <c r="Q40">
        <v>2026</v>
      </c>
      <c r="R40" t="str">
        <f>TEXT(Tabuľka4[[#This Row],[Datum]],"MMMM")</f>
        <v>marec</v>
      </c>
    </row>
    <row r="41" spans="1:18" x14ac:dyDescent="0.3">
      <c r="A41" s="2">
        <v>46127</v>
      </c>
      <c r="B41" t="s">
        <v>112</v>
      </c>
      <c r="C41" t="s">
        <v>113</v>
      </c>
      <c r="D41" t="s">
        <v>20</v>
      </c>
      <c r="E41" t="s">
        <v>68</v>
      </c>
      <c r="F41" t="s">
        <v>22</v>
      </c>
      <c r="G41" t="s">
        <v>86</v>
      </c>
      <c r="H41" t="s">
        <v>87</v>
      </c>
      <c r="I41" t="s">
        <v>38</v>
      </c>
      <c r="J41">
        <v>1</v>
      </c>
      <c r="K41">
        <v>4089</v>
      </c>
      <c r="L41">
        <v>7.0000000000000007E-2</v>
      </c>
      <c r="M41">
        <v>4089</v>
      </c>
      <c r="N41">
        <v>2676.44</v>
      </c>
      <c r="O41">
        <v>1412.56</v>
      </c>
      <c r="P41" s="19">
        <f>Tabuľka4[[#This Row],[Zisk]]/Tabuľka4[[#This Row],[Trzba]]</f>
        <v>0.34545365615064805</v>
      </c>
      <c r="Q41">
        <v>2026</v>
      </c>
      <c r="R41" t="str">
        <f>TEXT(Tabuľka4[[#This Row],[Datum]],"MMMM")</f>
        <v>apríl</v>
      </c>
    </row>
    <row r="42" spans="1:18" x14ac:dyDescent="0.3">
      <c r="A42" s="2">
        <v>46162</v>
      </c>
      <c r="B42" t="s">
        <v>114</v>
      </c>
      <c r="C42" t="s">
        <v>115</v>
      </c>
      <c r="D42" t="s">
        <v>20</v>
      </c>
      <c r="E42" t="s">
        <v>68</v>
      </c>
      <c r="F42" t="s">
        <v>22</v>
      </c>
      <c r="G42" t="s">
        <v>86</v>
      </c>
      <c r="H42" t="s">
        <v>87</v>
      </c>
      <c r="I42" t="s">
        <v>51</v>
      </c>
      <c r="J42">
        <v>1</v>
      </c>
      <c r="K42">
        <v>3679</v>
      </c>
      <c r="L42">
        <v>0</v>
      </c>
      <c r="M42">
        <v>3679</v>
      </c>
      <c r="N42">
        <v>2493.13</v>
      </c>
      <c r="O42">
        <v>1185.8699999999999</v>
      </c>
      <c r="P42" s="19">
        <f>Tabuľka4[[#This Row],[Zisk]]/Tabuľka4[[#This Row],[Trzba]]</f>
        <v>0.32233487360695839</v>
      </c>
      <c r="Q42">
        <v>2026</v>
      </c>
      <c r="R42" t="str">
        <f>TEXT(Tabuľka4[[#This Row],[Datum]],"MMMM")</f>
        <v>máj</v>
      </c>
    </row>
    <row r="43" spans="1:18" x14ac:dyDescent="0.3">
      <c r="A43" s="2">
        <v>46170</v>
      </c>
      <c r="B43" t="s">
        <v>116</v>
      </c>
      <c r="C43" t="s">
        <v>117</v>
      </c>
      <c r="D43" t="s">
        <v>20</v>
      </c>
      <c r="E43" t="s">
        <v>21</v>
      </c>
      <c r="F43" t="s">
        <v>22</v>
      </c>
      <c r="G43" t="s">
        <v>86</v>
      </c>
      <c r="H43" t="s">
        <v>87</v>
      </c>
      <c r="I43" t="s">
        <v>46</v>
      </c>
      <c r="J43">
        <v>2</v>
      </c>
      <c r="K43">
        <v>4274</v>
      </c>
      <c r="L43">
        <v>0.02</v>
      </c>
      <c r="M43">
        <v>8548</v>
      </c>
      <c r="N43">
        <v>6227.01</v>
      </c>
      <c r="O43">
        <v>2320.9899999999998</v>
      </c>
      <c r="P43" s="19">
        <f>Tabuľka4[[#This Row],[Zisk]]/Tabuľka4[[#This Row],[Trzba]]</f>
        <v>0.27152433317735142</v>
      </c>
      <c r="Q43">
        <v>2026</v>
      </c>
      <c r="R43" t="str">
        <f>TEXT(Tabuľka4[[#This Row],[Datum]],"MMMM")</f>
        <v>máj</v>
      </c>
    </row>
    <row r="44" spans="1:18" x14ac:dyDescent="0.3">
      <c r="A44" s="2">
        <v>45378</v>
      </c>
      <c r="B44" t="s">
        <v>118</v>
      </c>
      <c r="C44" t="s">
        <v>119</v>
      </c>
      <c r="D44" t="s">
        <v>20</v>
      </c>
      <c r="E44" t="s">
        <v>0</v>
      </c>
      <c r="F44" t="s">
        <v>22</v>
      </c>
      <c r="G44" t="s">
        <v>86</v>
      </c>
      <c r="H44" t="s">
        <v>120</v>
      </c>
      <c r="I44" t="s">
        <v>25</v>
      </c>
      <c r="J44">
        <v>3</v>
      </c>
      <c r="K44">
        <v>789</v>
      </c>
      <c r="L44">
        <v>0.11</v>
      </c>
      <c r="M44">
        <v>2367</v>
      </c>
      <c r="N44">
        <v>1797.49</v>
      </c>
      <c r="O44">
        <v>569.51</v>
      </c>
      <c r="P44" s="19">
        <f>Tabuľka4[[#This Row],[Zisk]]/Tabuľka4[[#This Row],[Trzba]]</f>
        <v>0.24060414026193494</v>
      </c>
      <c r="Q44">
        <v>2024</v>
      </c>
      <c r="R44" t="str">
        <f>TEXT(Tabuľka4[[#This Row],[Datum]],"MMMM")</f>
        <v>marec</v>
      </c>
    </row>
    <row r="45" spans="1:18" x14ac:dyDescent="0.3">
      <c r="A45" s="2">
        <v>45408</v>
      </c>
      <c r="B45" t="s">
        <v>121</v>
      </c>
      <c r="C45" t="s">
        <v>122</v>
      </c>
      <c r="D45" t="s">
        <v>20</v>
      </c>
      <c r="E45" t="s">
        <v>21</v>
      </c>
      <c r="F45" t="s">
        <v>58</v>
      </c>
      <c r="G45" t="s">
        <v>86</v>
      </c>
      <c r="H45" t="s">
        <v>120</v>
      </c>
      <c r="I45" t="s">
        <v>38</v>
      </c>
      <c r="J45">
        <v>1</v>
      </c>
      <c r="K45">
        <v>1194</v>
      </c>
      <c r="L45">
        <v>7.0000000000000007E-2</v>
      </c>
      <c r="M45">
        <v>1194</v>
      </c>
      <c r="N45">
        <v>934.68</v>
      </c>
      <c r="O45">
        <v>259.32000000000005</v>
      </c>
      <c r="P45" s="19">
        <f>Tabuľka4[[#This Row],[Zisk]]/Tabuľka4[[#This Row],[Trzba]]</f>
        <v>0.21718592964824124</v>
      </c>
      <c r="Q45">
        <v>2024</v>
      </c>
      <c r="R45" t="str">
        <f>TEXT(Tabuľka4[[#This Row],[Datum]],"MMMM")</f>
        <v>apríl</v>
      </c>
    </row>
    <row r="46" spans="1:18" x14ac:dyDescent="0.3">
      <c r="A46" s="2">
        <v>45430</v>
      </c>
      <c r="B46" t="s">
        <v>123</v>
      </c>
      <c r="C46" t="s">
        <v>124</v>
      </c>
      <c r="D46" t="s">
        <v>49</v>
      </c>
      <c r="E46" t="s">
        <v>0</v>
      </c>
      <c r="F46" t="s">
        <v>58</v>
      </c>
      <c r="G46" t="s">
        <v>86</v>
      </c>
      <c r="H46" t="s">
        <v>120</v>
      </c>
      <c r="I46" t="s">
        <v>88</v>
      </c>
      <c r="J46">
        <v>6</v>
      </c>
      <c r="K46">
        <v>728</v>
      </c>
      <c r="L46">
        <v>0.09</v>
      </c>
      <c r="M46">
        <v>4368</v>
      </c>
      <c r="N46">
        <v>2703.8</v>
      </c>
      <c r="O46">
        <v>1664.1999999999998</v>
      </c>
      <c r="P46" s="19">
        <f>Tabuľka4[[#This Row],[Zisk]]/Tabuľka4[[#This Row],[Trzba]]</f>
        <v>0.38099816849816848</v>
      </c>
      <c r="Q46">
        <v>2024</v>
      </c>
      <c r="R46" t="str">
        <f>TEXT(Tabuľka4[[#This Row],[Datum]],"MMMM")</f>
        <v>máj</v>
      </c>
    </row>
    <row r="47" spans="1:18" x14ac:dyDescent="0.3">
      <c r="A47" s="2">
        <v>45499</v>
      </c>
      <c r="B47" t="s">
        <v>125</v>
      </c>
      <c r="C47" t="s">
        <v>126</v>
      </c>
      <c r="D47" t="s">
        <v>20</v>
      </c>
      <c r="E47" t="s">
        <v>68</v>
      </c>
      <c r="F47" t="s">
        <v>43</v>
      </c>
      <c r="G47" t="s">
        <v>86</v>
      </c>
      <c r="H47" t="s">
        <v>120</v>
      </c>
      <c r="I47" t="s">
        <v>63</v>
      </c>
      <c r="J47">
        <v>2</v>
      </c>
      <c r="K47">
        <v>1510</v>
      </c>
      <c r="L47">
        <v>0.06</v>
      </c>
      <c r="M47">
        <v>3020</v>
      </c>
      <c r="N47">
        <v>2025.01</v>
      </c>
      <c r="O47">
        <v>994.99</v>
      </c>
      <c r="P47" s="19">
        <f>Tabuľka4[[#This Row],[Zisk]]/Tabuľka4[[#This Row],[Trzba]]</f>
        <v>0.32946688741721852</v>
      </c>
      <c r="Q47">
        <v>2024</v>
      </c>
      <c r="R47" t="str">
        <f>TEXT(Tabuľka4[[#This Row],[Datum]],"MMMM")</f>
        <v>júl</v>
      </c>
    </row>
    <row r="48" spans="1:18" x14ac:dyDescent="0.3">
      <c r="A48" s="2">
        <v>45586</v>
      </c>
      <c r="B48" t="s">
        <v>127</v>
      </c>
      <c r="C48" t="s">
        <v>128</v>
      </c>
      <c r="D48" t="s">
        <v>20</v>
      </c>
      <c r="E48" t="s">
        <v>21</v>
      </c>
      <c r="F48" t="s">
        <v>22</v>
      </c>
      <c r="G48" t="s">
        <v>86</v>
      </c>
      <c r="H48" t="s">
        <v>120</v>
      </c>
      <c r="I48" t="s">
        <v>46</v>
      </c>
      <c r="J48">
        <v>4</v>
      </c>
      <c r="K48">
        <v>883</v>
      </c>
      <c r="L48">
        <v>0.02</v>
      </c>
      <c r="M48">
        <v>3532</v>
      </c>
      <c r="N48">
        <v>2765.08</v>
      </c>
      <c r="O48">
        <v>766.92000000000007</v>
      </c>
      <c r="P48" s="19">
        <f>Tabuľka4[[#This Row],[Zisk]]/Tabuľka4[[#This Row],[Trzba]]</f>
        <v>0.21713476783691962</v>
      </c>
      <c r="Q48">
        <v>2024</v>
      </c>
      <c r="R48" t="str">
        <f>TEXT(Tabuľka4[[#This Row],[Datum]],"MMMM")</f>
        <v>október</v>
      </c>
    </row>
    <row r="49" spans="1:18" x14ac:dyDescent="0.3">
      <c r="A49" s="2">
        <v>45637</v>
      </c>
      <c r="B49" t="s">
        <v>129</v>
      </c>
      <c r="C49" t="s">
        <v>130</v>
      </c>
      <c r="D49" t="s">
        <v>20</v>
      </c>
      <c r="E49" t="s">
        <v>21</v>
      </c>
      <c r="F49" t="s">
        <v>43</v>
      </c>
      <c r="G49" t="s">
        <v>86</v>
      </c>
      <c r="H49" t="s">
        <v>120</v>
      </c>
      <c r="I49" t="s">
        <v>30</v>
      </c>
      <c r="J49">
        <v>1</v>
      </c>
      <c r="K49">
        <v>884</v>
      </c>
      <c r="L49">
        <v>0.1</v>
      </c>
      <c r="M49">
        <v>884</v>
      </c>
      <c r="N49">
        <v>692.31</v>
      </c>
      <c r="O49">
        <v>191.69000000000005</v>
      </c>
      <c r="P49" s="19">
        <f>Tabuľka4[[#This Row],[Zisk]]/Tabuľka4[[#This Row],[Trzba]]</f>
        <v>0.21684389140271498</v>
      </c>
      <c r="Q49">
        <v>2024</v>
      </c>
      <c r="R49" t="str">
        <f>TEXT(Tabuľka4[[#This Row],[Datum]],"MMMM")</f>
        <v>december</v>
      </c>
    </row>
    <row r="50" spans="1:18" x14ac:dyDescent="0.3">
      <c r="A50" s="2">
        <v>45650</v>
      </c>
      <c r="B50" t="s">
        <v>131</v>
      </c>
      <c r="C50" t="s">
        <v>132</v>
      </c>
      <c r="D50" t="s">
        <v>49</v>
      </c>
      <c r="E50" t="s">
        <v>0</v>
      </c>
      <c r="F50" t="s">
        <v>58</v>
      </c>
      <c r="G50" t="s">
        <v>86</v>
      </c>
      <c r="H50" t="s">
        <v>120</v>
      </c>
      <c r="I50" t="s">
        <v>63</v>
      </c>
      <c r="J50">
        <v>8</v>
      </c>
      <c r="K50">
        <v>910</v>
      </c>
      <c r="L50">
        <v>0.08</v>
      </c>
      <c r="M50">
        <v>7280</v>
      </c>
      <c r="N50">
        <v>5871.78</v>
      </c>
      <c r="O50">
        <v>1408.2200000000003</v>
      </c>
      <c r="P50" s="19">
        <f>Tabuľka4[[#This Row],[Zisk]]/Tabuľka4[[#This Row],[Trzba]]</f>
        <v>0.19343681318681322</v>
      </c>
      <c r="Q50">
        <v>2024</v>
      </c>
      <c r="R50" t="str">
        <f>TEXT(Tabuľka4[[#This Row],[Datum]],"MMMM")</f>
        <v>december</v>
      </c>
    </row>
    <row r="51" spans="1:18" x14ac:dyDescent="0.3">
      <c r="A51" s="2">
        <v>45655</v>
      </c>
      <c r="B51" t="s">
        <v>133</v>
      </c>
      <c r="C51" t="s">
        <v>134</v>
      </c>
      <c r="D51" t="s">
        <v>20</v>
      </c>
      <c r="E51" t="s">
        <v>21</v>
      </c>
      <c r="F51" t="s">
        <v>22</v>
      </c>
      <c r="G51" t="s">
        <v>86</v>
      </c>
      <c r="H51" t="s">
        <v>120</v>
      </c>
      <c r="I51" t="s">
        <v>33</v>
      </c>
      <c r="J51">
        <v>5</v>
      </c>
      <c r="K51">
        <v>645</v>
      </c>
      <c r="L51">
        <v>7.0000000000000007E-2</v>
      </c>
      <c r="M51">
        <v>3225</v>
      </c>
      <c r="N51">
        <v>2174.23</v>
      </c>
      <c r="O51">
        <v>1050.77</v>
      </c>
      <c r="P51" s="19">
        <f>Tabuľka4[[#This Row],[Zisk]]/Tabuľka4[[#This Row],[Trzba]]</f>
        <v>0.32582015503875966</v>
      </c>
      <c r="Q51">
        <v>2024</v>
      </c>
      <c r="R51" t="str">
        <f>TEXT(Tabuľka4[[#This Row],[Datum]],"MMMM")</f>
        <v>december</v>
      </c>
    </row>
    <row r="52" spans="1:18" x14ac:dyDescent="0.3">
      <c r="A52" s="2">
        <v>45786</v>
      </c>
      <c r="B52" t="s">
        <v>135</v>
      </c>
      <c r="C52" t="s">
        <v>136</v>
      </c>
      <c r="D52" t="s">
        <v>20</v>
      </c>
      <c r="E52" t="s">
        <v>0</v>
      </c>
      <c r="F52" t="s">
        <v>43</v>
      </c>
      <c r="G52" t="s">
        <v>86</v>
      </c>
      <c r="H52" t="s">
        <v>120</v>
      </c>
      <c r="I52" t="s">
        <v>46</v>
      </c>
      <c r="J52">
        <v>5</v>
      </c>
      <c r="K52">
        <v>937</v>
      </c>
      <c r="L52">
        <v>0.14000000000000001</v>
      </c>
      <c r="M52">
        <v>4685</v>
      </c>
      <c r="N52">
        <v>3005.28</v>
      </c>
      <c r="O52">
        <v>1679.7199999999998</v>
      </c>
      <c r="P52" s="19">
        <f>Tabuľka4[[#This Row],[Zisk]]/Tabuľka4[[#This Row],[Trzba]]</f>
        <v>0.35853148345784414</v>
      </c>
      <c r="Q52">
        <v>2025</v>
      </c>
      <c r="R52" t="str">
        <f>TEXT(Tabuľka4[[#This Row],[Datum]],"MMMM")</f>
        <v>máj</v>
      </c>
    </row>
    <row r="53" spans="1:18" x14ac:dyDescent="0.3">
      <c r="A53" s="2">
        <v>45789</v>
      </c>
      <c r="B53" t="s">
        <v>137</v>
      </c>
      <c r="C53" t="s">
        <v>138</v>
      </c>
      <c r="D53" t="s">
        <v>20</v>
      </c>
      <c r="E53" t="s">
        <v>21</v>
      </c>
      <c r="F53" t="s">
        <v>22</v>
      </c>
      <c r="G53" t="s">
        <v>86</v>
      </c>
      <c r="H53" t="s">
        <v>120</v>
      </c>
      <c r="I53" t="s">
        <v>25</v>
      </c>
      <c r="J53">
        <v>3</v>
      </c>
      <c r="K53">
        <v>1008</v>
      </c>
      <c r="L53">
        <v>7.0000000000000007E-2</v>
      </c>
      <c r="M53">
        <v>3024</v>
      </c>
      <c r="N53">
        <v>2325.92</v>
      </c>
      <c r="O53">
        <v>698.07999999999993</v>
      </c>
      <c r="P53" s="19">
        <f>Tabuľka4[[#This Row],[Zisk]]/Tabuľka4[[#This Row],[Trzba]]</f>
        <v>0.23084656084656083</v>
      </c>
      <c r="Q53">
        <v>2025</v>
      </c>
      <c r="R53" t="str">
        <f>TEXT(Tabuľka4[[#This Row],[Datum]],"MMMM")</f>
        <v>máj</v>
      </c>
    </row>
    <row r="54" spans="1:18" x14ac:dyDescent="0.3">
      <c r="A54" s="2">
        <v>45793</v>
      </c>
      <c r="B54" t="s">
        <v>139</v>
      </c>
      <c r="C54" t="s">
        <v>132</v>
      </c>
      <c r="D54" t="s">
        <v>49</v>
      </c>
      <c r="E54" t="s">
        <v>21</v>
      </c>
      <c r="F54" t="s">
        <v>43</v>
      </c>
      <c r="G54" t="s">
        <v>86</v>
      </c>
      <c r="H54" t="s">
        <v>120</v>
      </c>
      <c r="I54" t="s">
        <v>46</v>
      </c>
      <c r="J54">
        <v>7</v>
      </c>
      <c r="K54">
        <v>816</v>
      </c>
      <c r="L54">
        <v>7.0000000000000007E-2</v>
      </c>
      <c r="M54">
        <v>5712</v>
      </c>
      <c r="N54">
        <v>3866.14</v>
      </c>
      <c r="O54">
        <v>1845.8600000000001</v>
      </c>
      <c r="P54" s="19">
        <f>Tabuľka4[[#This Row],[Zisk]]/Tabuľka4[[#This Row],[Trzba]]</f>
        <v>0.32315476190476194</v>
      </c>
      <c r="Q54">
        <v>2025</v>
      </c>
      <c r="R54" t="str">
        <f>TEXT(Tabuľka4[[#This Row],[Datum]],"MMMM")</f>
        <v>máj</v>
      </c>
    </row>
    <row r="55" spans="1:18" x14ac:dyDescent="0.3">
      <c r="A55" s="2">
        <v>45796</v>
      </c>
      <c r="B55" t="s">
        <v>140</v>
      </c>
      <c r="C55" t="s">
        <v>141</v>
      </c>
      <c r="D55" t="s">
        <v>20</v>
      </c>
      <c r="E55" t="s">
        <v>21</v>
      </c>
      <c r="F55" t="s">
        <v>22</v>
      </c>
      <c r="G55" t="s">
        <v>86</v>
      </c>
      <c r="H55" t="s">
        <v>120</v>
      </c>
      <c r="I55" t="s">
        <v>33</v>
      </c>
      <c r="J55">
        <v>4</v>
      </c>
      <c r="K55">
        <v>792</v>
      </c>
      <c r="L55">
        <v>0</v>
      </c>
      <c r="M55">
        <v>3168</v>
      </c>
      <c r="N55">
        <v>2681.96</v>
      </c>
      <c r="O55">
        <v>486.03999999999996</v>
      </c>
      <c r="P55" s="19">
        <f>Tabuľka4[[#This Row],[Zisk]]/Tabuľka4[[#This Row],[Trzba]]</f>
        <v>0.15342171717171715</v>
      </c>
      <c r="Q55">
        <v>2025</v>
      </c>
      <c r="R55" t="str">
        <f>TEXT(Tabuľka4[[#This Row],[Datum]],"MMMM")</f>
        <v>máj</v>
      </c>
    </row>
    <row r="56" spans="1:18" x14ac:dyDescent="0.3">
      <c r="A56" s="2">
        <v>45829</v>
      </c>
      <c r="B56" t="s">
        <v>142</v>
      </c>
      <c r="C56" t="s">
        <v>132</v>
      </c>
      <c r="D56" t="s">
        <v>49</v>
      </c>
      <c r="E56" t="s">
        <v>0</v>
      </c>
      <c r="F56" t="s">
        <v>58</v>
      </c>
      <c r="G56" t="s">
        <v>86</v>
      </c>
      <c r="H56" t="s">
        <v>120</v>
      </c>
      <c r="I56" t="s">
        <v>33</v>
      </c>
      <c r="J56">
        <v>13</v>
      </c>
      <c r="K56">
        <v>619</v>
      </c>
      <c r="L56">
        <v>0.13</v>
      </c>
      <c r="M56">
        <v>8047</v>
      </c>
      <c r="N56">
        <v>5002.0200000000004</v>
      </c>
      <c r="O56">
        <v>3044.9799999999996</v>
      </c>
      <c r="P56" s="19">
        <f>Tabuľka4[[#This Row],[Zisk]]/Tabuľka4[[#This Row],[Trzba]]</f>
        <v>0.37839940350441154</v>
      </c>
      <c r="Q56">
        <v>2025</v>
      </c>
      <c r="R56" t="str">
        <f>TEXT(Tabuľka4[[#This Row],[Datum]],"MMMM")</f>
        <v>jún</v>
      </c>
    </row>
    <row r="57" spans="1:18" x14ac:dyDescent="0.3">
      <c r="A57" s="2">
        <v>45956</v>
      </c>
      <c r="B57" t="s">
        <v>143</v>
      </c>
      <c r="C57" t="s">
        <v>48</v>
      </c>
      <c r="D57" t="s">
        <v>49</v>
      </c>
      <c r="E57" t="s">
        <v>21</v>
      </c>
      <c r="F57" t="s">
        <v>22</v>
      </c>
      <c r="G57" t="s">
        <v>86</v>
      </c>
      <c r="H57" t="s">
        <v>120</v>
      </c>
      <c r="I57" t="s">
        <v>30</v>
      </c>
      <c r="J57">
        <v>6</v>
      </c>
      <c r="K57">
        <v>793</v>
      </c>
      <c r="L57">
        <v>0.18</v>
      </c>
      <c r="M57">
        <v>4758</v>
      </c>
      <c r="N57">
        <v>2862.57</v>
      </c>
      <c r="O57">
        <v>1895.4299999999998</v>
      </c>
      <c r="P57" s="19">
        <f>Tabuľka4[[#This Row],[Zisk]]/Tabuľka4[[#This Row],[Trzba]]</f>
        <v>0.39836696090794449</v>
      </c>
      <c r="Q57">
        <v>2025</v>
      </c>
      <c r="R57" t="str">
        <f>TEXT(Tabuľka4[[#This Row],[Datum]],"MMMM")</f>
        <v>október</v>
      </c>
    </row>
    <row r="58" spans="1:18" x14ac:dyDescent="0.3">
      <c r="A58" s="2">
        <v>46000</v>
      </c>
      <c r="B58" t="s">
        <v>144</v>
      </c>
      <c r="C58" t="s">
        <v>145</v>
      </c>
      <c r="D58" t="s">
        <v>20</v>
      </c>
      <c r="E58" t="s">
        <v>0</v>
      </c>
      <c r="F58" t="s">
        <v>22</v>
      </c>
      <c r="G58" t="s">
        <v>86</v>
      </c>
      <c r="H58" t="s">
        <v>120</v>
      </c>
      <c r="I58" t="s">
        <v>30</v>
      </c>
      <c r="J58">
        <v>2</v>
      </c>
      <c r="K58">
        <v>1334</v>
      </c>
      <c r="L58">
        <v>0.12</v>
      </c>
      <c r="M58">
        <v>2668</v>
      </c>
      <c r="N58">
        <v>1877.19</v>
      </c>
      <c r="O58">
        <v>790.81</v>
      </c>
      <c r="P58" s="19">
        <f>Tabuľka4[[#This Row],[Zisk]]/Tabuľka4[[#This Row],[Trzba]]</f>
        <v>0.29640554722638679</v>
      </c>
      <c r="Q58">
        <v>2025</v>
      </c>
      <c r="R58" t="str">
        <f>TEXT(Tabuľka4[[#This Row],[Datum]],"MMMM")</f>
        <v>december</v>
      </c>
    </row>
    <row r="59" spans="1:18" x14ac:dyDescent="0.3">
      <c r="A59" s="2">
        <v>46023</v>
      </c>
      <c r="B59" t="s">
        <v>146</v>
      </c>
      <c r="C59" t="s">
        <v>147</v>
      </c>
      <c r="D59" t="s">
        <v>20</v>
      </c>
      <c r="E59" t="s">
        <v>68</v>
      </c>
      <c r="F59" t="s">
        <v>22</v>
      </c>
      <c r="G59" t="s">
        <v>86</v>
      </c>
      <c r="H59" t="s">
        <v>120</v>
      </c>
      <c r="I59" t="s">
        <v>63</v>
      </c>
      <c r="J59">
        <v>2</v>
      </c>
      <c r="K59">
        <v>808</v>
      </c>
      <c r="L59">
        <v>0.08</v>
      </c>
      <c r="M59">
        <v>1616</v>
      </c>
      <c r="N59">
        <v>979.89</v>
      </c>
      <c r="O59">
        <v>636.11</v>
      </c>
      <c r="P59" s="19">
        <f>Tabuľka4[[#This Row],[Zisk]]/Tabuľka4[[#This Row],[Trzba]]</f>
        <v>0.39363242574257429</v>
      </c>
      <c r="Q59">
        <v>2026</v>
      </c>
      <c r="R59" t="str">
        <f>TEXT(Tabuľka4[[#This Row],[Datum]],"MMMM")</f>
        <v>január</v>
      </c>
    </row>
    <row r="60" spans="1:18" x14ac:dyDescent="0.3">
      <c r="A60" s="2">
        <v>46084</v>
      </c>
      <c r="B60" t="s">
        <v>148</v>
      </c>
      <c r="C60" t="s">
        <v>149</v>
      </c>
      <c r="D60" t="s">
        <v>20</v>
      </c>
      <c r="E60" t="s">
        <v>0</v>
      </c>
      <c r="F60" t="s">
        <v>22</v>
      </c>
      <c r="G60" t="s">
        <v>86</v>
      </c>
      <c r="H60" t="s">
        <v>120</v>
      </c>
      <c r="I60" t="s">
        <v>33</v>
      </c>
      <c r="J60">
        <v>3</v>
      </c>
      <c r="K60">
        <v>725</v>
      </c>
      <c r="L60">
        <v>0.04</v>
      </c>
      <c r="M60">
        <v>2175</v>
      </c>
      <c r="N60">
        <v>1652.55</v>
      </c>
      <c r="O60">
        <v>522.45000000000005</v>
      </c>
      <c r="P60" s="19">
        <f>Tabuľka4[[#This Row],[Zisk]]/Tabuľka4[[#This Row],[Trzba]]</f>
        <v>0.24020689655172417</v>
      </c>
      <c r="Q60">
        <v>2026</v>
      </c>
      <c r="R60" t="str">
        <f>TEXT(Tabuľka4[[#This Row],[Datum]],"MMMM")</f>
        <v>marec</v>
      </c>
    </row>
    <row r="61" spans="1:18" x14ac:dyDescent="0.3">
      <c r="A61" s="2">
        <v>46100</v>
      </c>
      <c r="B61" t="s">
        <v>150</v>
      </c>
      <c r="C61" t="s">
        <v>151</v>
      </c>
      <c r="D61" t="s">
        <v>20</v>
      </c>
      <c r="E61" t="s">
        <v>21</v>
      </c>
      <c r="F61" t="s">
        <v>22</v>
      </c>
      <c r="G61" t="s">
        <v>86</v>
      </c>
      <c r="H61" t="s">
        <v>120</v>
      </c>
      <c r="I61" t="s">
        <v>88</v>
      </c>
      <c r="J61">
        <v>2</v>
      </c>
      <c r="K61">
        <v>1190</v>
      </c>
      <c r="L61">
        <v>0.05</v>
      </c>
      <c r="M61">
        <v>2380</v>
      </c>
      <c r="N61">
        <v>1346.61</v>
      </c>
      <c r="O61">
        <v>1033.3900000000001</v>
      </c>
      <c r="P61" s="19">
        <f>Tabuľka4[[#This Row],[Zisk]]/Tabuľka4[[#This Row],[Trzba]]</f>
        <v>0.43419747899159666</v>
      </c>
      <c r="Q61">
        <v>2026</v>
      </c>
      <c r="R61" t="str">
        <f>TEXT(Tabuľka4[[#This Row],[Datum]],"MMMM")</f>
        <v>marec</v>
      </c>
    </row>
    <row r="62" spans="1:18" x14ac:dyDescent="0.3">
      <c r="A62" s="2">
        <v>45413</v>
      </c>
      <c r="B62" t="s">
        <v>152</v>
      </c>
      <c r="C62" t="s">
        <v>153</v>
      </c>
      <c r="D62" t="s">
        <v>20</v>
      </c>
      <c r="E62" t="s">
        <v>21</v>
      </c>
      <c r="F62" t="s">
        <v>43</v>
      </c>
      <c r="G62" t="s">
        <v>23</v>
      </c>
      <c r="H62" t="s">
        <v>154</v>
      </c>
      <c r="I62" t="s">
        <v>51</v>
      </c>
      <c r="J62">
        <v>2</v>
      </c>
      <c r="K62">
        <v>1671</v>
      </c>
      <c r="L62">
        <v>0.03</v>
      </c>
      <c r="M62">
        <v>3342</v>
      </c>
      <c r="N62">
        <v>2060.4899999999998</v>
      </c>
      <c r="O62">
        <v>1281.5100000000002</v>
      </c>
      <c r="P62" s="19">
        <f>Tabuľka4[[#This Row],[Zisk]]/Tabuľka4[[#This Row],[Trzba]]</f>
        <v>0.38345601436265714</v>
      </c>
      <c r="Q62">
        <v>2024</v>
      </c>
      <c r="R62" t="str">
        <f>TEXT(Tabuľka4[[#This Row],[Datum]],"MMMM")</f>
        <v>máj</v>
      </c>
    </row>
    <row r="63" spans="1:18" x14ac:dyDescent="0.3">
      <c r="A63" s="2">
        <v>45562</v>
      </c>
      <c r="B63" t="s">
        <v>155</v>
      </c>
      <c r="C63" t="s">
        <v>156</v>
      </c>
      <c r="D63" t="s">
        <v>20</v>
      </c>
      <c r="E63" t="s">
        <v>68</v>
      </c>
      <c r="F63" t="s">
        <v>22</v>
      </c>
      <c r="G63" t="s">
        <v>23</v>
      </c>
      <c r="H63" t="s">
        <v>154</v>
      </c>
      <c r="I63" t="s">
        <v>51</v>
      </c>
      <c r="J63">
        <v>3</v>
      </c>
      <c r="K63">
        <v>1561</v>
      </c>
      <c r="L63">
        <v>0.05</v>
      </c>
      <c r="M63">
        <v>4683</v>
      </c>
      <c r="N63">
        <v>3126.78</v>
      </c>
      <c r="O63">
        <v>1556.2199999999998</v>
      </c>
      <c r="P63" s="19">
        <f>Tabuľka4[[#This Row],[Zisk]]/Tabuľka4[[#This Row],[Trzba]]</f>
        <v>0.33231262011531065</v>
      </c>
      <c r="Q63">
        <v>2024</v>
      </c>
      <c r="R63" t="str">
        <f>TEXT(Tabuľka4[[#This Row],[Datum]],"MMMM")</f>
        <v>september</v>
      </c>
    </row>
    <row r="64" spans="1:18" x14ac:dyDescent="0.3">
      <c r="A64" s="2">
        <v>45575</v>
      </c>
      <c r="B64" t="s">
        <v>157</v>
      </c>
      <c r="C64" t="s">
        <v>158</v>
      </c>
      <c r="D64" t="s">
        <v>20</v>
      </c>
      <c r="E64" t="s">
        <v>0</v>
      </c>
      <c r="F64" t="s">
        <v>22</v>
      </c>
      <c r="G64" t="s">
        <v>23</v>
      </c>
      <c r="H64" t="s">
        <v>154</v>
      </c>
      <c r="I64" t="s">
        <v>51</v>
      </c>
      <c r="J64">
        <v>4</v>
      </c>
      <c r="K64">
        <v>1650</v>
      </c>
      <c r="L64">
        <v>0.15</v>
      </c>
      <c r="M64">
        <v>6600</v>
      </c>
      <c r="N64">
        <v>3530.57</v>
      </c>
      <c r="O64">
        <v>3069.43</v>
      </c>
      <c r="P64" s="19">
        <f>Tabuľka4[[#This Row],[Zisk]]/Tabuľka4[[#This Row],[Trzba]]</f>
        <v>0.46506515151515149</v>
      </c>
      <c r="Q64">
        <v>2024</v>
      </c>
      <c r="R64" t="str">
        <f>TEXT(Tabuľka4[[#This Row],[Datum]],"MMMM")</f>
        <v>október</v>
      </c>
    </row>
    <row r="65" spans="1:18" x14ac:dyDescent="0.3">
      <c r="A65" s="2">
        <v>45582</v>
      </c>
      <c r="B65" t="s">
        <v>159</v>
      </c>
      <c r="C65" t="s">
        <v>160</v>
      </c>
      <c r="D65" t="s">
        <v>20</v>
      </c>
      <c r="E65" t="s">
        <v>21</v>
      </c>
      <c r="F65" t="s">
        <v>43</v>
      </c>
      <c r="G65" t="s">
        <v>23</v>
      </c>
      <c r="H65" t="s">
        <v>154</v>
      </c>
      <c r="I65" t="s">
        <v>88</v>
      </c>
      <c r="J65">
        <v>1</v>
      </c>
      <c r="K65">
        <v>2097</v>
      </c>
      <c r="L65">
        <v>0.01</v>
      </c>
      <c r="M65">
        <v>2097</v>
      </c>
      <c r="N65">
        <v>1325.43</v>
      </c>
      <c r="O65">
        <v>771.56999999999994</v>
      </c>
      <c r="P65" s="19">
        <f>Tabuľka4[[#This Row],[Zisk]]/Tabuľka4[[#This Row],[Trzba]]</f>
        <v>0.36793991416309008</v>
      </c>
      <c r="Q65">
        <v>2024</v>
      </c>
      <c r="R65" t="str">
        <f>TEXT(Tabuľka4[[#This Row],[Datum]],"MMMM")</f>
        <v>október</v>
      </c>
    </row>
    <row r="66" spans="1:18" x14ac:dyDescent="0.3">
      <c r="A66" s="2">
        <v>45644</v>
      </c>
      <c r="B66" t="s">
        <v>161</v>
      </c>
      <c r="C66" t="s">
        <v>78</v>
      </c>
      <c r="D66" t="s">
        <v>20</v>
      </c>
      <c r="E66" t="s">
        <v>68</v>
      </c>
      <c r="F66" t="s">
        <v>22</v>
      </c>
      <c r="G66" t="s">
        <v>23</v>
      </c>
      <c r="H66" t="s">
        <v>154</v>
      </c>
      <c r="I66" t="s">
        <v>63</v>
      </c>
      <c r="J66">
        <v>3</v>
      </c>
      <c r="K66">
        <v>1885</v>
      </c>
      <c r="L66">
        <v>0.24</v>
      </c>
      <c r="M66">
        <v>5655</v>
      </c>
      <c r="N66">
        <v>3191.95</v>
      </c>
      <c r="O66">
        <v>2463.0500000000002</v>
      </c>
      <c r="P66" s="19">
        <f>Tabuľka4[[#This Row],[Zisk]]/Tabuľka4[[#This Row],[Trzba]]</f>
        <v>0.43555260831122905</v>
      </c>
      <c r="Q66">
        <v>2024</v>
      </c>
      <c r="R66" t="str">
        <f>TEXT(Tabuľka4[[#This Row],[Datum]],"MMMM")</f>
        <v>december</v>
      </c>
    </row>
    <row r="67" spans="1:18" x14ac:dyDescent="0.3">
      <c r="A67" s="2">
        <v>45649</v>
      </c>
      <c r="B67" t="s">
        <v>162</v>
      </c>
      <c r="C67" t="s">
        <v>163</v>
      </c>
      <c r="D67" t="s">
        <v>20</v>
      </c>
      <c r="E67" t="s">
        <v>68</v>
      </c>
      <c r="F67" t="s">
        <v>22</v>
      </c>
      <c r="G67" t="s">
        <v>23</v>
      </c>
      <c r="H67" t="s">
        <v>154</v>
      </c>
      <c r="I67" t="s">
        <v>46</v>
      </c>
      <c r="J67">
        <v>5</v>
      </c>
      <c r="K67">
        <v>1956</v>
      </c>
      <c r="L67">
        <v>0.02</v>
      </c>
      <c r="M67">
        <v>9780</v>
      </c>
      <c r="N67">
        <v>6374.6</v>
      </c>
      <c r="O67">
        <v>3405.3999999999996</v>
      </c>
      <c r="P67" s="19">
        <f>Tabuľka4[[#This Row],[Zisk]]/Tabuľka4[[#This Row],[Trzba]]</f>
        <v>0.34820040899795496</v>
      </c>
      <c r="Q67">
        <v>2024</v>
      </c>
      <c r="R67" t="str">
        <f>TEXT(Tabuľka4[[#This Row],[Datum]],"MMMM")</f>
        <v>december</v>
      </c>
    </row>
    <row r="68" spans="1:18" x14ac:dyDescent="0.3">
      <c r="A68" s="2">
        <v>45670</v>
      </c>
      <c r="B68" t="s">
        <v>164</v>
      </c>
      <c r="C68" t="s">
        <v>165</v>
      </c>
      <c r="D68" t="s">
        <v>20</v>
      </c>
      <c r="E68" t="s">
        <v>68</v>
      </c>
      <c r="F68" t="s">
        <v>43</v>
      </c>
      <c r="G68" t="s">
        <v>23</v>
      </c>
      <c r="H68" t="s">
        <v>154</v>
      </c>
      <c r="I68" t="s">
        <v>51</v>
      </c>
      <c r="J68">
        <v>2</v>
      </c>
      <c r="K68">
        <v>1416</v>
      </c>
      <c r="L68">
        <v>0.16</v>
      </c>
      <c r="M68">
        <v>2832</v>
      </c>
      <c r="N68">
        <v>1701.36</v>
      </c>
      <c r="O68">
        <v>1130.6400000000001</v>
      </c>
      <c r="P68" s="19">
        <f>Tabuľka4[[#This Row],[Zisk]]/Tabuľka4[[#This Row],[Trzba]]</f>
        <v>0.39923728813559328</v>
      </c>
      <c r="Q68">
        <v>2025</v>
      </c>
      <c r="R68" t="str">
        <f>TEXT(Tabuľka4[[#This Row],[Datum]],"MMMM")</f>
        <v>január</v>
      </c>
    </row>
    <row r="69" spans="1:18" x14ac:dyDescent="0.3">
      <c r="A69" s="2">
        <v>45678</v>
      </c>
      <c r="B69" t="s">
        <v>166</v>
      </c>
      <c r="C69" t="s">
        <v>167</v>
      </c>
      <c r="D69" t="s">
        <v>20</v>
      </c>
      <c r="E69" t="s">
        <v>0</v>
      </c>
      <c r="F69" t="s">
        <v>43</v>
      </c>
      <c r="G69" t="s">
        <v>23</v>
      </c>
      <c r="H69" t="s">
        <v>154</v>
      </c>
      <c r="I69" t="s">
        <v>25</v>
      </c>
      <c r="J69">
        <v>2</v>
      </c>
      <c r="K69">
        <v>1904</v>
      </c>
      <c r="L69">
        <v>0.01</v>
      </c>
      <c r="M69">
        <v>3808</v>
      </c>
      <c r="N69">
        <v>3242.98</v>
      </c>
      <c r="O69">
        <v>565.02</v>
      </c>
      <c r="P69" s="19">
        <f>Tabuľka4[[#This Row],[Zisk]]/Tabuľka4[[#This Row],[Trzba]]</f>
        <v>0.14837710084033612</v>
      </c>
      <c r="Q69">
        <v>2025</v>
      </c>
      <c r="R69" t="str">
        <f>TEXT(Tabuľka4[[#This Row],[Datum]],"MMMM")</f>
        <v>január</v>
      </c>
    </row>
    <row r="70" spans="1:18" x14ac:dyDescent="0.3">
      <c r="A70" s="2">
        <v>45700</v>
      </c>
      <c r="B70" t="s">
        <v>168</v>
      </c>
      <c r="C70" t="s">
        <v>132</v>
      </c>
      <c r="D70" t="s">
        <v>49</v>
      </c>
      <c r="E70" t="s">
        <v>0</v>
      </c>
      <c r="F70" t="s">
        <v>43</v>
      </c>
      <c r="G70" t="s">
        <v>23</v>
      </c>
      <c r="H70" t="s">
        <v>154</v>
      </c>
      <c r="I70" t="s">
        <v>46</v>
      </c>
      <c r="J70">
        <v>6</v>
      </c>
      <c r="K70">
        <v>1657</v>
      </c>
      <c r="L70">
        <v>0.09</v>
      </c>
      <c r="M70">
        <v>9942</v>
      </c>
      <c r="N70">
        <v>6249.61</v>
      </c>
      <c r="O70">
        <v>3692.3900000000003</v>
      </c>
      <c r="P70" s="19">
        <f>Tabuľka4[[#This Row],[Zisk]]/Tabuľka4[[#This Row],[Trzba]]</f>
        <v>0.37139307986320663</v>
      </c>
      <c r="Q70">
        <v>2025</v>
      </c>
      <c r="R70" t="str">
        <f>TEXT(Tabuľka4[[#This Row],[Datum]],"MMMM")</f>
        <v>február</v>
      </c>
    </row>
    <row r="71" spans="1:18" x14ac:dyDescent="0.3">
      <c r="A71" s="2">
        <v>45738</v>
      </c>
      <c r="B71" t="s">
        <v>169</v>
      </c>
      <c r="C71" t="s">
        <v>170</v>
      </c>
      <c r="D71" t="s">
        <v>20</v>
      </c>
      <c r="E71" t="s">
        <v>68</v>
      </c>
      <c r="F71" t="s">
        <v>43</v>
      </c>
      <c r="G71" t="s">
        <v>23</v>
      </c>
      <c r="H71" t="s">
        <v>154</v>
      </c>
      <c r="I71" t="s">
        <v>25</v>
      </c>
      <c r="J71">
        <v>2</v>
      </c>
      <c r="K71">
        <v>1538</v>
      </c>
      <c r="L71">
        <v>0.02</v>
      </c>
      <c r="M71">
        <v>3076</v>
      </c>
      <c r="N71">
        <v>2068.9899999999998</v>
      </c>
      <c r="O71">
        <v>1007.0100000000002</v>
      </c>
      <c r="P71" s="19">
        <f>Tabuľka4[[#This Row],[Zisk]]/Tabuľka4[[#This Row],[Trzba]]</f>
        <v>0.32737646293888173</v>
      </c>
      <c r="Q71">
        <v>2025</v>
      </c>
      <c r="R71" t="str">
        <f>TEXT(Tabuľka4[[#This Row],[Datum]],"MMMM")</f>
        <v>marec</v>
      </c>
    </row>
    <row r="72" spans="1:18" x14ac:dyDescent="0.3">
      <c r="A72" s="2">
        <v>45856</v>
      </c>
      <c r="B72" t="s">
        <v>171</v>
      </c>
      <c r="C72" t="s">
        <v>172</v>
      </c>
      <c r="D72" t="s">
        <v>20</v>
      </c>
      <c r="E72" t="s">
        <v>21</v>
      </c>
      <c r="F72" t="s">
        <v>22</v>
      </c>
      <c r="G72" t="s">
        <v>23</v>
      </c>
      <c r="H72" t="s">
        <v>154</v>
      </c>
      <c r="I72" t="s">
        <v>30</v>
      </c>
      <c r="J72">
        <v>3</v>
      </c>
      <c r="K72">
        <v>1780</v>
      </c>
      <c r="L72">
        <v>7.0000000000000007E-2</v>
      </c>
      <c r="M72">
        <v>5340</v>
      </c>
      <c r="N72">
        <v>3860.34</v>
      </c>
      <c r="O72">
        <v>1479.6599999999999</v>
      </c>
      <c r="P72" s="19">
        <f>Tabuľka4[[#This Row],[Zisk]]/Tabuľka4[[#This Row],[Trzba]]</f>
        <v>0.27708988764044939</v>
      </c>
      <c r="Q72">
        <v>2025</v>
      </c>
      <c r="R72" t="str">
        <f>TEXT(Tabuľka4[[#This Row],[Datum]],"MMMM")</f>
        <v>júl</v>
      </c>
    </row>
    <row r="73" spans="1:18" x14ac:dyDescent="0.3">
      <c r="A73" s="2">
        <v>45890</v>
      </c>
      <c r="B73" t="s">
        <v>173</v>
      </c>
      <c r="C73" t="s">
        <v>174</v>
      </c>
      <c r="D73" t="s">
        <v>20</v>
      </c>
      <c r="E73" t="s">
        <v>50</v>
      </c>
      <c r="F73" t="s">
        <v>43</v>
      </c>
      <c r="G73" t="s">
        <v>23</v>
      </c>
      <c r="H73" t="s">
        <v>154</v>
      </c>
      <c r="I73" t="s">
        <v>51</v>
      </c>
      <c r="J73">
        <v>1</v>
      </c>
      <c r="K73">
        <v>2128</v>
      </c>
      <c r="L73">
        <v>0.1</v>
      </c>
      <c r="M73">
        <v>2128</v>
      </c>
      <c r="N73">
        <v>1455.46</v>
      </c>
      <c r="O73">
        <v>672.54</v>
      </c>
      <c r="P73" s="19">
        <f>Tabuľka4[[#This Row],[Zisk]]/Tabuľka4[[#This Row],[Trzba]]</f>
        <v>0.31604323308270676</v>
      </c>
      <c r="Q73">
        <v>2025</v>
      </c>
      <c r="R73" t="str">
        <f>TEXT(Tabuľka4[[#This Row],[Datum]],"MMMM")</f>
        <v>august</v>
      </c>
    </row>
    <row r="74" spans="1:18" x14ac:dyDescent="0.3">
      <c r="A74" s="2">
        <v>46023</v>
      </c>
      <c r="B74" t="s">
        <v>175</v>
      </c>
      <c r="C74" t="s">
        <v>176</v>
      </c>
      <c r="D74" t="s">
        <v>20</v>
      </c>
      <c r="E74" t="s">
        <v>0</v>
      </c>
      <c r="F74" t="s">
        <v>43</v>
      </c>
      <c r="G74" t="s">
        <v>23</v>
      </c>
      <c r="H74" t="s">
        <v>154</v>
      </c>
      <c r="I74" t="s">
        <v>33</v>
      </c>
      <c r="J74">
        <v>7</v>
      </c>
      <c r="K74">
        <v>1531</v>
      </c>
      <c r="L74">
        <v>0.1</v>
      </c>
      <c r="M74">
        <v>10717</v>
      </c>
      <c r="N74">
        <v>6299.28</v>
      </c>
      <c r="O74">
        <v>4417.72</v>
      </c>
      <c r="P74" s="19">
        <f>Tabuľka4[[#This Row],[Zisk]]/Tabuľka4[[#This Row],[Trzba]]</f>
        <v>0.41221610525333585</v>
      </c>
      <c r="Q74">
        <v>2026</v>
      </c>
      <c r="R74" t="str">
        <f>TEXT(Tabuľka4[[#This Row],[Datum]],"MMMM")</f>
        <v>január</v>
      </c>
    </row>
    <row r="75" spans="1:18" x14ac:dyDescent="0.3">
      <c r="A75" s="2">
        <v>46045</v>
      </c>
      <c r="B75" t="s">
        <v>177</v>
      </c>
      <c r="C75" t="s">
        <v>178</v>
      </c>
      <c r="D75" t="s">
        <v>20</v>
      </c>
      <c r="E75" t="s">
        <v>21</v>
      </c>
      <c r="F75" t="s">
        <v>22</v>
      </c>
      <c r="G75" t="s">
        <v>23</v>
      </c>
      <c r="H75" t="s">
        <v>154</v>
      </c>
      <c r="I75" t="s">
        <v>63</v>
      </c>
      <c r="J75">
        <v>1</v>
      </c>
      <c r="K75">
        <v>2139</v>
      </c>
      <c r="L75">
        <v>0.15</v>
      </c>
      <c r="M75">
        <v>2139</v>
      </c>
      <c r="N75">
        <v>1396.46</v>
      </c>
      <c r="O75">
        <v>742.54</v>
      </c>
      <c r="P75" s="19">
        <f>Tabuľka4[[#This Row],[Zisk]]/Tabuľka4[[#This Row],[Trzba]]</f>
        <v>0.34714352501168771</v>
      </c>
      <c r="Q75">
        <v>2026</v>
      </c>
      <c r="R75" t="str">
        <f>TEXT(Tabuľka4[[#This Row],[Datum]],"MMMM")</f>
        <v>január</v>
      </c>
    </row>
    <row r="76" spans="1:18" x14ac:dyDescent="0.3">
      <c r="A76" s="2">
        <v>46054</v>
      </c>
      <c r="B76" t="s">
        <v>179</v>
      </c>
      <c r="C76" t="s">
        <v>180</v>
      </c>
      <c r="D76" t="s">
        <v>20</v>
      </c>
      <c r="E76" t="s">
        <v>68</v>
      </c>
      <c r="F76" t="s">
        <v>43</v>
      </c>
      <c r="G76" t="s">
        <v>23</v>
      </c>
      <c r="H76" t="s">
        <v>154</v>
      </c>
      <c r="I76" t="s">
        <v>88</v>
      </c>
      <c r="J76">
        <v>3</v>
      </c>
      <c r="K76">
        <v>2105</v>
      </c>
      <c r="L76">
        <v>0.02</v>
      </c>
      <c r="M76">
        <v>6315</v>
      </c>
      <c r="N76">
        <v>3651.47</v>
      </c>
      <c r="O76">
        <v>2663.53</v>
      </c>
      <c r="P76" s="19">
        <f>Tabuľka4[[#This Row],[Zisk]]/Tabuľka4[[#This Row],[Trzba]]</f>
        <v>0.42177830562153606</v>
      </c>
      <c r="Q76">
        <v>2026</v>
      </c>
      <c r="R76" t="str">
        <f>TEXT(Tabuľka4[[#This Row],[Datum]],"MMMM")</f>
        <v>február</v>
      </c>
    </row>
    <row r="77" spans="1:18" x14ac:dyDescent="0.3">
      <c r="A77" s="2">
        <v>46117</v>
      </c>
      <c r="B77" t="s">
        <v>181</v>
      </c>
      <c r="C77" t="s">
        <v>48</v>
      </c>
      <c r="D77" t="s">
        <v>49</v>
      </c>
      <c r="E77" t="s">
        <v>50</v>
      </c>
      <c r="F77" t="s">
        <v>58</v>
      </c>
      <c r="G77" t="s">
        <v>23</v>
      </c>
      <c r="H77" t="s">
        <v>154</v>
      </c>
      <c r="I77" t="s">
        <v>46</v>
      </c>
      <c r="J77">
        <v>8</v>
      </c>
      <c r="K77">
        <v>1703</v>
      </c>
      <c r="L77">
        <v>0.11</v>
      </c>
      <c r="M77">
        <v>13624</v>
      </c>
      <c r="N77">
        <v>6657</v>
      </c>
      <c r="O77">
        <v>6967</v>
      </c>
      <c r="P77" s="19">
        <f>Tabuľka4[[#This Row],[Zisk]]/Tabuľka4[[#This Row],[Trzba]]</f>
        <v>0.51137698179682911</v>
      </c>
      <c r="Q77">
        <v>2026</v>
      </c>
      <c r="R77" t="str">
        <f>TEXT(Tabuľka4[[#This Row],[Datum]],"MMMM")</f>
        <v>apríl</v>
      </c>
    </row>
    <row r="78" spans="1:18" x14ac:dyDescent="0.3">
      <c r="A78" s="2">
        <v>46140</v>
      </c>
      <c r="B78" t="s">
        <v>182</v>
      </c>
      <c r="C78" t="s">
        <v>183</v>
      </c>
      <c r="D78" t="s">
        <v>20</v>
      </c>
      <c r="E78" t="s">
        <v>21</v>
      </c>
      <c r="F78" t="s">
        <v>43</v>
      </c>
      <c r="G78" t="s">
        <v>23</v>
      </c>
      <c r="H78" t="s">
        <v>154</v>
      </c>
      <c r="I78" t="s">
        <v>51</v>
      </c>
      <c r="J78">
        <v>2</v>
      </c>
      <c r="K78">
        <v>1708</v>
      </c>
      <c r="L78">
        <v>0.08</v>
      </c>
      <c r="M78">
        <v>3416</v>
      </c>
      <c r="N78">
        <v>2391.2800000000002</v>
      </c>
      <c r="O78">
        <v>1024.7199999999998</v>
      </c>
      <c r="P78" s="19">
        <f>Tabuľka4[[#This Row],[Zisk]]/Tabuľka4[[#This Row],[Trzba]]</f>
        <v>0.29997658079625289</v>
      </c>
      <c r="Q78">
        <v>2026</v>
      </c>
      <c r="R78" t="str">
        <f>TEXT(Tabuľka4[[#This Row],[Datum]],"MMMM")</f>
        <v>apríl</v>
      </c>
    </row>
    <row r="79" spans="1:18" x14ac:dyDescent="0.3">
      <c r="A79" s="2">
        <v>46157</v>
      </c>
      <c r="B79" t="s">
        <v>184</v>
      </c>
      <c r="C79" t="s">
        <v>185</v>
      </c>
      <c r="D79" t="s">
        <v>49</v>
      </c>
      <c r="E79" t="s">
        <v>21</v>
      </c>
      <c r="F79" t="s">
        <v>22</v>
      </c>
      <c r="G79" t="s">
        <v>23</v>
      </c>
      <c r="H79" t="s">
        <v>154</v>
      </c>
      <c r="I79" t="s">
        <v>33</v>
      </c>
      <c r="J79">
        <v>7</v>
      </c>
      <c r="K79">
        <v>2010</v>
      </c>
      <c r="L79">
        <v>0.06</v>
      </c>
      <c r="M79">
        <v>14070</v>
      </c>
      <c r="N79">
        <v>9348.89</v>
      </c>
      <c r="O79">
        <v>4721.1100000000006</v>
      </c>
      <c r="P79" s="19">
        <f>Tabuľka4[[#This Row],[Zisk]]/Tabuľka4[[#This Row],[Trzba]]</f>
        <v>0.33554442075337604</v>
      </c>
      <c r="Q79">
        <v>2026</v>
      </c>
      <c r="R79" t="str">
        <f>TEXT(Tabuľka4[[#This Row],[Datum]],"MMMM")</f>
        <v>máj</v>
      </c>
    </row>
    <row r="80" spans="1:18" x14ac:dyDescent="0.3">
      <c r="A80" s="2">
        <v>45395</v>
      </c>
      <c r="B80" t="s">
        <v>186</v>
      </c>
      <c r="C80" t="s">
        <v>187</v>
      </c>
      <c r="D80" t="s">
        <v>20</v>
      </c>
      <c r="E80" t="s">
        <v>50</v>
      </c>
      <c r="F80" t="s">
        <v>22</v>
      </c>
      <c r="G80" t="s">
        <v>188</v>
      </c>
      <c r="H80" t="s">
        <v>189</v>
      </c>
      <c r="I80" t="s">
        <v>51</v>
      </c>
      <c r="J80">
        <v>1</v>
      </c>
      <c r="K80">
        <v>172</v>
      </c>
      <c r="L80">
        <v>0.13</v>
      </c>
      <c r="M80">
        <v>172</v>
      </c>
      <c r="N80">
        <v>110.15</v>
      </c>
      <c r="O80">
        <v>61.849999999999994</v>
      </c>
      <c r="P80" s="19">
        <f>Tabuľka4[[#This Row],[Zisk]]/Tabuľka4[[#This Row],[Trzba]]</f>
        <v>0.35959302325581394</v>
      </c>
      <c r="Q80">
        <v>2024</v>
      </c>
      <c r="R80" t="str">
        <f>TEXT(Tabuľka4[[#This Row],[Datum]],"MMMM")</f>
        <v>apríl</v>
      </c>
    </row>
    <row r="81" spans="1:18" x14ac:dyDescent="0.3">
      <c r="A81" s="2">
        <v>45678</v>
      </c>
      <c r="B81" t="s">
        <v>190</v>
      </c>
      <c r="C81" t="s">
        <v>94</v>
      </c>
      <c r="D81" t="s">
        <v>20</v>
      </c>
      <c r="E81" t="s">
        <v>0</v>
      </c>
      <c r="F81" t="s">
        <v>22</v>
      </c>
      <c r="G81" t="s">
        <v>188</v>
      </c>
      <c r="H81" t="s">
        <v>189</v>
      </c>
      <c r="I81" t="s">
        <v>38</v>
      </c>
      <c r="J81">
        <v>1</v>
      </c>
      <c r="K81">
        <v>189</v>
      </c>
      <c r="L81">
        <v>0.05</v>
      </c>
      <c r="M81">
        <v>189</v>
      </c>
      <c r="N81">
        <v>89.69</v>
      </c>
      <c r="O81">
        <v>99.31</v>
      </c>
      <c r="P81" s="19">
        <f>Tabuľka4[[#This Row],[Zisk]]/Tabuľka4[[#This Row],[Trzba]]</f>
        <v>0.5254497354497355</v>
      </c>
      <c r="Q81">
        <v>2025</v>
      </c>
      <c r="R81" t="str">
        <f>TEXT(Tabuľka4[[#This Row],[Datum]],"MMMM")</f>
        <v>január</v>
      </c>
    </row>
    <row r="82" spans="1:18" x14ac:dyDescent="0.3">
      <c r="A82" s="2">
        <v>45702</v>
      </c>
      <c r="B82" t="s">
        <v>191</v>
      </c>
      <c r="C82" t="s">
        <v>74</v>
      </c>
      <c r="D82" t="s">
        <v>49</v>
      </c>
      <c r="E82" t="s">
        <v>0</v>
      </c>
      <c r="F82" t="s">
        <v>43</v>
      </c>
      <c r="G82" t="s">
        <v>188</v>
      </c>
      <c r="H82" t="s">
        <v>189</v>
      </c>
      <c r="I82" t="s">
        <v>25</v>
      </c>
      <c r="J82">
        <v>8</v>
      </c>
      <c r="K82">
        <v>222</v>
      </c>
      <c r="L82">
        <v>0.02</v>
      </c>
      <c r="M82">
        <v>1776</v>
      </c>
      <c r="N82">
        <v>1131.0999999999999</v>
      </c>
      <c r="O82">
        <v>644.90000000000009</v>
      </c>
      <c r="P82" s="19">
        <f>Tabuľka4[[#This Row],[Zisk]]/Tabuľka4[[#This Row],[Trzba]]</f>
        <v>0.36311936936936939</v>
      </c>
      <c r="Q82">
        <v>2025</v>
      </c>
      <c r="R82" t="str">
        <f>TEXT(Tabuľka4[[#This Row],[Datum]],"MMMM")</f>
        <v>február</v>
      </c>
    </row>
    <row r="83" spans="1:18" x14ac:dyDescent="0.3">
      <c r="A83" s="2">
        <v>45710</v>
      </c>
      <c r="B83" t="s">
        <v>192</v>
      </c>
      <c r="C83" t="s">
        <v>76</v>
      </c>
      <c r="D83" t="s">
        <v>20</v>
      </c>
      <c r="E83" t="s">
        <v>21</v>
      </c>
      <c r="F83" t="s">
        <v>22</v>
      </c>
      <c r="G83" t="s">
        <v>188</v>
      </c>
      <c r="H83" t="s">
        <v>189</v>
      </c>
      <c r="I83" t="s">
        <v>46</v>
      </c>
      <c r="J83">
        <v>1</v>
      </c>
      <c r="K83">
        <v>156</v>
      </c>
      <c r="L83">
        <v>0.05</v>
      </c>
      <c r="M83">
        <v>156</v>
      </c>
      <c r="N83">
        <v>94</v>
      </c>
      <c r="O83">
        <v>62</v>
      </c>
      <c r="P83" s="19">
        <f>Tabuľka4[[#This Row],[Zisk]]/Tabuľka4[[#This Row],[Trzba]]</f>
        <v>0.39743589743589741</v>
      </c>
      <c r="Q83">
        <v>2025</v>
      </c>
      <c r="R83" t="str">
        <f>TEXT(Tabuľka4[[#This Row],[Datum]],"MMMM")</f>
        <v>február</v>
      </c>
    </row>
    <row r="84" spans="1:18" x14ac:dyDescent="0.3">
      <c r="A84" s="2">
        <v>45758</v>
      </c>
      <c r="B84" t="s">
        <v>193</v>
      </c>
      <c r="C84" t="s">
        <v>194</v>
      </c>
      <c r="D84" t="s">
        <v>20</v>
      </c>
      <c r="E84" t="s">
        <v>0</v>
      </c>
      <c r="F84" t="s">
        <v>43</v>
      </c>
      <c r="G84" t="s">
        <v>188</v>
      </c>
      <c r="H84" t="s">
        <v>189</v>
      </c>
      <c r="I84" t="s">
        <v>63</v>
      </c>
      <c r="J84">
        <v>3</v>
      </c>
      <c r="K84">
        <v>177</v>
      </c>
      <c r="L84">
        <v>0.03</v>
      </c>
      <c r="M84">
        <v>531</v>
      </c>
      <c r="N84">
        <v>341.32</v>
      </c>
      <c r="O84">
        <v>189.68</v>
      </c>
      <c r="P84" s="19">
        <f>Tabuľka4[[#This Row],[Zisk]]/Tabuľka4[[#This Row],[Trzba]]</f>
        <v>0.35721280602636535</v>
      </c>
      <c r="Q84">
        <v>2025</v>
      </c>
      <c r="R84" t="str">
        <f>TEXT(Tabuľka4[[#This Row],[Datum]],"MMMM")</f>
        <v>apríl</v>
      </c>
    </row>
    <row r="85" spans="1:18" x14ac:dyDescent="0.3">
      <c r="A85" s="2">
        <v>45916</v>
      </c>
      <c r="B85" t="s">
        <v>195</v>
      </c>
      <c r="C85" t="s">
        <v>196</v>
      </c>
      <c r="D85" t="s">
        <v>20</v>
      </c>
      <c r="E85" t="s">
        <v>0</v>
      </c>
      <c r="F85" t="s">
        <v>22</v>
      </c>
      <c r="G85" t="s">
        <v>188</v>
      </c>
      <c r="H85" t="s">
        <v>189</v>
      </c>
      <c r="I85" t="s">
        <v>63</v>
      </c>
      <c r="J85">
        <v>1</v>
      </c>
      <c r="K85">
        <v>201</v>
      </c>
      <c r="L85">
        <v>7.0000000000000007E-2</v>
      </c>
      <c r="M85">
        <v>201</v>
      </c>
      <c r="N85">
        <v>111.05</v>
      </c>
      <c r="O85">
        <v>89.95</v>
      </c>
      <c r="P85" s="19">
        <f>Tabuľka4[[#This Row],[Zisk]]/Tabuľka4[[#This Row],[Trzba]]</f>
        <v>0.4475124378109453</v>
      </c>
      <c r="Q85">
        <v>2025</v>
      </c>
      <c r="R85" t="str">
        <f>TEXT(Tabuľka4[[#This Row],[Datum]],"MMMM")</f>
        <v>september</v>
      </c>
    </row>
    <row r="86" spans="1:18" x14ac:dyDescent="0.3">
      <c r="A86" s="2">
        <v>45961</v>
      </c>
      <c r="B86" t="s">
        <v>197</v>
      </c>
      <c r="C86" t="s">
        <v>198</v>
      </c>
      <c r="D86" t="s">
        <v>20</v>
      </c>
      <c r="E86" t="s">
        <v>68</v>
      </c>
      <c r="F86" t="s">
        <v>22</v>
      </c>
      <c r="G86" t="s">
        <v>188</v>
      </c>
      <c r="H86" t="s">
        <v>189</v>
      </c>
      <c r="I86" t="s">
        <v>46</v>
      </c>
      <c r="J86">
        <v>2</v>
      </c>
      <c r="K86">
        <v>235</v>
      </c>
      <c r="L86">
        <v>0.08</v>
      </c>
      <c r="M86">
        <v>470</v>
      </c>
      <c r="N86">
        <v>293.01</v>
      </c>
      <c r="O86">
        <v>176.99</v>
      </c>
      <c r="P86" s="19">
        <f>Tabuľka4[[#This Row],[Zisk]]/Tabuľka4[[#This Row],[Trzba]]</f>
        <v>0.37657446808510642</v>
      </c>
      <c r="Q86">
        <v>2025</v>
      </c>
      <c r="R86" t="str">
        <f>TEXT(Tabuľka4[[#This Row],[Datum]],"MMMM")</f>
        <v>október</v>
      </c>
    </row>
    <row r="87" spans="1:18" x14ac:dyDescent="0.3">
      <c r="A87" s="2">
        <v>46031</v>
      </c>
      <c r="B87" t="s">
        <v>199</v>
      </c>
      <c r="C87" t="s">
        <v>96</v>
      </c>
      <c r="D87" t="s">
        <v>49</v>
      </c>
      <c r="E87" t="s">
        <v>50</v>
      </c>
      <c r="F87" t="s">
        <v>22</v>
      </c>
      <c r="G87" t="s">
        <v>188</v>
      </c>
      <c r="H87" t="s">
        <v>189</v>
      </c>
      <c r="I87" t="s">
        <v>51</v>
      </c>
      <c r="J87">
        <v>6</v>
      </c>
      <c r="K87">
        <v>230</v>
      </c>
      <c r="L87">
        <v>0.19</v>
      </c>
      <c r="M87">
        <v>1380</v>
      </c>
      <c r="N87">
        <v>813.89</v>
      </c>
      <c r="O87">
        <v>566.11</v>
      </c>
      <c r="P87" s="19">
        <f>Tabuľka4[[#This Row],[Zisk]]/Tabuľka4[[#This Row],[Trzba]]</f>
        <v>0.41022463768115941</v>
      </c>
      <c r="Q87">
        <v>2026</v>
      </c>
      <c r="R87" t="str">
        <f>TEXT(Tabuľka4[[#This Row],[Datum]],"MMMM")</f>
        <v>január</v>
      </c>
    </row>
    <row r="88" spans="1:18" x14ac:dyDescent="0.3">
      <c r="A88" s="2">
        <v>45323</v>
      </c>
      <c r="B88" t="s">
        <v>200</v>
      </c>
      <c r="C88" t="s">
        <v>201</v>
      </c>
      <c r="D88" t="s">
        <v>20</v>
      </c>
      <c r="E88" t="s">
        <v>68</v>
      </c>
      <c r="F88" t="s">
        <v>43</v>
      </c>
      <c r="G88" t="s">
        <v>23</v>
      </c>
      <c r="H88" t="s">
        <v>202</v>
      </c>
      <c r="I88" t="s">
        <v>33</v>
      </c>
      <c r="J88">
        <v>2</v>
      </c>
      <c r="K88">
        <v>8669</v>
      </c>
      <c r="L88">
        <v>0.08</v>
      </c>
      <c r="M88">
        <v>17338</v>
      </c>
      <c r="N88">
        <v>12126.27</v>
      </c>
      <c r="O88">
        <v>5211.7299999999996</v>
      </c>
      <c r="P88" s="19">
        <f>Tabuľka4[[#This Row],[Zisk]]/Tabuľka4[[#This Row],[Trzba]]</f>
        <v>0.30059580113046486</v>
      </c>
      <c r="Q88">
        <v>2024</v>
      </c>
      <c r="R88" t="str">
        <f>TEXT(Tabuľka4[[#This Row],[Datum]],"MMMM")</f>
        <v>február</v>
      </c>
    </row>
    <row r="89" spans="1:18" x14ac:dyDescent="0.3">
      <c r="A89" s="2">
        <v>45434</v>
      </c>
      <c r="B89" t="s">
        <v>203</v>
      </c>
      <c r="C89" t="s">
        <v>204</v>
      </c>
      <c r="D89" t="s">
        <v>20</v>
      </c>
      <c r="E89" t="s">
        <v>0</v>
      </c>
      <c r="F89" t="s">
        <v>22</v>
      </c>
      <c r="G89" t="s">
        <v>23</v>
      </c>
      <c r="H89" t="s">
        <v>202</v>
      </c>
      <c r="I89" t="s">
        <v>38</v>
      </c>
      <c r="J89">
        <v>1</v>
      </c>
      <c r="K89">
        <v>8948</v>
      </c>
      <c r="L89">
        <v>0.08</v>
      </c>
      <c r="M89">
        <v>8948</v>
      </c>
      <c r="N89">
        <v>5585.09</v>
      </c>
      <c r="O89">
        <v>3362.91</v>
      </c>
      <c r="P89" s="19">
        <f>Tabuľka4[[#This Row],[Zisk]]/Tabuľka4[[#This Row],[Trzba]]</f>
        <v>0.37582811801519889</v>
      </c>
      <c r="Q89">
        <v>2024</v>
      </c>
      <c r="R89" t="str">
        <f>TEXT(Tabuľka4[[#This Row],[Datum]],"MMMM")</f>
        <v>máj</v>
      </c>
    </row>
    <row r="90" spans="1:18" x14ac:dyDescent="0.3">
      <c r="A90" s="2">
        <v>45441</v>
      </c>
      <c r="B90" t="s">
        <v>205</v>
      </c>
      <c r="C90" t="s">
        <v>206</v>
      </c>
      <c r="D90" t="s">
        <v>20</v>
      </c>
      <c r="E90" t="s">
        <v>21</v>
      </c>
      <c r="F90" t="s">
        <v>22</v>
      </c>
      <c r="G90" t="s">
        <v>23</v>
      </c>
      <c r="H90" t="s">
        <v>202</v>
      </c>
      <c r="I90" t="s">
        <v>38</v>
      </c>
      <c r="J90">
        <v>3</v>
      </c>
      <c r="K90">
        <v>10489</v>
      </c>
      <c r="L90">
        <v>0</v>
      </c>
      <c r="M90">
        <v>31467</v>
      </c>
      <c r="N90">
        <v>22436.63</v>
      </c>
      <c r="O90">
        <v>9030.369999999999</v>
      </c>
      <c r="P90" s="19">
        <f>Tabuľka4[[#This Row],[Zisk]]/Tabuľka4[[#This Row],[Trzba]]</f>
        <v>0.2869790574252391</v>
      </c>
      <c r="Q90">
        <v>2024</v>
      </c>
      <c r="R90" t="str">
        <f>TEXT(Tabuľka4[[#This Row],[Datum]],"MMMM")</f>
        <v>máj</v>
      </c>
    </row>
    <row r="91" spans="1:18" x14ac:dyDescent="0.3">
      <c r="A91" s="2">
        <v>45452</v>
      </c>
      <c r="B91" t="s">
        <v>207</v>
      </c>
      <c r="C91" t="s">
        <v>208</v>
      </c>
      <c r="D91" t="s">
        <v>20</v>
      </c>
      <c r="E91" t="s">
        <v>0</v>
      </c>
      <c r="F91" t="s">
        <v>22</v>
      </c>
      <c r="G91" t="s">
        <v>23</v>
      </c>
      <c r="H91" t="s">
        <v>202</v>
      </c>
      <c r="I91" t="s">
        <v>33</v>
      </c>
      <c r="J91">
        <v>3</v>
      </c>
      <c r="K91">
        <v>8555</v>
      </c>
      <c r="L91">
        <v>0.04</v>
      </c>
      <c r="M91">
        <v>25665</v>
      </c>
      <c r="N91">
        <v>17759.22</v>
      </c>
      <c r="O91">
        <v>7905.7799999999988</v>
      </c>
      <c r="P91" s="19">
        <f>Tabuľka4[[#This Row],[Zisk]]/Tabuľka4[[#This Row],[Trzba]]</f>
        <v>0.30803740502630034</v>
      </c>
      <c r="Q91">
        <v>2024</v>
      </c>
      <c r="R91" t="str">
        <f>TEXT(Tabuľka4[[#This Row],[Datum]],"MMMM")</f>
        <v>jún</v>
      </c>
    </row>
    <row r="92" spans="1:18" x14ac:dyDescent="0.3">
      <c r="A92" s="2">
        <v>45537</v>
      </c>
      <c r="B92" t="s">
        <v>209</v>
      </c>
      <c r="C92" t="s">
        <v>210</v>
      </c>
      <c r="D92" t="s">
        <v>20</v>
      </c>
      <c r="E92" t="s">
        <v>21</v>
      </c>
      <c r="F92" t="s">
        <v>22</v>
      </c>
      <c r="G92" t="s">
        <v>23</v>
      </c>
      <c r="H92" t="s">
        <v>202</v>
      </c>
      <c r="I92" t="s">
        <v>63</v>
      </c>
      <c r="J92">
        <v>3</v>
      </c>
      <c r="K92">
        <v>8832</v>
      </c>
      <c r="L92">
        <v>0.04</v>
      </c>
      <c r="M92">
        <v>26496</v>
      </c>
      <c r="N92">
        <v>19022.919999999998</v>
      </c>
      <c r="O92">
        <v>7473.0800000000017</v>
      </c>
      <c r="P92" s="19">
        <f>Tabuľka4[[#This Row],[Zisk]]/Tabuľka4[[#This Row],[Trzba]]</f>
        <v>0.28204559178743965</v>
      </c>
      <c r="Q92">
        <v>2024</v>
      </c>
      <c r="R92" t="str">
        <f>TEXT(Tabuľka4[[#This Row],[Datum]],"MMMM")</f>
        <v>september</v>
      </c>
    </row>
    <row r="93" spans="1:18" x14ac:dyDescent="0.3">
      <c r="A93" s="2">
        <v>45582</v>
      </c>
      <c r="B93" t="s">
        <v>211</v>
      </c>
      <c r="C93" t="s">
        <v>212</v>
      </c>
      <c r="D93" t="s">
        <v>20</v>
      </c>
      <c r="E93" t="s">
        <v>68</v>
      </c>
      <c r="F93" t="s">
        <v>22</v>
      </c>
      <c r="G93" t="s">
        <v>23</v>
      </c>
      <c r="H93" t="s">
        <v>202</v>
      </c>
      <c r="I93" t="s">
        <v>88</v>
      </c>
      <c r="J93">
        <v>1</v>
      </c>
      <c r="K93">
        <v>9989</v>
      </c>
      <c r="L93">
        <v>0.06</v>
      </c>
      <c r="M93">
        <v>9989</v>
      </c>
      <c r="N93">
        <v>7151.46</v>
      </c>
      <c r="O93">
        <v>2837.54</v>
      </c>
      <c r="P93" s="19">
        <f>Tabuľka4[[#This Row],[Zisk]]/Tabuľka4[[#This Row],[Trzba]]</f>
        <v>0.28406647312043248</v>
      </c>
      <c r="Q93">
        <v>2024</v>
      </c>
      <c r="R93" t="str">
        <f>TEXT(Tabuľka4[[#This Row],[Datum]],"MMMM")</f>
        <v>október</v>
      </c>
    </row>
    <row r="94" spans="1:18" x14ac:dyDescent="0.3">
      <c r="A94" s="2">
        <v>45614</v>
      </c>
      <c r="B94" t="s">
        <v>213</v>
      </c>
      <c r="C94" t="s">
        <v>214</v>
      </c>
      <c r="D94" t="s">
        <v>20</v>
      </c>
      <c r="E94" t="s">
        <v>68</v>
      </c>
      <c r="F94" t="s">
        <v>22</v>
      </c>
      <c r="G94" t="s">
        <v>23</v>
      </c>
      <c r="H94" t="s">
        <v>202</v>
      </c>
      <c r="I94" t="s">
        <v>46</v>
      </c>
      <c r="J94">
        <v>2</v>
      </c>
      <c r="K94">
        <v>8104</v>
      </c>
      <c r="L94">
        <v>0.12</v>
      </c>
      <c r="M94">
        <v>16208</v>
      </c>
      <c r="N94">
        <v>11105.29</v>
      </c>
      <c r="O94">
        <v>5102.7099999999991</v>
      </c>
      <c r="P94" s="19">
        <f>Tabuľka4[[#This Row],[Zisk]]/Tabuľka4[[#This Row],[Trzba]]</f>
        <v>0.3148266288252714</v>
      </c>
      <c r="Q94">
        <v>2024</v>
      </c>
      <c r="R94" t="str">
        <f>TEXT(Tabuľka4[[#This Row],[Datum]],"MMMM")</f>
        <v>november</v>
      </c>
    </row>
    <row r="95" spans="1:18" x14ac:dyDescent="0.3">
      <c r="A95" s="2">
        <v>45670</v>
      </c>
      <c r="B95" t="s">
        <v>215</v>
      </c>
      <c r="C95" t="s">
        <v>96</v>
      </c>
      <c r="D95" t="s">
        <v>49</v>
      </c>
      <c r="E95" t="s">
        <v>0</v>
      </c>
      <c r="F95" t="s">
        <v>22</v>
      </c>
      <c r="G95" t="s">
        <v>23</v>
      </c>
      <c r="H95" t="s">
        <v>202</v>
      </c>
      <c r="I95" t="s">
        <v>38</v>
      </c>
      <c r="J95">
        <v>6</v>
      </c>
      <c r="K95">
        <v>5765</v>
      </c>
      <c r="L95">
        <v>0.08</v>
      </c>
      <c r="M95">
        <v>34590</v>
      </c>
      <c r="N95">
        <v>23619.62</v>
      </c>
      <c r="O95">
        <v>10970.380000000001</v>
      </c>
      <c r="P95" s="19">
        <f>Tabuľka4[[#This Row],[Zisk]]/Tabuľka4[[#This Row],[Trzba]]</f>
        <v>0.31715466897947386</v>
      </c>
      <c r="Q95">
        <v>2025</v>
      </c>
      <c r="R95" t="str">
        <f>TEXT(Tabuľka4[[#This Row],[Datum]],"MMMM")</f>
        <v>január</v>
      </c>
    </row>
    <row r="96" spans="1:18" x14ac:dyDescent="0.3">
      <c r="A96" s="2">
        <v>45688</v>
      </c>
      <c r="B96" t="s">
        <v>216</v>
      </c>
      <c r="C96" t="s">
        <v>217</v>
      </c>
      <c r="D96" t="s">
        <v>20</v>
      </c>
      <c r="E96" t="s">
        <v>0</v>
      </c>
      <c r="F96" t="s">
        <v>58</v>
      </c>
      <c r="G96" t="s">
        <v>23</v>
      </c>
      <c r="H96" t="s">
        <v>202</v>
      </c>
      <c r="I96" t="s">
        <v>30</v>
      </c>
      <c r="J96">
        <v>1</v>
      </c>
      <c r="K96">
        <v>8036</v>
      </c>
      <c r="L96">
        <v>0.06</v>
      </c>
      <c r="M96">
        <v>8036</v>
      </c>
      <c r="N96">
        <v>5971.02</v>
      </c>
      <c r="O96">
        <v>2064.9799999999996</v>
      </c>
      <c r="P96" s="19">
        <f>Tabuľka4[[#This Row],[Zisk]]/Tabuľka4[[#This Row],[Trzba]]</f>
        <v>0.25696615231458431</v>
      </c>
      <c r="Q96">
        <v>2025</v>
      </c>
      <c r="R96" t="str">
        <f>TEXT(Tabuľka4[[#This Row],[Datum]],"MMMM")</f>
        <v>január</v>
      </c>
    </row>
    <row r="97" spans="1:18" x14ac:dyDescent="0.3">
      <c r="A97" s="2">
        <v>45713</v>
      </c>
      <c r="B97" t="s">
        <v>218</v>
      </c>
      <c r="C97" t="s">
        <v>219</v>
      </c>
      <c r="D97" t="s">
        <v>20</v>
      </c>
      <c r="E97" t="s">
        <v>21</v>
      </c>
      <c r="F97" t="s">
        <v>22</v>
      </c>
      <c r="G97" t="s">
        <v>23</v>
      </c>
      <c r="H97" t="s">
        <v>202</v>
      </c>
      <c r="I97" t="s">
        <v>63</v>
      </c>
      <c r="J97">
        <v>2</v>
      </c>
      <c r="K97">
        <v>7912</v>
      </c>
      <c r="L97">
        <v>0.02</v>
      </c>
      <c r="M97">
        <v>15824</v>
      </c>
      <c r="N97">
        <v>10487.9</v>
      </c>
      <c r="O97">
        <v>5336.1</v>
      </c>
      <c r="P97" s="19">
        <f>Tabuľka4[[#This Row],[Zisk]]/Tabuľka4[[#This Row],[Trzba]]</f>
        <v>0.33721562184024267</v>
      </c>
      <c r="Q97">
        <v>2025</v>
      </c>
      <c r="R97" t="str">
        <f>TEXT(Tabuľka4[[#This Row],[Datum]],"MMMM")</f>
        <v>február</v>
      </c>
    </row>
    <row r="98" spans="1:18" x14ac:dyDescent="0.3">
      <c r="A98" s="2">
        <v>45764</v>
      </c>
      <c r="B98" t="s">
        <v>220</v>
      </c>
      <c r="C98" t="s">
        <v>185</v>
      </c>
      <c r="D98" t="s">
        <v>49</v>
      </c>
      <c r="E98" t="s">
        <v>21</v>
      </c>
      <c r="F98" t="s">
        <v>58</v>
      </c>
      <c r="G98" t="s">
        <v>23</v>
      </c>
      <c r="H98" t="s">
        <v>202</v>
      </c>
      <c r="I98" t="s">
        <v>38</v>
      </c>
      <c r="J98">
        <v>7</v>
      </c>
      <c r="K98">
        <v>9017</v>
      </c>
      <c r="L98">
        <v>0</v>
      </c>
      <c r="M98">
        <v>63119</v>
      </c>
      <c r="N98">
        <v>44515.8</v>
      </c>
      <c r="O98">
        <v>18603.199999999997</v>
      </c>
      <c r="P98" s="19">
        <f>Tabuľka4[[#This Row],[Zisk]]/Tabuľka4[[#This Row],[Trzba]]</f>
        <v>0.29473217256293666</v>
      </c>
      <c r="Q98">
        <v>2025</v>
      </c>
      <c r="R98" t="str">
        <f>TEXT(Tabuľka4[[#This Row],[Datum]],"MMMM")</f>
        <v>apríl</v>
      </c>
    </row>
    <row r="99" spans="1:18" x14ac:dyDescent="0.3">
      <c r="A99" s="2">
        <v>45820</v>
      </c>
      <c r="B99" t="s">
        <v>221</v>
      </c>
      <c r="C99" t="s">
        <v>222</v>
      </c>
      <c r="D99" t="s">
        <v>20</v>
      </c>
      <c r="E99" t="s">
        <v>21</v>
      </c>
      <c r="F99" t="s">
        <v>43</v>
      </c>
      <c r="G99" t="s">
        <v>23</v>
      </c>
      <c r="H99" t="s">
        <v>202</v>
      </c>
      <c r="I99" t="s">
        <v>51</v>
      </c>
      <c r="J99">
        <v>3</v>
      </c>
      <c r="K99">
        <v>7070</v>
      </c>
      <c r="L99">
        <v>0.13</v>
      </c>
      <c r="M99">
        <v>21210</v>
      </c>
      <c r="N99">
        <v>13234.3</v>
      </c>
      <c r="O99">
        <v>7975.7000000000007</v>
      </c>
      <c r="P99" s="19">
        <f>Tabuľka4[[#This Row],[Zisk]]/Tabuľka4[[#This Row],[Trzba]]</f>
        <v>0.37603488920320605</v>
      </c>
      <c r="Q99">
        <v>2025</v>
      </c>
      <c r="R99" t="str">
        <f>TEXT(Tabuľka4[[#This Row],[Datum]],"MMMM")</f>
        <v>jún</v>
      </c>
    </row>
    <row r="100" spans="1:18" x14ac:dyDescent="0.3">
      <c r="A100" s="2">
        <v>45890</v>
      </c>
      <c r="B100" t="s">
        <v>223</v>
      </c>
      <c r="C100" t="s">
        <v>224</v>
      </c>
      <c r="D100" t="s">
        <v>20</v>
      </c>
      <c r="E100" t="s">
        <v>68</v>
      </c>
      <c r="F100" t="s">
        <v>43</v>
      </c>
      <c r="G100" t="s">
        <v>23</v>
      </c>
      <c r="H100" t="s">
        <v>202</v>
      </c>
      <c r="I100" t="s">
        <v>88</v>
      </c>
      <c r="J100">
        <v>1</v>
      </c>
      <c r="K100">
        <v>7578</v>
      </c>
      <c r="L100">
        <v>0</v>
      </c>
      <c r="M100">
        <v>7578</v>
      </c>
      <c r="N100">
        <v>4653.2299999999996</v>
      </c>
      <c r="O100">
        <v>2924.7700000000004</v>
      </c>
      <c r="P100" s="19">
        <f>Tabuľka4[[#This Row],[Zisk]]/Tabuľka4[[#This Row],[Trzba]]</f>
        <v>0.38595539720242816</v>
      </c>
      <c r="Q100">
        <v>2025</v>
      </c>
      <c r="R100" t="str">
        <f>TEXT(Tabuľka4[[#This Row],[Datum]],"MMMM")</f>
        <v>august</v>
      </c>
    </row>
    <row r="101" spans="1:18" x14ac:dyDescent="0.3">
      <c r="A101" s="2">
        <v>46004</v>
      </c>
      <c r="B101" t="s">
        <v>225</v>
      </c>
      <c r="C101" t="s">
        <v>226</v>
      </c>
      <c r="D101" t="s">
        <v>20</v>
      </c>
      <c r="E101" t="s">
        <v>0</v>
      </c>
      <c r="F101" t="s">
        <v>22</v>
      </c>
      <c r="G101" t="s">
        <v>23</v>
      </c>
      <c r="H101" t="s">
        <v>202</v>
      </c>
      <c r="I101" t="s">
        <v>88</v>
      </c>
      <c r="J101">
        <v>2</v>
      </c>
      <c r="K101">
        <v>6313</v>
      </c>
      <c r="L101">
        <v>0.22</v>
      </c>
      <c r="M101">
        <v>12626</v>
      </c>
      <c r="N101">
        <v>7378.12</v>
      </c>
      <c r="O101">
        <v>5247.88</v>
      </c>
      <c r="P101" s="19">
        <f>Tabuľka4[[#This Row],[Zisk]]/Tabuľka4[[#This Row],[Trzba]]</f>
        <v>0.41564074132741963</v>
      </c>
      <c r="Q101">
        <v>2025</v>
      </c>
      <c r="R101" t="str">
        <f>TEXT(Tabuľka4[[#This Row],[Datum]],"MMMM")</f>
        <v>december</v>
      </c>
    </row>
    <row r="102" spans="1:18" x14ac:dyDescent="0.3">
      <c r="A102" s="2">
        <v>45341</v>
      </c>
      <c r="B102" t="s">
        <v>227</v>
      </c>
      <c r="C102" t="s">
        <v>228</v>
      </c>
      <c r="D102" t="s">
        <v>20</v>
      </c>
      <c r="E102" t="s">
        <v>68</v>
      </c>
      <c r="F102" t="s">
        <v>43</v>
      </c>
      <c r="G102" t="s">
        <v>71</v>
      </c>
      <c r="H102" t="s">
        <v>229</v>
      </c>
      <c r="I102" t="s">
        <v>33</v>
      </c>
      <c r="J102">
        <v>1</v>
      </c>
      <c r="K102">
        <v>1995</v>
      </c>
      <c r="L102">
        <v>0.1</v>
      </c>
      <c r="M102">
        <v>1995</v>
      </c>
      <c r="N102">
        <v>1527</v>
      </c>
      <c r="O102">
        <v>468</v>
      </c>
      <c r="P102" s="19">
        <f>Tabuľka4[[#This Row],[Zisk]]/Tabuľka4[[#This Row],[Trzba]]</f>
        <v>0.23458646616541354</v>
      </c>
      <c r="Q102">
        <v>2024</v>
      </c>
      <c r="R102" t="str">
        <f>TEXT(Tabuľka4[[#This Row],[Datum]],"MMMM")</f>
        <v>február</v>
      </c>
    </row>
    <row r="103" spans="1:18" x14ac:dyDescent="0.3">
      <c r="A103" s="2">
        <v>45380</v>
      </c>
      <c r="B103" t="s">
        <v>230</v>
      </c>
      <c r="C103" t="s">
        <v>158</v>
      </c>
      <c r="D103" t="s">
        <v>20</v>
      </c>
      <c r="E103" t="s">
        <v>21</v>
      </c>
      <c r="F103" t="s">
        <v>22</v>
      </c>
      <c r="G103" t="s">
        <v>71</v>
      </c>
      <c r="H103" t="s">
        <v>229</v>
      </c>
      <c r="I103" t="s">
        <v>46</v>
      </c>
      <c r="J103">
        <v>2</v>
      </c>
      <c r="K103">
        <v>2045</v>
      </c>
      <c r="L103">
        <v>0.03</v>
      </c>
      <c r="M103">
        <v>4090</v>
      </c>
      <c r="N103">
        <v>3204.09</v>
      </c>
      <c r="O103">
        <v>885.90999999999985</v>
      </c>
      <c r="P103" s="19">
        <f>Tabuľka4[[#This Row],[Zisk]]/Tabuľka4[[#This Row],[Trzba]]</f>
        <v>0.21660391198044007</v>
      </c>
      <c r="Q103">
        <v>2024</v>
      </c>
      <c r="R103" t="str">
        <f>TEXT(Tabuľka4[[#This Row],[Datum]],"MMMM")</f>
        <v>marec</v>
      </c>
    </row>
    <row r="104" spans="1:18" x14ac:dyDescent="0.3">
      <c r="A104" s="2">
        <v>45579</v>
      </c>
      <c r="B104" t="s">
        <v>231</v>
      </c>
      <c r="C104" t="s">
        <v>232</v>
      </c>
      <c r="D104" t="s">
        <v>20</v>
      </c>
      <c r="E104" t="s">
        <v>68</v>
      </c>
      <c r="F104" t="s">
        <v>43</v>
      </c>
      <c r="G104" t="s">
        <v>71</v>
      </c>
      <c r="H104" t="s">
        <v>229</v>
      </c>
      <c r="I104" t="s">
        <v>25</v>
      </c>
      <c r="J104">
        <v>1</v>
      </c>
      <c r="K104">
        <v>1175</v>
      </c>
      <c r="L104">
        <v>7.0000000000000007E-2</v>
      </c>
      <c r="M104">
        <v>1175</v>
      </c>
      <c r="N104">
        <v>932.19</v>
      </c>
      <c r="O104">
        <v>242.80999999999995</v>
      </c>
      <c r="P104" s="19">
        <f>Tabuľka4[[#This Row],[Zisk]]/Tabuľka4[[#This Row],[Trzba]]</f>
        <v>0.20664680851063824</v>
      </c>
      <c r="Q104">
        <v>2024</v>
      </c>
      <c r="R104" t="str">
        <f>TEXT(Tabuľka4[[#This Row],[Datum]],"MMMM")</f>
        <v>október</v>
      </c>
    </row>
    <row r="105" spans="1:18" x14ac:dyDescent="0.3">
      <c r="A105" s="2">
        <v>45764</v>
      </c>
      <c r="B105" t="s">
        <v>233</v>
      </c>
      <c r="C105" t="s">
        <v>96</v>
      </c>
      <c r="D105" t="s">
        <v>49</v>
      </c>
      <c r="E105" t="s">
        <v>50</v>
      </c>
      <c r="F105" t="s">
        <v>43</v>
      </c>
      <c r="G105" t="s">
        <v>71</v>
      </c>
      <c r="H105" t="s">
        <v>229</v>
      </c>
      <c r="I105" t="s">
        <v>33</v>
      </c>
      <c r="J105">
        <v>7</v>
      </c>
      <c r="K105">
        <v>1507</v>
      </c>
      <c r="L105">
        <v>0.03</v>
      </c>
      <c r="M105">
        <v>10549</v>
      </c>
      <c r="N105">
        <v>8552.2900000000009</v>
      </c>
      <c r="O105">
        <v>1996.7099999999991</v>
      </c>
      <c r="P105" s="19">
        <f>Tabuľka4[[#This Row],[Zisk]]/Tabuľka4[[#This Row],[Trzba]]</f>
        <v>0.18927955256422402</v>
      </c>
      <c r="Q105">
        <v>2025</v>
      </c>
      <c r="R105" t="str">
        <f>TEXT(Tabuľka4[[#This Row],[Datum]],"MMMM")</f>
        <v>apríl</v>
      </c>
    </row>
    <row r="106" spans="1:18" x14ac:dyDescent="0.3">
      <c r="A106" s="2">
        <v>45895</v>
      </c>
      <c r="B106" t="s">
        <v>234</v>
      </c>
      <c r="C106" t="s">
        <v>235</v>
      </c>
      <c r="D106" t="s">
        <v>49</v>
      </c>
      <c r="E106" t="s">
        <v>0</v>
      </c>
      <c r="F106" t="s">
        <v>58</v>
      </c>
      <c r="G106" t="s">
        <v>71</v>
      </c>
      <c r="H106" t="s">
        <v>229</v>
      </c>
      <c r="I106" t="s">
        <v>63</v>
      </c>
      <c r="J106">
        <v>8</v>
      </c>
      <c r="K106">
        <v>1422</v>
      </c>
      <c r="L106">
        <v>0.04</v>
      </c>
      <c r="M106">
        <v>11376</v>
      </c>
      <c r="N106">
        <v>9965.98</v>
      </c>
      <c r="O106">
        <v>1410.0200000000004</v>
      </c>
      <c r="P106" s="19">
        <f>Tabuľka4[[#This Row],[Zisk]]/Tabuľka4[[#This Row],[Trzba]]</f>
        <v>0.12394690576652606</v>
      </c>
      <c r="Q106">
        <v>2025</v>
      </c>
      <c r="R106" t="str">
        <f>TEXT(Tabuľka4[[#This Row],[Datum]],"MMMM")</f>
        <v>august</v>
      </c>
    </row>
    <row r="107" spans="1:18" x14ac:dyDescent="0.3">
      <c r="A107" s="2">
        <v>45902</v>
      </c>
      <c r="B107" t="s">
        <v>236</v>
      </c>
      <c r="C107" t="s">
        <v>237</v>
      </c>
      <c r="D107" t="s">
        <v>20</v>
      </c>
      <c r="E107" t="s">
        <v>21</v>
      </c>
      <c r="F107" t="s">
        <v>43</v>
      </c>
      <c r="G107" t="s">
        <v>71</v>
      </c>
      <c r="H107" t="s">
        <v>229</v>
      </c>
      <c r="I107" t="s">
        <v>38</v>
      </c>
      <c r="J107">
        <v>4</v>
      </c>
      <c r="K107">
        <v>1062</v>
      </c>
      <c r="L107">
        <v>0.09</v>
      </c>
      <c r="M107">
        <v>4248</v>
      </c>
      <c r="N107">
        <v>3137.25</v>
      </c>
      <c r="O107">
        <v>1110.75</v>
      </c>
      <c r="P107" s="19">
        <f>Tabuľka4[[#This Row],[Zisk]]/Tabuľka4[[#This Row],[Trzba]]</f>
        <v>0.26147598870056499</v>
      </c>
      <c r="Q107">
        <v>2025</v>
      </c>
      <c r="R107" t="str">
        <f>TEXT(Tabuľka4[[#This Row],[Datum]],"MMMM")</f>
        <v>september</v>
      </c>
    </row>
    <row r="108" spans="1:18" x14ac:dyDescent="0.3">
      <c r="A108" s="2">
        <v>46001</v>
      </c>
      <c r="B108" t="s">
        <v>238</v>
      </c>
      <c r="C108" t="s">
        <v>96</v>
      </c>
      <c r="D108" t="s">
        <v>49</v>
      </c>
      <c r="E108" t="s">
        <v>0</v>
      </c>
      <c r="F108" t="s">
        <v>43</v>
      </c>
      <c r="G108" t="s">
        <v>71</v>
      </c>
      <c r="H108" t="s">
        <v>229</v>
      </c>
      <c r="I108" t="s">
        <v>63</v>
      </c>
      <c r="J108">
        <v>8</v>
      </c>
      <c r="K108">
        <v>996</v>
      </c>
      <c r="L108">
        <v>0.15</v>
      </c>
      <c r="M108">
        <v>7968</v>
      </c>
      <c r="N108">
        <v>5316.13</v>
      </c>
      <c r="O108">
        <v>2651.87</v>
      </c>
      <c r="P108" s="19">
        <f>Tabuľka4[[#This Row],[Zisk]]/Tabuľka4[[#This Row],[Trzba]]</f>
        <v>0.33281501004016062</v>
      </c>
      <c r="Q108">
        <v>2025</v>
      </c>
      <c r="R108" t="str">
        <f>TEXT(Tabuľka4[[#This Row],[Datum]],"MMMM")</f>
        <v>december</v>
      </c>
    </row>
    <row r="109" spans="1:18" x14ac:dyDescent="0.3">
      <c r="A109" s="2">
        <v>46021</v>
      </c>
      <c r="B109" t="s">
        <v>239</v>
      </c>
      <c r="C109" t="s">
        <v>74</v>
      </c>
      <c r="D109" t="s">
        <v>49</v>
      </c>
      <c r="E109" t="s">
        <v>21</v>
      </c>
      <c r="F109" t="s">
        <v>22</v>
      </c>
      <c r="G109" t="s">
        <v>71</v>
      </c>
      <c r="H109" t="s">
        <v>229</v>
      </c>
      <c r="I109" t="s">
        <v>30</v>
      </c>
      <c r="J109">
        <v>9</v>
      </c>
      <c r="K109">
        <v>1592</v>
      </c>
      <c r="L109">
        <v>0.13</v>
      </c>
      <c r="M109">
        <v>14328</v>
      </c>
      <c r="N109">
        <v>10301.25</v>
      </c>
      <c r="O109">
        <v>4026.75</v>
      </c>
      <c r="P109" s="19">
        <f>Tabuľka4[[#This Row],[Zisk]]/Tabuľka4[[#This Row],[Trzba]]</f>
        <v>0.28104061976549416</v>
      </c>
      <c r="Q109">
        <v>2025</v>
      </c>
      <c r="R109" t="str">
        <f>TEXT(Tabuľka4[[#This Row],[Datum]],"MMMM")</f>
        <v>december</v>
      </c>
    </row>
    <row r="110" spans="1:18" x14ac:dyDescent="0.3">
      <c r="A110" s="2">
        <v>46024</v>
      </c>
      <c r="B110" t="s">
        <v>240</v>
      </c>
      <c r="C110" t="s">
        <v>241</v>
      </c>
      <c r="D110" t="s">
        <v>20</v>
      </c>
      <c r="E110" t="s">
        <v>68</v>
      </c>
      <c r="F110" t="s">
        <v>22</v>
      </c>
      <c r="G110" t="s">
        <v>71</v>
      </c>
      <c r="H110" t="s">
        <v>229</v>
      </c>
      <c r="I110" t="s">
        <v>30</v>
      </c>
      <c r="J110">
        <v>2</v>
      </c>
      <c r="K110">
        <v>1226</v>
      </c>
      <c r="L110">
        <v>0.16</v>
      </c>
      <c r="M110">
        <v>2452</v>
      </c>
      <c r="N110">
        <v>1668.89</v>
      </c>
      <c r="O110">
        <v>783.1099999999999</v>
      </c>
      <c r="P110" s="19">
        <f>Tabuľka4[[#This Row],[Zisk]]/Tabuľka4[[#This Row],[Trzba]]</f>
        <v>0.31937601957585643</v>
      </c>
      <c r="Q110">
        <v>2026</v>
      </c>
      <c r="R110" t="str">
        <f>TEXT(Tabuľka4[[#This Row],[Datum]],"MMMM")</f>
        <v>január</v>
      </c>
    </row>
    <row r="111" spans="1:18" x14ac:dyDescent="0.3">
      <c r="A111" s="2">
        <v>46108</v>
      </c>
      <c r="B111" t="s">
        <v>242</v>
      </c>
      <c r="C111" t="s">
        <v>243</v>
      </c>
      <c r="D111" t="s">
        <v>20</v>
      </c>
      <c r="E111" t="s">
        <v>0</v>
      </c>
      <c r="F111" t="s">
        <v>22</v>
      </c>
      <c r="G111" t="s">
        <v>71</v>
      </c>
      <c r="H111" t="s">
        <v>229</v>
      </c>
      <c r="I111" t="s">
        <v>88</v>
      </c>
      <c r="J111">
        <v>2</v>
      </c>
      <c r="K111">
        <v>1955</v>
      </c>
      <c r="L111">
        <v>0.08</v>
      </c>
      <c r="M111">
        <v>3910</v>
      </c>
      <c r="N111">
        <v>2845.23</v>
      </c>
      <c r="O111">
        <v>1064.77</v>
      </c>
      <c r="P111" s="19">
        <f>Tabuľka4[[#This Row],[Zisk]]/Tabuľka4[[#This Row],[Trzba]]</f>
        <v>0.27231969309462917</v>
      </c>
      <c r="Q111">
        <v>2026</v>
      </c>
      <c r="R111" t="str">
        <f>TEXT(Tabuľka4[[#This Row],[Datum]],"MMMM")</f>
        <v>marec</v>
      </c>
    </row>
    <row r="112" spans="1:18" x14ac:dyDescent="0.3">
      <c r="A112" s="2">
        <v>46130</v>
      </c>
      <c r="B112" t="s">
        <v>244</v>
      </c>
      <c r="C112" t="s">
        <v>245</v>
      </c>
      <c r="D112" t="s">
        <v>20</v>
      </c>
      <c r="E112" t="s">
        <v>0</v>
      </c>
      <c r="F112" t="s">
        <v>22</v>
      </c>
      <c r="G112" t="s">
        <v>71</v>
      </c>
      <c r="H112" t="s">
        <v>229</v>
      </c>
      <c r="I112" t="s">
        <v>38</v>
      </c>
      <c r="J112">
        <v>3</v>
      </c>
      <c r="K112">
        <v>1510</v>
      </c>
      <c r="L112">
        <v>0</v>
      </c>
      <c r="M112">
        <v>4530</v>
      </c>
      <c r="N112">
        <v>3787.29</v>
      </c>
      <c r="O112">
        <v>742.71</v>
      </c>
      <c r="P112" s="19">
        <f>Tabuľka4[[#This Row],[Zisk]]/Tabuľka4[[#This Row],[Trzba]]</f>
        <v>0.16395364238410598</v>
      </c>
      <c r="Q112">
        <v>2026</v>
      </c>
      <c r="R112" t="str">
        <f>TEXT(Tabuľka4[[#This Row],[Datum]],"MMMM")</f>
        <v>apríl</v>
      </c>
    </row>
    <row r="113" spans="1:18" x14ac:dyDescent="0.3">
      <c r="A113" s="2">
        <v>45334</v>
      </c>
      <c r="B113" t="s">
        <v>246</v>
      </c>
      <c r="C113" t="s">
        <v>247</v>
      </c>
      <c r="D113" t="s">
        <v>20</v>
      </c>
      <c r="E113" t="s">
        <v>21</v>
      </c>
      <c r="F113" t="s">
        <v>43</v>
      </c>
      <c r="G113" t="s">
        <v>23</v>
      </c>
      <c r="H113" t="s">
        <v>248</v>
      </c>
      <c r="I113" t="s">
        <v>33</v>
      </c>
      <c r="J113">
        <v>3</v>
      </c>
      <c r="K113">
        <v>41</v>
      </c>
      <c r="L113">
        <v>0.05</v>
      </c>
      <c r="M113">
        <v>123</v>
      </c>
      <c r="N113">
        <v>67.42</v>
      </c>
      <c r="O113">
        <v>55.58</v>
      </c>
      <c r="P113" s="19">
        <f>Tabuľka4[[#This Row],[Zisk]]/Tabuľka4[[#This Row],[Trzba]]</f>
        <v>0.45186991869918697</v>
      </c>
      <c r="Q113">
        <v>2024</v>
      </c>
      <c r="R113" t="str">
        <f>TEXT(Tabuľka4[[#This Row],[Datum]],"MMMM")</f>
        <v>február</v>
      </c>
    </row>
    <row r="114" spans="1:18" x14ac:dyDescent="0.3">
      <c r="A114" s="2">
        <v>45398</v>
      </c>
      <c r="B114" t="s">
        <v>249</v>
      </c>
      <c r="C114" t="s">
        <v>92</v>
      </c>
      <c r="D114" t="s">
        <v>20</v>
      </c>
      <c r="E114" t="s">
        <v>68</v>
      </c>
      <c r="F114" t="s">
        <v>22</v>
      </c>
      <c r="G114" t="s">
        <v>23</v>
      </c>
      <c r="H114" t="s">
        <v>248</v>
      </c>
      <c r="I114" t="s">
        <v>33</v>
      </c>
      <c r="J114">
        <v>5</v>
      </c>
      <c r="K114">
        <v>50</v>
      </c>
      <c r="L114">
        <v>0</v>
      </c>
      <c r="M114">
        <v>250</v>
      </c>
      <c r="N114">
        <v>168.32</v>
      </c>
      <c r="O114">
        <v>81.680000000000007</v>
      </c>
      <c r="P114" s="19">
        <f>Tabuľka4[[#This Row],[Zisk]]/Tabuľka4[[#This Row],[Trzba]]</f>
        <v>0.32672000000000001</v>
      </c>
      <c r="Q114">
        <v>2024</v>
      </c>
      <c r="R114" t="str">
        <f>TEXT(Tabuľka4[[#This Row],[Datum]],"MMMM")</f>
        <v>apríl</v>
      </c>
    </row>
    <row r="115" spans="1:18" x14ac:dyDescent="0.3">
      <c r="A115" s="2">
        <v>45423</v>
      </c>
      <c r="B115" t="s">
        <v>250</v>
      </c>
      <c r="C115" t="s">
        <v>251</v>
      </c>
      <c r="D115" t="s">
        <v>20</v>
      </c>
      <c r="E115" t="s">
        <v>21</v>
      </c>
      <c r="F115" t="s">
        <v>22</v>
      </c>
      <c r="G115" t="s">
        <v>23</v>
      </c>
      <c r="H115" t="s">
        <v>248</v>
      </c>
      <c r="I115" t="s">
        <v>88</v>
      </c>
      <c r="J115">
        <v>3</v>
      </c>
      <c r="K115">
        <v>44</v>
      </c>
      <c r="L115">
        <v>0</v>
      </c>
      <c r="M115">
        <v>132</v>
      </c>
      <c r="N115">
        <v>103.01</v>
      </c>
      <c r="O115">
        <v>28.989999999999995</v>
      </c>
      <c r="P115" s="19">
        <f>Tabuľka4[[#This Row],[Zisk]]/Tabuľka4[[#This Row],[Trzba]]</f>
        <v>0.21962121212121208</v>
      </c>
      <c r="Q115">
        <v>2024</v>
      </c>
      <c r="R115" t="str">
        <f>TEXT(Tabuľka4[[#This Row],[Datum]],"MMMM")</f>
        <v>máj</v>
      </c>
    </row>
    <row r="116" spans="1:18" x14ac:dyDescent="0.3">
      <c r="A116" s="2">
        <v>45463</v>
      </c>
      <c r="B116" t="s">
        <v>252</v>
      </c>
      <c r="C116" t="s">
        <v>60</v>
      </c>
      <c r="D116" t="s">
        <v>20</v>
      </c>
      <c r="E116" t="s">
        <v>21</v>
      </c>
      <c r="F116" t="s">
        <v>43</v>
      </c>
      <c r="G116" t="s">
        <v>23</v>
      </c>
      <c r="H116" t="s">
        <v>248</v>
      </c>
      <c r="I116" t="s">
        <v>63</v>
      </c>
      <c r="J116">
        <v>2</v>
      </c>
      <c r="K116">
        <v>30</v>
      </c>
      <c r="L116">
        <v>0.14000000000000001</v>
      </c>
      <c r="M116">
        <v>60</v>
      </c>
      <c r="N116">
        <v>66.13</v>
      </c>
      <c r="O116">
        <v>-6.1299999999999955</v>
      </c>
      <c r="P116" s="19">
        <f>Tabuľka4[[#This Row],[Zisk]]/Tabuľka4[[#This Row],[Trzba]]</f>
        <v>-0.10216666666666659</v>
      </c>
      <c r="Q116">
        <v>2024</v>
      </c>
      <c r="R116" t="str">
        <f>TEXT(Tabuľka4[[#This Row],[Datum]],"MMMM")</f>
        <v>jún</v>
      </c>
    </row>
    <row r="117" spans="1:18" x14ac:dyDescent="0.3">
      <c r="A117" s="2">
        <v>45466</v>
      </c>
      <c r="B117" t="s">
        <v>253</v>
      </c>
      <c r="C117" t="s">
        <v>254</v>
      </c>
      <c r="D117" t="s">
        <v>20</v>
      </c>
      <c r="E117" t="s">
        <v>0</v>
      </c>
      <c r="F117" t="s">
        <v>22</v>
      </c>
      <c r="G117" t="s">
        <v>23</v>
      </c>
      <c r="H117" t="s">
        <v>248</v>
      </c>
      <c r="I117" t="s">
        <v>46</v>
      </c>
      <c r="J117">
        <v>5</v>
      </c>
      <c r="K117">
        <v>40</v>
      </c>
      <c r="L117">
        <v>0.11</v>
      </c>
      <c r="M117">
        <v>200</v>
      </c>
      <c r="N117">
        <v>133.12</v>
      </c>
      <c r="O117">
        <v>66.88</v>
      </c>
      <c r="P117" s="19">
        <f>Tabuľka4[[#This Row],[Zisk]]/Tabuľka4[[#This Row],[Trzba]]</f>
        <v>0.33439999999999998</v>
      </c>
      <c r="Q117">
        <v>2024</v>
      </c>
      <c r="R117" t="str">
        <f>TEXT(Tabuľka4[[#This Row],[Datum]],"MMMM")</f>
        <v>jún</v>
      </c>
    </row>
    <row r="118" spans="1:18" x14ac:dyDescent="0.3">
      <c r="A118" s="2">
        <v>45599</v>
      </c>
      <c r="B118" t="s">
        <v>255</v>
      </c>
      <c r="C118" t="s">
        <v>40</v>
      </c>
      <c r="D118" t="s">
        <v>20</v>
      </c>
      <c r="E118" t="s">
        <v>0</v>
      </c>
      <c r="F118" t="s">
        <v>22</v>
      </c>
      <c r="G118" t="s">
        <v>23</v>
      </c>
      <c r="H118" t="s">
        <v>248</v>
      </c>
      <c r="I118" t="s">
        <v>63</v>
      </c>
      <c r="J118">
        <v>3</v>
      </c>
      <c r="K118">
        <v>48</v>
      </c>
      <c r="L118">
        <v>0.09</v>
      </c>
      <c r="M118">
        <v>144</v>
      </c>
      <c r="N118">
        <v>93.93</v>
      </c>
      <c r="O118">
        <v>50.069999999999993</v>
      </c>
      <c r="P118" s="19">
        <f>Tabuľka4[[#This Row],[Zisk]]/Tabuľka4[[#This Row],[Trzba]]</f>
        <v>0.34770833333333329</v>
      </c>
      <c r="Q118">
        <v>2024</v>
      </c>
      <c r="R118" t="str">
        <f>TEXT(Tabuľka4[[#This Row],[Datum]],"MMMM")</f>
        <v>november</v>
      </c>
    </row>
    <row r="119" spans="1:18" x14ac:dyDescent="0.3">
      <c r="A119" s="2">
        <v>45604</v>
      </c>
      <c r="B119" t="s">
        <v>256</v>
      </c>
      <c r="C119" t="s">
        <v>257</v>
      </c>
      <c r="D119" t="s">
        <v>20</v>
      </c>
      <c r="E119" t="s">
        <v>68</v>
      </c>
      <c r="F119" t="s">
        <v>43</v>
      </c>
      <c r="G119" t="s">
        <v>23</v>
      </c>
      <c r="H119" t="s">
        <v>248</v>
      </c>
      <c r="I119" t="s">
        <v>51</v>
      </c>
      <c r="J119">
        <v>1</v>
      </c>
      <c r="K119">
        <v>30</v>
      </c>
      <c r="L119">
        <v>0.05</v>
      </c>
      <c r="M119">
        <v>30</v>
      </c>
      <c r="N119">
        <v>38.86</v>
      </c>
      <c r="O119">
        <v>-8.86</v>
      </c>
      <c r="P119" s="19">
        <f>Tabuľka4[[#This Row],[Zisk]]/Tabuľka4[[#This Row],[Trzba]]</f>
        <v>-0.29533333333333334</v>
      </c>
      <c r="Q119">
        <v>2024</v>
      </c>
      <c r="R119" t="str">
        <f>TEXT(Tabuľka4[[#This Row],[Datum]],"MMMM")</f>
        <v>november</v>
      </c>
    </row>
    <row r="120" spans="1:18" x14ac:dyDescent="0.3">
      <c r="A120" s="2">
        <v>45645</v>
      </c>
      <c r="B120" t="s">
        <v>258</v>
      </c>
      <c r="C120" t="s">
        <v>74</v>
      </c>
      <c r="D120" t="s">
        <v>49</v>
      </c>
      <c r="E120" t="s">
        <v>21</v>
      </c>
      <c r="F120" t="s">
        <v>58</v>
      </c>
      <c r="G120" t="s">
        <v>23</v>
      </c>
      <c r="H120" t="s">
        <v>248</v>
      </c>
      <c r="I120" t="s">
        <v>38</v>
      </c>
      <c r="J120">
        <v>9</v>
      </c>
      <c r="K120">
        <v>30</v>
      </c>
      <c r="L120">
        <v>0.11</v>
      </c>
      <c r="M120">
        <v>270</v>
      </c>
      <c r="N120">
        <v>284.01</v>
      </c>
      <c r="O120">
        <v>-14.009999999999991</v>
      </c>
      <c r="P120" s="19">
        <f>Tabuľka4[[#This Row],[Zisk]]/Tabuľka4[[#This Row],[Trzba]]</f>
        <v>-5.1888888888888852E-2</v>
      </c>
      <c r="Q120">
        <v>2024</v>
      </c>
      <c r="R120" t="str">
        <f>TEXT(Tabuľka4[[#This Row],[Datum]],"MMMM")</f>
        <v>december</v>
      </c>
    </row>
    <row r="121" spans="1:18" x14ac:dyDescent="0.3">
      <c r="A121" s="2">
        <v>45678</v>
      </c>
      <c r="B121" t="s">
        <v>259</v>
      </c>
      <c r="C121" t="s">
        <v>74</v>
      </c>
      <c r="D121" t="s">
        <v>49</v>
      </c>
      <c r="E121" t="s">
        <v>0</v>
      </c>
      <c r="F121" t="s">
        <v>43</v>
      </c>
      <c r="G121" t="s">
        <v>23</v>
      </c>
      <c r="H121" t="s">
        <v>248</v>
      </c>
      <c r="I121" t="s">
        <v>33</v>
      </c>
      <c r="J121">
        <v>9</v>
      </c>
      <c r="K121">
        <v>25</v>
      </c>
      <c r="L121">
        <v>0.06</v>
      </c>
      <c r="M121">
        <v>225</v>
      </c>
      <c r="N121">
        <v>174.06</v>
      </c>
      <c r="O121">
        <v>50.94</v>
      </c>
      <c r="P121" s="19">
        <f>Tabuľka4[[#This Row],[Zisk]]/Tabuľka4[[#This Row],[Trzba]]</f>
        <v>0.22639999999999999</v>
      </c>
      <c r="Q121">
        <v>2025</v>
      </c>
      <c r="R121" t="str">
        <f>TEXT(Tabuľka4[[#This Row],[Datum]],"MMMM")</f>
        <v>január</v>
      </c>
    </row>
    <row r="122" spans="1:18" x14ac:dyDescent="0.3">
      <c r="A122" s="2">
        <v>45720</v>
      </c>
      <c r="B122" t="s">
        <v>260</v>
      </c>
      <c r="C122" t="s">
        <v>261</v>
      </c>
      <c r="D122" t="s">
        <v>20</v>
      </c>
      <c r="E122" t="s">
        <v>21</v>
      </c>
      <c r="F122" t="s">
        <v>22</v>
      </c>
      <c r="G122" t="s">
        <v>23</v>
      </c>
      <c r="H122" t="s">
        <v>248</v>
      </c>
      <c r="I122" t="s">
        <v>30</v>
      </c>
      <c r="J122">
        <v>1</v>
      </c>
      <c r="K122">
        <v>29</v>
      </c>
      <c r="L122">
        <v>0.02</v>
      </c>
      <c r="M122">
        <v>29</v>
      </c>
      <c r="N122">
        <v>21.31</v>
      </c>
      <c r="O122">
        <v>7.6900000000000013</v>
      </c>
      <c r="P122" s="19">
        <f>Tabuľka4[[#This Row],[Zisk]]/Tabuľka4[[#This Row],[Trzba]]</f>
        <v>0.26517241379310347</v>
      </c>
      <c r="Q122">
        <v>2025</v>
      </c>
      <c r="R122" t="str">
        <f>TEXT(Tabuľka4[[#This Row],[Datum]],"MMMM")</f>
        <v>marec</v>
      </c>
    </row>
    <row r="123" spans="1:18" x14ac:dyDescent="0.3">
      <c r="A123" s="2">
        <v>45821</v>
      </c>
      <c r="B123" t="s">
        <v>262</v>
      </c>
      <c r="C123" t="s">
        <v>263</v>
      </c>
      <c r="D123" t="s">
        <v>20</v>
      </c>
      <c r="E123" t="s">
        <v>68</v>
      </c>
      <c r="F123" t="s">
        <v>22</v>
      </c>
      <c r="G123" t="s">
        <v>23</v>
      </c>
      <c r="H123" t="s">
        <v>248</v>
      </c>
      <c r="I123" t="s">
        <v>46</v>
      </c>
      <c r="J123">
        <v>1</v>
      </c>
      <c r="K123">
        <v>41</v>
      </c>
      <c r="L123">
        <v>7.0000000000000007E-2</v>
      </c>
      <c r="M123">
        <v>41</v>
      </c>
      <c r="N123">
        <v>24.73</v>
      </c>
      <c r="O123">
        <v>16.27</v>
      </c>
      <c r="P123" s="19">
        <f>Tabuľka4[[#This Row],[Zisk]]/Tabuľka4[[#This Row],[Trzba]]</f>
        <v>0.39682926829268289</v>
      </c>
      <c r="Q123">
        <v>2025</v>
      </c>
      <c r="R123" t="str">
        <f>TEXT(Tabuľka4[[#This Row],[Datum]],"MMMM")</f>
        <v>jún</v>
      </c>
    </row>
    <row r="124" spans="1:18" x14ac:dyDescent="0.3">
      <c r="A124" s="2">
        <v>46006</v>
      </c>
      <c r="B124" t="s">
        <v>264</v>
      </c>
      <c r="C124" t="s">
        <v>206</v>
      </c>
      <c r="D124" t="s">
        <v>20</v>
      </c>
      <c r="E124" t="s">
        <v>21</v>
      </c>
      <c r="F124" t="s">
        <v>43</v>
      </c>
      <c r="G124" t="s">
        <v>23</v>
      </c>
      <c r="H124" t="s">
        <v>248</v>
      </c>
      <c r="I124" t="s">
        <v>30</v>
      </c>
      <c r="J124">
        <v>1</v>
      </c>
      <c r="K124">
        <v>48</v>
      </c>
      <c r="L124">
        <v>0.14000000000000001</v>
      </c>
      <c r="M124">
        <v>48</v>
      </c>
      <c r="N124">
        <v>30.2</v>
      </c>
      <c r="O124">
        <v>17.8</v>
      </c>
      <c r="P124" s="19">
        <f>Tabuľka4[[#This Row],[Zisk]]/Tabuľka4[[#This Row],[Trzba]]</f>
        <v>0.37083333333333335</v>
      </c>
      <c r="Q124">
        <v>2025</v>
      </c>
      <c r="R124" t="str">
        <f>TEXT(Tabuľka4[[#This Row],[Datum]],"MMMM")</f>
        <v>december</v>
      </c>
    </row>
    <row r="125" spans="1:18" x14ac:dyDescent="0.3">
      <c r="A125" s="2">
        <v>46125</v>
      </c>
      <c r="B125" t="s">
        <v>265</v>
      </c>
      <c r="C125" t="s">
        <v>266</v>
      </c>
      <c r="D125" t="s">
        <v>20</v>
      </c>
      <c r="E125" t="s">
        <v>0</v>
      </c>
      <c r="F125" t="s">
        <v>22</v>
      </c>
      <c r="G125" t="s">
        <v>23</v>
      </c>
      <c r="H125" t="s">
        <v>248</v>
      </c>
      <c r="I125" t="s">
        <v>30</v>
      </c>
      <c r="J125">
        <v>8</v>
      </c>
      <c r="K125">
        <v>25</v>
      </c>
      <c r="L125">
        <v>0.13</v>
      </c>
      <c r="M125">
        <v>200</v>
      </c>
      <c r="N125">
        <v>282.74</v>
      </c>
      <c r="O125">
        <v>-82.740000000000009</v>
      </c>
      <c r="P125" s="19">
        <f>Tabuľka4[[#This Row],[Zisk]]/Tabuľka4[[#This Row],[Trzba]]</f>
        <v>-0.41370000000000007</v>
      </c>
      <c r="Q125">
        <v>2026</v>
      </c>
      <c r="R125" t="str">
        <f>TEXT(Tabuľka4[[#This Row],[Datum]],"MMMM")</f>
        <v>apríl</v>
      </c>
    </row>
    <row r="126" spans="1:18" x14ac:dyDescent="0.3">
      <c r="A126" s="2">
        <v>46172</v>
      </c>
      <c r="B126" t="s">
        <v>267</v>
      </c>
      <c r="C126" t="s">
        <v>268</v>
      </c>
      <c r="D126" t="s">
        <v>20</v>
      </c>
      <c r="E126" t="s">
        <v>0</v>
      </c>
      <c r="F126" t="s">
        <v>22</v>
      </c>
      <c r="G126" t="s">
        <v>23</v>
      </c>
      <c r="H126" t="s">
        <v>248</v>
      </c>
      <c r="I126" t="s">
        <v>30</v>
      </c>
      <c r="J126">
        <v>4</v>
      </c>
      <c r="K126">
        <v>25</v>
      </c>
      <c r="L126">
        <v>0.14000000000000001</v>
      </c>
      <c r="M126">
        <v>100</v>
      </c>
      <c r="N126">
        <v>98.07</v>
      </c>
      <c r="O126">
        <v>1.9300000000000068</v>
      </c>
      <c r="P126" s="19">
        <f>Tabuľka4[[#This Row],[Zisk]]/Tabuľka4[[#This Row],[Trzba]]</f>
        <v>1.9300000000000067E-2</v>
      </c>
      <c r="Q126">
        <v>2026</v>
      </c>
      <c r="R126" t="str">
        <f>TEXT(Tabuľka4[[#This Row],[Datum]],"MMMM")</f>
        <v>máj</v>
      </c>
    </row>
    <row r="127" spans="1:18" x14ac:dyDescent="0.3">
      <c r="A127" s="2">
        <v>45304</v>
      </c>
      <c r="B127" t="s">
        <v>269</v>
      </c>
      <c r="C127" t="s">
        <v>270</v>
      </c>
      <c r="D127" t="s">
        <v>20</v>
      </c>
      <c r="E127" t="s">
        <v>21</v>
      </c>
      <c r="F127" t="s">
        <v>22</v>
      </c>
      <c r="G127" t="s">
        <v>86</v>
      </c>
      <c r="H127" t="s">
        <v>271</v>
      </c>
      <c r="I127" t="s">
        <v>88</v>
      </c>
      <c r="J127">
        <v>4</v>
      </c>
      <c r="K127">
        <v>384</v>
      </c>
      <c r="L127">
        <v>0.04</v>
      </c>
      <c r="M127">
        <v>1536</v>
      </c>
      <c r="N127">
        <v>803.12</v>
      </c>
      <c r="O127">
        <v>732.88</v>
      </c>
      <c r="P127" s="19">
        <f>Tabuľka4[[#This Row],[Zisk]]/Tabuľka4[[#This Row],[Trzba]]</f>
        <v>0.47713541666666665</v>
      </c>
      <c r="Q127">
        <v>2024</v>
      </c>
      <c r="R127" t="str">
        <f>TEXT(Tabuľka4[[#This Row],[Datum]],"MMMM")</f>
        <v>január</v>
      </c>
    </row>
    <row r="128" spans="1:18" x14ac:dyDescent="0.3">
      <c r="A128" s="2">
        <v>45317</v>
      </c>
      <c r="B128" t="s">
        <v>272</v>
      </c>
      <c r="C128" t="s">
        <v>273</v>
      </c>
      <c r="D128" t="s">
        <v>20</v>
      </c>
      <c r="E128" t="s">
        <v>0</v>
      </c>
      <c r="F128" t="s">
        <v>22</v>
      </c>
      <c r="G128" t="s">
        <v>86</v>
      </c>
      <c r="H128" t="s">
        <v>271</v>
      </c>
      <c r="I128" t="s">
        <v>30</v>
      </c>
      <c r="J128">
        <v>6</v>
      </c>
      <c r="K128">
        <v>334</v>
      </c>
      <c r="L128">
        <v>0.2</v>
      </c>
      <c r="M128">
        <v>2004</v>
      </c>
      <c r="N128">
        <v>990.79</v>
      </c>
      <c r="O128">
        <v>1013.21</v>
      </c>
      <c r="P128" s="19">
        <f>Tabuľka4[[#This Row],[Zisk]]/Tabuľka4[[#This Row],[Trzba]]</f>
        <v>0.50559381237524947</v>
      </c>
      <c r="Q128">
        <v>2024</v>
      </c>
      <c r="R128" t="str">
        <f>TEXT(Tabuľka4[[#This Row],[Datum]],"MMMM")</f>
        <v>január</v>
      </c>
    </row>
    <row r="129" spans="1:18" x14ac:dyDescent="0.3">
      <c r="A129" s="2">
        <v>45374</v>
      </c>
      <c r="B129" t="s">
        <v>274</v>
      </c>
      <c r="C129" t="s">
        <v>74</v>
      </c>
      <c r="D129" t="s">
        <v>49</v>
      </c>
      <c r="E129" t="s">
        <v>50</v>
      </c>
      <c r="F129" t="s">
        <v>43</v>
      </c>
      <c r="G129" t="s">
        <v>86</v>
      </c>
      <c r="H129" t="s">
        <v>271</v>
      </c>
      <c r="I129" t="s">
        <v>46</v>
      </c>
      <c r="J129">
        <v>8</v>
      </c>
      <c r="K129">
        <v>255</v>
      </c>
      <c r="L129">
        <v>0.08</v>
      </c>
      <c r="M129">
        <v>2040</v>
      </c>
      <c r="N129">
        <v>1290.26</v>
      </c>
      <c r="O129">
        <v>749.74</v>
      </c>
      <c r="P129" s="19">
        <f>Tabuľka4[[#This Row],[Zisk]]/Tabuľka4[[#This Row],[Trzba]]</f>
        <v>0.36751960784313725</v>
      </c>
      <c r="Q129">
        <v>2024</v>
      </c>
      <c r="R129" t="str">
        <f>TEXT(Tabuľka4[[#This Row],[Datum]],"MMMM")</f>
        <v>marec</v>
      </c>
    </row>
    <row r="130" spans="1:18" x14ac:dyDescent="0.3">
      <c r="A130" s="2">
        <v>45452</v>
      </c>
      <c r="B130" t="s">
        <v>275</v>
      </c>
      <c r="C130" t="s">
        <v>276</v>
      </c>
      <c r="D130" t="s">
        <v>20</v>
      </c>
      <c r="E130" t="s">
        <v>21</v>
      </c>
      <c r="F130" t="s">
        <v>22</v>
      </c>
      <c r="G130" t="s">
        <v>86</v>
      </c>
      <c r="H130" t="s">
        <v>271</v>
      </c>
      <c r="I130" t="s">
        <v>38</v>
      </c>
      <c r="J130">
        <v>2</v>
      </c>
      <c r="K130">
        <v>397</v>
      </c>
      <c r="L130">
        <v>0.11</v>
      </c>
      <c r="M130">
        <v>794</v>
      </c>
      <c r="N130">
        <v>494.07</v>
      </c>
      <c r="O130">
        <v>299.93</v>
      </c>
      <c r="P130" s="19">
        <f>Tabuľka4[[#This Row],[Zisk]]/Tabuľka4[[#This Row],[Trzba]]</f>
        <v>0.3777455919395466</v>
      </c>
      <c r="Q130">
        <v>2024</v>
      </c>
      <c r="R130" t="str">
        <f>TEXT(Tabuľka4[[#This Row],[Datum]],"MMMM")</f>
        <v>jún</v>
      </c>
    </row>
    <row r="131" spans="1:18" x14ac:dyDescent="0.3">
      <c r="A131" s="2">
        <v>45474</v>
      </c>
      <c r="B131" t="s">
        <v>277</v>
      </c>
      <c r="C131" t="s">
        <v>278</v>
      </c>
      <c r="D131" t="s">
        <v>20</v>
      </c>
      <c r="E131" t="s">
        <v>0</v>
      </c>
      <c r="F131" t="s">
        <v>22</v>
      </c>
      <c r="G131" t="s">
        <v>86</v>
      </c>
      <c r="H131" t="s">
        <v>271</v>
      </c>
      <c r="I131" t="s">
        <v>33</v>
      </c>
      <c r="J131">
        <v>4</v>
      </c>
      <c r="K131">
        <v>525</v>
      </c>
      <c r="L131">
        <v>0.08</v>
      </c>
      <c r="M131">
        <v>2100</v>
      </c>
      <c r="N131">
        <v>1399.21</v>
      </c>
      <c r="O131">
        <v>700.79</v>
      </c>
      <c r="P131" s="19">
        <f>Tabuľka4[[#This Row],[Zisk]]/Tabuľka4[[#This Row],[Trzba]]</f>
        <v>0.33370952380952379</v>
      </c>
      <c r="Q131">
        <v>2024</v>
      </c>
      <c r="R131" t="str">
        <f>TEXT(Tabuľka4[[#This Row],[Datum]],"MMMM")</f>
        <v>júl</v>
      </c>
    </row>
    <row r="132" spans="1:18" x14ac:dyDescent="0.3">
      <c r="A132" s="2">
        <v>45625</v>
      </c>
      <c r="B132" t="s">
        <v>279</v>
      </c>
      <c r="C132" t="s">
        <v>280</v>
      </c>
      <c r="D132" t="s">
        <v>20</v>
      </c>
      <c r="E132" t="s">
        <v>68</v>
      </c>
      <c r="F132" t="s">
        <v>22</v>
      </c>
      <c r="G132" t="s">
        <v>86</v>
      </c>
      <c r="H132" t="s">
        <v>271</v>
      </c>
      <c r="I132" t="s">
        <v>51</v>
      </c>
      <c r="J132">
        <v>4</v>
      </c>
      <c r="K132">
        <v>350</v>
      </c>
      <c r="L132">
        <v>0.08</v>
      </c>
      <c r="M132">
        <v>1400</v>
      </c>
      <c r="N132">
        <v>848.09</v>
      </c>
      <c r="O132">
        <v>551.91</v>
      </c>
      <c r="P132" s="19">
        <f>Tabuľka4[[#This Row],[Zisk]]/Tabuľka4[[#This Row],[Trzba]]</f>
        <v>0.39422142857142856</v>
      </c>
      <c r="Q132">
        <v>2024</v>
      </c>
      <c r="R132" t="str">
        <f>TEXT(Tabuľka4[[#This Row],[Datum]],"MMMM")</f>
        <v>november</v>
      </c>
    </row>
    <row r="133" spans="1:18" x14ac:dyDescent="0.3">
      <c r="A133" s="2">
        <v>45652</v>
      </c>
      <c r="B133" t="s">
        <v>281</v>
      </c>
      <c r="C133" t="s">
        <v>282</v>
      </c>
      <c r="D133" t="s">
        <v>20</v>
      </c>
      <c r="E133" t="s">
        <v>68</v>
      </c>
      <c r="F133" t="s">
        <v>43</v>
      </c>
      <c r="G133" t="s">
        <v>86</v>
      </c>
      <c r="H133" t="s">
        <v>271</v>
      </c>
      <c r="I133" t="s">
        <v>25</v>
      </c>
      <c r="J133">
        <v>1</v>
      </c>
      <c r="K133">
        <v>424</v>
      </c>
      <c r="L133">
        <v>0.2</v>
      </c>
      <c r="M133">
        <v>424</v>
      </c>
      <c r="N133">
        <v>259.33</v>
      </c>
      <c r="O133">
        <v>164.67000000000002</v>
      </c>
      <c r="P133" s="19">
        <f>Tabuľka4[[#This Row],[Zisk]]/Tabuľka4[[#This Row],[Trzba]]</f>
        <v>0.38837264150943401</v>
      </c>
      <c r="Q133">
        <v>2024</v>
      </c>
      <c r="R133" t="str">
        <f>TEXT(Tabuľka4[[#This Row],[Datum]],"MMMM")</f>
        <v>december</v>
      </c>
    </row>
    <row r="134" spans="1:18" x14ac:dyDescent="0.3">
      <c r="A134" s="2">
        <v>45705</v>
      </c>
      <c r="B134" t="s">
        <v>283</v>
      </c>
      <c r="C134" t="s">
        <v>57</v>
      </c>
      <c r="D134" t="s">
        <v>49</v>
      </c>
      <c r="E134" t="s">
        <v>0</v>
      </c>
      <c r="F134" t="s">
        <v>22</v>
      </c>
      <c r="G134" t="s">
        <v>86</v>
      </c>
      <c r="H134" t="s">
        <v>271</v>
      </c>
      <c r="I134" t="s">
        <v>63</v>
      </c>
      <c r="J134">
        <v>8</v>
      </c>
      <c r="K134">
        <v>350</v>
      </c>
      <c r="L134">
        <v>0.14000000000000001</v>
      </c>
      <c r="M134">
        <v>2800</v>
      </c>
      <c r="N134">
        <v>1548.68</v>
      </c>
      <c r="O134">
        <v>1251.32</v>
      </c>
      <c r="P134" s="19">
        <f>Tabuľka4[[#This Row],[Zisk]]/Tabuľka4[[#This Row],[Trzba]]</f>
        <v>0.44689999999999996</v>
      </c>
      <c r="Q134">
        <v>2025</v>
      </c>
      <c r="R134" t="str">
        <f>TEXT(Tabuľka4[[#This Row],[Datum]],"MMMM")</f>
        <v>február</v>
      </c>
    </row>
    <row r="135" spans="1:18" x14ac:dyDescent="0.3">
      <c r="A135" s="2">
        <v>45815</v>
      </c>
      <c r="B135" t="s">
        <v>284</v>
      </c>
      <c r="C135" t="s">
        <v>285</v>
      </c>
      <c r="D135" t="s">
        <v>20</v>
      </c>
      <c r="E135" t="s">
        <v>21</v>
      </c>
      <c r="F135" t="s">
        <v>43</v>
      </c>
      <c r="G135" t="s">
        <v>86</v>
      </c>
      <c r="H135" t="s">
        <v>271</v>
      </c>
      <c r="I135" t="s">
        <v>38</v>
      </c>
      <c r="J135">
        <v>4</v>
      </c>
      <c r="K135">
        <v>637</v>
      </c>
      <c r="L135">
        <v>0.04</v>
      </c>
      <c r="M135">
        <v>2548</v>
      </c>
      <c r="N135">
        <v>1671.44</v>
      </c>
      <c r="O135">
        <v>876.56</v>
      </c>
      <c r="P135" s="19">
        <f>Tabuľka4[[#This Row],[Zisk]]/Tabuľka4[[#This Row],[Trzba]]</f>
        <v>0.34401883830455254</v>
      </c>
      <c r="Q135">
        <v>2025</v>
      </c>
      <c r="R135" t="str">
        <f>TEXT(Tabuľka4[[#This Row],[Datum]],"MMMM")</f>
        <v>jún</v>
      </c>
    </row>
    <row r="136" spans="1:18" x14ac:dyDescent="0.3">
      <c r="A136" s="2">
        <v>45815</v>
      </c>
      <c r="B136" t="s">
        <v>286</v>
      </c>
      <c r="C136" t="s">
        <v>287</v>
      </c>
      <c r="D136" t="s">
        <v>20</v>
      </c>
      <c r="E136" t="s">
        <v>68</v>
      </c>
      <c r="F136" t="s">
        <v>43</v>
      </c>
      <c r="G136" t="s">
        <v>86</v>
      </c>
      <c r="H136" t="s">
        <v>271</v>
      </c>
      <c r="I136" t="s">
        <v>88</v>
      </c>
      <c r="J136">
        <v>2</v>
      </c>
      <c r="K136">
        <v>374</v>
      </c>
      <c r="L136">
        <v>0.06</v>
      </c>
      <c r="M136">
        <v>748</v>
      </c>
      <c r="N136">
        <v>456.82</v>
      </c>
      <c r="O136">
        <v>291.18</v>
      </c>
      <c r="P136" s="19">
        <f>Tabuľka4[[#This Row],[Zisk]]/Tabuľka4[[#This Row],[Trzba]]</f>
        <v>0.38927807486631016</v>
      </c>
      <c r="Q136">
        <v>2025</v>
      </c>
      <c r="R136" t="str">
        <f>TEXT(Tabuľka4[[#This Row],[Datum]],"MMMM")</f>
        <v>jún</v>
      </c>
    </row>
    <row r="137" spans="1:18" x14ac:dyDescent="0.3">
      <c r="A137" s="2">
        <v>45829</v>
      </c>
      <c r="B137" t="s">
        <v>288</v>
      </c>
      <c r="C137" t="s">
        <v>167</v>
      </c>
      <c r="D137" t="s">
        <v>20</v>
      </c>
      <c r="E137" t="s">
        <v>21</v>
      </c>
      <c r="F137" t="s">
        <v>43</v>
      </c>
      <c r="G137" t="s">
        <v>86</v>
      </c>
      <c r="H137" t="s">
        <v>271</v>
      </c>
      <c r="I137" t="s">
        <v>51</v>
      </c>
      <c r="J137">
        <v>3</v>
      </c>
      <c r="K137">
        <v>328</v>
      </c>
      <c r="L137">
        <v>0.13</v>
      </c>
      <c r="M137">
        <v>984</v>
      </c>
      <c r="N137">
        <v>641.27</v>
      </c>
      <c r="O137">
        <v>342.73</v>
      </c>
      <c r="P137" s="19">
        <f>Tabuľka4[[#This Row],[Zisk]]/Tabuľka4[[#This Row],[Trzba]]</f>
        <v>0.34830284552845531</v>
      </c>
      <c r="Q137">
        <v>2025</v>
      </c>
      <c r="R137" t="str">
        <f>TEXT(Tabuľka4[[#This Row],[Datum]],"MMMM")</f>
        <v>jún</v>
      </c>
    </row>
    <row r="138" spans="1:18" x14ac:dyDescent="0.3">
      <c r="A138" s="2">
        <v>45852</v>
      </c>
      <c r="B138" t="s">
        <v>289</v>
      </c>
      <c r="C138" t="s">
        <v>290</v>
      </c>
      <c r="D138" t="s">
        <v>20</v>
      </c>
      <c r="E138" t="s">
        <v>21</v>
      </c>
      <c r="F138" t="s">
        <v>22</v>
      </c>
      <c r="G138" t="s">
        <v>86</v>
      </c>
      <c r="H138" t="s">
        <v>271</v>
      </c>
      <c r="I138" t="s">
        <v>30</v>
      </c>
      <c r="J138">
        <v>2</v>
      </c>
      <c r="K138">
        <v>371</v>
      </c>
      <c r="L138">
        <v>0.04</v>
      </c>
      <c r="M138">
        <v>742</v>
      </c>
      <c r="N138">
        <v>526.34</v>
      </c>
      <c r="O138">
        <v>215.65999999999997</v>
      </c>
      <c r="P138" s="19">
        <f>Tabuľka4[[#This Row],[Zisk]]/Tabuľka4[[#This Row],[Trzba]]</f>
        <v>0.29064690026954176</v>
      </c>
      <c r="Q138">
        <v>2025</v>
      </c>
      <c r="R138" t="str">
        <f>TEXT(Tabuľka4[[#This Row],[Datum]],"MMMM")</f>
        <v>júl</v>
      </c>
    </row>
    <row r="139" spans="1:18" x14ac:dyDescent="0.3">
      <c r="A139" s="2">
        <v>45897</v>
      </c>
      <c r="B139" t="s">
        <v>291</v>
      </c>
      <c r="C139" t="s">
        <v>292</v>
      </c>
      <c r="D139" t="s">
        <v>20</v>
      </c>
      <c r="E139" t="s">
        <v>50</v>
      </c>
      <c r="F139" t="s">
        <v>22</v>
      </c>
      <c r="G139" t="s">
        <v>86</v>
      </c>
      <c r="H139" t="s">
        <v>271</v>
      </c>
      <c r="I139" t="s">
        <v>30</v>
      </c>
      <c r="J139">
        <v>2</v>
      </c>
      <c r="K139">
        <v>358</v>
      </c>
      <c r="L139">
        <v>7.0000000000000007E-2</v>
      </c>
      <c r="M139">
        <v>716</v>
      </c>
      <c r="N139">
        <v>484.14</v>
      </c>
      <c r="O139">
        <v>231.86</v>
      </c>
      <c r="P139" s="19">
        <f>Tabuľka4[[#This Row],[Zisk]]/Tabuľka4[[#This Row],[Trzba]]</f>
        <v>0.32382681564245813</v>
      </c>
      <c r="Q139">
        <v>2025</v>
      </c>
      <c r="R139" t="str">
        <f>TEXT(Tabuľka4[[#This Row],[Datum]],"MMMM")</f>
        <v>august</v>
      </c>
    </row>
    <row r="140" spans="1:18" x14ac:dyDescent="0.3">
      <c r="A140" s="2">
        <v>45907</v>
      </c>
      <c r="B140" t="s">
        <v>293</v>
      </c>
      <c r="C140" t="s">
        <v>210</v>
      </c>
      <c r="D140" t="s">
        <v>20</v>
      </c>
      <c r="E140" t="s">
        <v>21</v>
      </c>
      <c r="F140" t="s">
        <v>22</v>
      </c>
      <c r="G140" t="s">
        <v>86</v>
      </c>
      <c r="H140" t="s">
        <v>271</v>
      </c>
      <c r="I140" t="s">
        <v>46</v>
      </c>
      <c r="J140">
        <v>2</v>
      </c>
      <c r="K140">
        <v>266</v>
      </c>
      <c r="L140">
        <v>0.13</v>
      </c>
      <c r="M140">
        <v>532</v>
      </c>
      <c r="N140">
        <v>358.04</v>
      </c>
      <c r="O140">
        <v>173.95999999999998</v>
      </c>
      <c r="P140" s="19">
        <f>Tabuľka4[[#This Row],[Zisk]]/Tabuľka4[[#This Row],[Trzba]]</f>
        <v>0.3269924812030075</v>
      </c>
      <c r="Q140">
        <v>2025</v>
      </c>
      <c r="R140" t="str">
        <f>TEXT(Tabuľka4[[#This Row],[Datum]],"MMMM")</f>
        <v>september</v>
      </c>
    </row>
    <row r="141" spans="1:18" x14ac:dyDescent="0.3">
      <c r="A141" s="2">
        <v>45914</v>
      </c>
      <c r="B141" t="s">
        <v>294</v>
      </c>
      <c r="C141" t="s">
        <v>295</v>
      </c>
      <c r="D141" t="s">
        <v>20</v>
      </c>
      <c r="E141" t="s">
        <v>21</v>
      </c>
      <c r="F141" t="s">
        <v>22</v>
      </c>
      <c r="G141" t="s">
        <v>86</v>
      </c>
      <c r="H141" t="s">
        <v>271</v>
      </c>
      <c r="I141" t="s">
        <v>88</v>
      </c>
      <c r="J141">
        <v>1</v>
      </c>
      <c r="K141">
        <v>396</v>
      </c>
      <c r="L141">
        <v>0</v>
      </c>
      <c r="M141">
        <v>396</v>
      </c>
      <c r="N141">
        <v>267.93</v>
      </c>
      <c r="O141">
        <v>128.07</v>
      </c>
      <c r="P141" s="19">
        <f>Tabuľka4[[#This Row],[Zisk]]/Tabuľka4[[#This Row],[Trzba]]</f>
        <v>0.32340909090909087</v>
      </c>
      <c r="Q141">
        <v>2025</v>
      </c>
      <c r="R141" t="str">
        <f>TEXT(Tabuľka4[[#This Row],[Datum]],"MMMM")</f>
        <v>september</v>
      </c>
    </row>
    <row r="142" spans="1:18" x14ac:dyDescent="0.3">
      <c r="A142" s="2">
        <v>45943</v>
      </c>
      <c r="B142" t="s">
        <v>296</v>
      </c>
      <c r="C142" t="s">
        <v>297</v>
      </c>
      <c r="D142" t="s">
        <v>20</v>
      </c>
      <c r="E142" t="s">
        <v>68</v>
      </c>
      <c r="F142" t="s">
        <v>43</v>
      </c>
      <c r="G142" t="s">
        <v>86</v>
      </c>
      <c r="H142" t="s">
        <v>271</v>
      </c>
      <c r="I142" t="s">
        <v>38</v>
      </c>
      <c r="J142">
        <v>6</v>
      </c>
      <c r="K142">
        <v>471</v>
      </c>
      <c r="L142">
        <v>0</v>
      </c>
      <c r="M142">
        <v>2826</v>
      </c>
      <c r="N142">
        <v>2206</v>
      </c>
      <c r="O142">
        <v>620</v>
      </c>
      <c r="P142" s="19">
        <f>Tabuľka4[[#This Row],[Zisk]]/Tabuľka4[[#This Row],[Trzba]]</f>
        <v>0.21939136588818117</v>
      </c>
      <c r="Q142">
        <v>2025</v>
      </c>
      <c r="R142" t="str">
        <f>TEXT(Tabuľka4[[#This Row],[Datum]],"MMMM")</f>
        <v>október</v>
      </c>
    </row>
    <row r="143" spans="1:18" x14ac:dyDescent="0.3">
      <c r="A143" s="2">
        <v>46006</v>
      </c>
      <c r="B143" t="s">
        <v>298</v>
      </c>
      <c r="C143" t="s">
        <v>280</v>
      </c>
      <c r="D143" t="s">
        <v>20</v>
      </c>
      <c r="E143" t="s">
        <v>0</v>
      </c>
      <c r="F143" t="s">
        <v>22</v>
      </c>
      <c r="G143" t="s">
        <v>86</v>
      </c>
      <c r="H143" t="s">
        <v>271</v>
      </c>
      <c r="I143" t="s">
        <v>63</v>
      </c>
      <c r="J143">
        <v>4</v>
      </c>
      <c r="K143">
        <v>362</v>
      </c>
      <c r="L143">
        <v>0.11</v>
      </c>
      <c r="M143">
        <v>1448</v>
      </c>
      <c r="N143">
        <v>1123.5899999999999</v>
      </c>
      <c r="O143">
        <v>324.41000000000008</v>
      </c>
      <c r="P143" s="19">
        <f>Tabuľka4[[#This Row],[Zisk]]/Tabuľka4[[#This Row],[Trzba]]</f>
        <v>0.22404005524861884</v>
      </c>
      <c r="Q143">
        <v>2025</v>
      </c>
      <c r="R143" t="str">
        <f>TEXT(Tabuľka4[[#This Row],[Datum]],"MMMM")</f>
        <v>december</v>
      </c>
    </row>
    <row r="144" spans="1:18" x14ac:dyDescent="0.3">
      <c r="A144" s="2">
        <v>46068</v>
      </c>
      <c r="B144" t="s">
        <v>299</v>
      </c>
      <c r="C144" t="s">
        <v>300</v>
      </c>
      <c r="D144" t="s">
        <v>20</v>
      </c>
      <c r="E144" t="s">
        <v>50</v>
      </c>
      <c r="F144" t="s">
        <v>22</v>
      </c>
      <c r="G144" t="s">
        <v>86</v>
      </c>
      <c r="H144" t="s">
        <v>271</v>
      </c>
      <c r="I144" t="s">
        <v>51</v>
      </c>
      <c r="J144">
        <v>2</v>
      </c>
      <c r="K144">
        <v>340</v>
      </c>
      <c r="L144">
        <v>0.12</v>
      </c>
      <c r="M144">
        <v>680</v>
      </c>
      <c r="N144">
        <v>421.56</v>
      </c>
      <c r="O144">
        <v>258.44</v>
      </c>
      <c r="P144" s="19">
        <f>Tabuľka4[[#This Row],[Zisk]]/Tabuľka4[[#This Row],[Trzba]]</f>
        <v>0.38005882352941178</v>
      </c>
      <c r="Q144">
        <v>2026</v>
      </c>
      <c r="R144" t="str">
        <f>TEXT(Tabuľka4[[#This Row],[Datum]],"MMMM")</f>
        <v>február</v>
      </c>
    </row>
    <row r="145" spans="1:18" x14ac:dyDescent="0.3">
      <c r="A145" s="2">
        <v>46099</v>
      </c>
      <c r="B145" t="s">
        <v>301</v>
      </c>
      <c r="C145" t="s">
        <v>122</v>
      </c>
      <c r="D145" t="s">
        <v>20</v>
      </c>
      <c r="E145" t="s">
        <v>21</v>
      </c>
      <c r="F145" t="s">
        <v>43</v>
      </c>
      <c r="G145" t="s">
        <v>86</v>
      </c>
      <c r="H145" t="s">
        <v>271</v>
      </c>
      <c r="I145" t="s">
        <v>30</v>
      </c>
      <c r="J145">
        <v>5</v>
      </c>
      <c r="K145">
        <v>355</v>
      </c>
      <c r="L145">
        <v>0.1</v>
      </c>
      <c r="M145">
        <v>1775</v>
      </c>
      <c r="N145">
        <v>1299.3599999999999</v>
      </c>
      <c r="O145">
        <v>475.6400000000001</v>
      </c>
      <c r="P145" s="19">
        <f>Tabuľka4[[#This Row],[Zisk]]/Tabuľka4[[#This Row],[Trzba]]</f>
        <v>0.26796619718309866</v>
      </c>
      <c r="Q145">
        <v>2026</v>
      </c>
      <c r="R145" t="str">
        <f>TEXT(Tabuľka4[[#This Row],[Datum]],"MMMM")</f>
        <v>marec</v>
      </c>
    </row>
    <row r="146" spans="1:18" x14ac:dyDescent="0.3">
      <c r="A146" s="2">
        <v>46129</v>
      </c>
      <c r="B146" t="s">
        <v>302</v>
      </c>
      <c r="C146" t="s">
        <v>151</v>
      </c>
      <c r="D146" t="s">
        <v>20</v>
      </c>
      <c r="E146" t="s">
        <v>21</v>
      </c>
      <c r="F146" t="s">
        <v>22</v>
      </c>
      <c r="G146" t="s">
        <v>86</v>
      </c>
      <c r="H146" t="s">
        <v>271</v>
      </c>
      <c r="I146" t="s">
        <v>25</v>
      </c>
      <c r="J146">
        <v>4</v>
      </c>
      <c r="K146">
        <v>715</v>
      </c>
      <c r="L146">
        <v>0.05</v>
      </c>
      <c r="M146">
        <v>2860</v>
      </c>
      <c r="N146">
        <v>2093.06</v>
      </c>
      <c r="O146">
        <v>766.94</v>
      </c>
      <c r="P146" s="19">
        <f>Tabuľka4[[#This Row],[Zisk]]/Tabuľka4[[#This Row],[Trzba]]</f>
        <v>0.26816083916083916</v>
      </c>
      <c r="Q146">
        <v>2026</v>
      </c>
      <c r="R146" t="str">
        <f>TEXT(Tabuľka4[[#This Row],[Datum]],"MMMM")</f>
        <v>apríl</v>
      </c>
    </row>
    <row r="147" spans="1:18" x14ac:dyDescent="0.3">
      <c r="A147" s="2">
        <v>46132</v>
      </c>
      <c r="B147" t="s">
        <v>303</v>
      </c>
      <c r="C147" t="s">
        <v>304</v>
      </c>
      <c r="D147" t="s">
        <v>20</v>
      </c>
      <c r="E147" t="s">
        <v>0</v>
      </c>
      <c r="F147" t="s">
        <v>43</v>
      </c>
      <c r="G147" t="s">
        <v>86</v>
      </c>
      <c r="H147" t="s">
        <v>271</v>
      </c>
      <c r="I147" t="s">
        <v>38</v>
      </c>
      <c r="J147">
        <v>3</v>
      </c>
      <c r="K147">
        <v>561</v>
      </c>
      <c r="L147">
        <v>0.08</v>
      </c>
      <c r="M147">
        <v>1683</v>
      </c>
      <c r="N147">
        <v>1233.3</v>
      </c>
      <c r="O147">
        <v>449.70000000000005</v>
      </c>
      <c r="P147" s="19">
        <f>Tabuľka4[[#This Row],[Zisk]]/Tabuľka4[[#This Row],[Trzba]]</f>
        <v>0.26720142602495545</v>
      </c>
      <c r="Q147">
        <v>2026</v>
      </c>
      <c r="R147" t="str">
        <f>TEXT(Tabuľka4[[#This Row],[Datum]],"MMMM")</f>
        <v>apríl</v>
      </c>
    </row>
    <row r="148" spans="1:18" x14ac:dyDescent="0.3">
      <c r="A148" s="2">
        <v>46150</v>
      </c>
      <c r="B148" t="s">
        <v>305</v>
      </c>
      <c r="C148" t="s">
        <v>235</v>
      </c>
      <c r="D148" t="s">
        <v>49</v>
      </c>
      <c r="E148" t="s">
        <v>68</v>
      </c>
      <c r="F148" t="s">
        <v>58</v>
      </c>
      <c r="G148" t="s">
        <v>86</v>
      </c>
      <c r="H148" t="s">
        <v>271</v>
      </c>
      <c r="I148" t="s">
        <v>25</v>
      </c>
      <c r="J148">
        <v>7</v>
      </c>
      <c r="K148">
        <v>423</v>
      </c>
      <c r="L148">
        <v>0.05</v>
      </c>
      <c r="M148">
        <v>2961</v>
      </c>
      <c r="N148">
        <v>2051.96</v>
      </c>
      <c r="O148">
        <v>909.04</v>
      </c>
      <c r="P148" s="19">
        <f>Tabuľka4[[#This Row],[Zisk]]/Tabuľka4[[#This Row],[Trzba]]</f>
        <v>0.30700439040864569</v>
      </c>
      <c r="Q148">
        <v>2026</v>
      </c>
      <c r="R148" t="str">
        <f>TEXT(Tabuľka4[[#This Row],[Datum]],"MMMM")</f>
        <v>máj</v>
      </c>
    </row>
    <row r="149" spans="1:18" x14ac:dyDescent="0.3">
      <c r="A149" s="2">
        <v>46159</v>
      </c>
      <c r="B149" t="s">
        <v>306</v>
      </c>
      <c r="C149" t="s">
        <v>48</v>
      </c>
      <c r="D149" t="s">
        <v>49</v>
      </c>
      <c r="E149" t="s">
        <v>50</v>
      </c>
      <c r="F149" t="s">
        <v>22</v>
      </c>
      <c r="G149" t="s">
        <v>86</v>
      </c>
      <c r="H149" t="s">
        <v>271</v>
      </c>
      <c r="I149" t="s">
        <v>25</v>
      </c>
      <c r="J149">
        <v>8</v>
      </c>
      <c r="K149">
        <v>341</v>
      </c>
      <c r="L149">
        <v>0.13</v>
      </c>
      <c r="M149">
        <v>2728</v>
      </c>
      <c r="N149">
        <v>1488.55</v>
      </c>
      <c r="O149">
        <v>1239.45</v>
      </c>
      <c r="P149" s="19">
        <f>Tabuľka4[[#This Row],[Zisk]]/Tabuľka4[[#This Row],[Trzba]]</f>
        <v>0.45434384164222874</v>
      </c>
      <c r="Q149">
        <v>2026</v>
      </c>
      <c r="R149" t="str">
        <f>TEXT(Tabuľka4[[#This Row],[Datum]],"MMMM")</f>
        <v>máj</v>
      </c>
    </row>
    <row r="150" spans="1:18" x14ac:dyDescent="0.3">
      <c r="A150" s="2">
        <v>46162</v>
      </c>
      <c r="B150" t="s">
        <v>307</v>
      </c>
      <c r="C150" t="s">
        <v>308</v>
      </c>
      <c r="D150" t="s">
        <v>20</v>
      </c>
      <c r="E150" t="s">
        <v>21</v>
      </c>
      <c r="F150" t="s">
        <v>43</v>
      </c>
      <c r="G150" t="s">
        <v>86</v>
      </c>
      <c r="H150" t="s">
        <v>271</v>
      </c>
      <c r="I150" t="s">
        <v>63</v>
      </c>
      <c r="J150">
        <v>3</v>
      </c>
      <c r="K150">
        <v>471</v>
      </c>
      <c r="L150">
        <v>0.08</v>
      </c>
      <c r="M150">
        <v>1413</v>
      </c>
      <c r="N150">
        <v>914.14</v>
      </c>
      <c r="O150">
        <v>498.86</v>
      </c>
      <c r="P150" s="19">
        <f>Tabuľka4[[#This Row],[Zisk]]/Tabuľka4[[#This Row],[Trzba]]</f>
        <v>0.35305024769992926</v>
      </c>
      <c r="Q150">
        <v>2026</v>
      </c>
      <c r="R150" t="str">
        <f>TEXT(Tabuľka4[[#This Row],[Datum]],"MMMM")</f>
        <v>máj</v>
      </c>
    </row>
    <row r="151" spans="1:18" x14ac:dyDescent="0.3">
      <c r="A151" s="2">
        <v>45311</v>
      </c>
      <c r="B151" t="s">
        <v>309</v>
      </c>
      <c r="C151" t="s">
        <v>84</v>
      </c>
      <c r="D151" t="s">
        <v>20</v>
      </c>
      <c r="E151" t="s">
        <v>68</v>
      </c>
      <c r="F151" t="s">
        <v>43</v>
      </c>
      <c r="G151" t="s">
        <v>86</v>
      </c>
      <c r="H151" t="s">
        <v>310</v>
      </c>
      <c r="I151" t="s">
        <v>51</v>
      </c>
      <c r="J151">
        <v>2</v>
      </c>
      <c r="K151">
        <v>770</v>
      </c>
      <c r="L151">
        <v>0.1</v>
      </c>
      <c r="M151">
        <v>1540</v>
      </c>
      <c r="N151">
        <v>1130.42</v>
      </c>
      <c r="O151">
        <v>409.57999999999993</v>
      </c>
      <c r="P151" s="19">
        <f>Tabuľka4[[#This Row],[Zisk]]/Tabuľka4[[#This Row],[Trzba]]</f>
        <v>0.2659610389610389</v>
      </c>
      <c r="Q151">
        <v>2024</v>
      </c>
      <c r="R151" t="str">
        <f>TEXT(Tabuľka4[[#This Row],[Datum]],"MMMM")</f>
        <v>január</v>
      </c>
    </row>
    <row r="152" spans="1:18" x14ac:dyDescent="0.3">
      <c r="A152" s="2">
        <v>45324</v>
      </c>
      <c r="B152" t="s">
        <v>311</v>
      </c>
      <c r="C152" t="s">
        <v>132</v>
      </c>
      <c r="D152" t="s">
        <v>49</v>
      </c>
      <c r="E152" t="s">
        <v>21</v>
      </c>
      <c r="F152" t="s">
        <v>58</v>
      </c>
      <c r="G152" t="s">
        <v>86</v>
      </c>
      <c r="H152" t="s">
        <v>310</v>
      </c>
      <c r="I152" t="s">
        <v>88</v>
      </c>
      <c r="J152">
        <v>3</v>
      </c>
      <c r="K152">
        <v>641</v>
      </c>
      <c r="L152">
        <v>0.02</v>
      </c>
      <c r="M152">
        <v>1923</v>
      </c>
      <c r="N152">
        <v>1223.04</v>
      </c>
      <c r="O152">
        <v>699.96</v>
      </c>
      <c r="P152" s="19">
        <f>Tabuľka4[[#This Row],[Zisk]]/Tabuľka4[[#This Row],[Trzba]]</f>
        <v>0.36399375975039006</v>
      </c>
      <c r="Q152">
        <v>2024</v>
      </c>
      <c r="R152" t="str">
        <f>TEXT(Tabuľka4[[#This Row],[Datum]],"MMMM")</f>
        <v>február</v>
      </c>
    </row>
    <row r="153" spans="1:18" x14ac:dyDescent="0.3">
      <c r="A153" s="2">
        <v>45373</v>
      </c>
      <c r="B153" t="s">
        <v>312</v>
      </c>
      <c r="C153" t="s">
        <v>96</v>
      </c>
      <c r="D153" t="s">
        <v>49</v>
      </c>
      <c r="E153" t="s">
        <v>68</v>
      </c>
      <c r="F153" t="s">
        <v>58</v>
      </c>
      <c r="G153" t="s">
        <v>86</v>
      </c>
      <c r="H153" t="s">
        <v>310</v>
      </c>
      <c r="I153" t="s">
        <v>30</v>
      </c>
      <c r="J153">
        <v>10</v>
      </c>
      <c r="K153">
        <v>1105</v>
      </c>
      <c r="L153">
        <v>0.11</v>
      </c>
      <c r="M153">
        <v>11050</v>
      </c>
      <c r="N153">
        <v>7114.54</v>
      </c>
      <c r="O153">
        <v>3935.46</v>
      </c>
      <c r="P153" s="19">
        <f>Tabuľka4[[#This Row],[Zisk]]/Tabuľka4[[#This Row],[Trzba]]</f>
        <v>0.35615022624434389</v>
      </c>
      <c r="Q153">
        <v>2024</v>
      </c>
      <c r="R153" t="str">
        <f>TEXT(Tabuľka4[[#This Row],[Datum]],"MMMM")</f>
        <v>marec</v>
      </c>
    </row>
    <row r="154" spans="1:18" x14ac:dyDescent="0.3">
      <c r="A154" s="2">
        <v>45400</v>
      </c>
      <c r="B154" t="s">
        <v>313</v>
      </c>
      <c r="C154" t="s">
        <v>314</v>
      </c>
      <c r="D154" t="s">
        <v>20</v>
      </c>
      <c r="E154" t="s">
        <v>21</v>
      </c>
      <c r="F154" t="s">
        <v>22</v>
      </c>
      <c r="G154" t="s">
        <v>86</v>
      </c>
      <c r="H154" t="s">
        <v>310</v>
      </c>
      <c r="I154" t="s">
        <v>38</v>
      </c>
      <c r="J154">
        <v>5</v>
      </c>
      <c r="K154">
        <v>953</v>
      </c>
      <c r="L154">
        <v>7.0000000000000007E-2</v>
      </c>
      <c r="M154">
        <v>4765</v>
      </c>
      <c r="N154">
        <v>3061.59</v>
      </c>
      <c r="O154">
        <v>1703.4099999999999</v>
      </c>
      <c r="P154" s="19">
        <f>Tabuľka4[[#This Row],[Zisk]]/Tabuľka4[[#This Row],[Trzba]]</f>
        <v>0.35748373557187824</v>
      </c>
      <c r="Q154">
        <v>2024</v>
      </c>
      <c r="R154" t="str">
        <f>TEXT(Tabuľka4[[#This Row],[Datum]],"MMMM")</f>
        <v>apríl</v>
      </c>
    </row>
    <row r="155" spans="1:18" x14ac:dyDescent="0.3">
      <c r="A155" s="2">
        <v>45493</v>
      </c>
      <c r="B155" t="s">
        <v>315</v>
      </c>
      <c r="C155" t="s">
        <v>235</v>
      </c>
      <c r="D155" t="s">
        <v>49</v>
      </c>
      <c r="E155" t="s">
        <v>21</v>
      </c>
      <c r="F155" t="s">
        <v>58</v>
      </c>
      <c r="G155" t="s">
        <v>86</v>
      </c>
      <c r="H155" t="s">
        <v>310</v>
      </c>
      <c r="I155" t="s">
        <v>46</v>
      </c>
      <c r="J155">
        <v>8</v>
      </c>
      <c r="K155">
        <v>551</v>
      </c>
      <c r="L155">
        <v>0.08</v>
      </c>
      <c r="M155">
        <v>4408</v>
      </c>
      <c r="N155">
        <v>3313.36</v>
      </c>
      <c r="O155">
        <v>1094.6399999999999</v>
      </c>
      <c r="P155" s="19">
        <f>Tabuľka4[[#This Row],[Zisk]]/Tabuľka4[[#This Row],[Trzba]]</f>
        <v>0.24833030852994553</v>
      </c>
      <c r="Q155">
        <v>2024</v>
      </c>
      <c r="R155" t="str">
        <f>TEXT(Tabuľka4[[#This Row],[Datum]],"MMMM")</f>
        <v>júl</v>
      </c>
    </row>
    <row r="156" spans="1:18" x14ac:dyDescent="0.3">
      <c r="A156" s="2">
        <v>45516</v>
      </c>
      <c r="B156" t="s">
        <v>316</v>
      </c>
      <c r="C156" t="s">
        <v>90</v>
      </c>
      <c r="D156" t="s">
        <v>20</v>
      </c>
      <c r="E156" t="s">
        <v>68</v>
      </c>
      <c r="F156" t="s">
        <v>22</v>
      </c>
      <c r="G156" t="s">
        <v>86</v>
      </c>
      <c r="H156" t="s">
        <v>310</v>
      </c>
      <c r="I156" t="s">
        <v>38</v>
      </c>
      <c r="J156">
        <v>2</v>
      </c>
      <c r="K156">
        <v>908</v>
      </c>
      <c r="L156">
        <v>0.01</v>
      </c>
      <c r="M156">
        <v>1816</v>
      </c>
      <c r="N156">
        <v>1415.88</v>
      </c>
      <c r="O156">
        <v>400.11999999999989</v>
      </c>
      <c r="P156" s="19">
        <f>Tabuľka4[[#This Row],[Zisk]]/Tabuľka4[[#This Row],[Trzba]]</f>
        <v>0.22033039647577088</v>
      </c>
      <c r="Q156">
        <v>2024</v>
      </c>
      <c r="R156" t="str">
        <f>TEXT(Tabuľka4[[#This Row],[Datum]],"MMMM")</f>
        <v>august</v>
      </c>
    </row>
    <row r="157" spans="1:18" x14ac:dyDescent="0.3">
      <c r="A157" s="2">
        <v>45581</v>
      </c>
      <c r="B157" t="s">
        <v>317</v>
      </c>
      <c r="C157" t="s">
        <v>318</v>
      </c>
      <c r="D157" t="s">
        <v>20</v>
      </c>
      <c r="E157" t="s">
        <v>68</v>
      </c>
      <c r="F157" t="s">
        <v>43</v>
      </c>
      <c r="G157" t="s">
        <v>86</v>
      </c>
      <c r="H157" t="s">
        <v>310</v>
      </c>
      <c r="I157" t="s">
        <v>88</v>
      </c>
      <c r="J157">
        <v>3</v>
      </c>
      <c r="K157">
        <v>664</v>
      </c>
      <c r="L157">
        <v>7.0000000000000007E-2</v>
      </c>
      <c r="M157">
        <v>1992</v>
      </c>
      <c r="N157">
        <v>1520.19</v>
      </c>
      <c r="O157">
        <v>471.80999999999995</v>
      </c>
      <c r="P157" s="19">
        <f>Tabuľka4[[#This Row],[Zisk]]/Tabuľka4[[#This Row],[Trzba]]</f>
        <v>0.2368524096385542</v>
      </c>
      <c r="Q157">
        <v>2024</v>
      </c>
      <c r="R157" t="str">
        <f>TEXT(Tabuľka4[[#This Row],[Datum]],"MMMM")</f>
        <v>október</v>
      </c>
    </row>
    <row r="158" spans="1:18" x14ac:dyDescent="0.3">
      <c r="A158" s="2">
        <v>45605</v>
      </c>
      <c r="B158" t="s">
        <v>319</v>
      </c>
      <c r="C158" t="s">
        <v>320</v>
      </c>
      <c r="D158" t="s">
        <v>20</v>
      </c>
      <c r="E158" t="s">
        <v>50</v>
      </c>
      <c r="F158" t="s">
        <v>43</v>
      </c>
      <c r="G158" t="s">
        <v>86</v>
      </c>
      <c r="H158" t="s">
        <v>310</v>
      </c>
      <c r="I158" t="s">
        <v>33</v>
      </c>
      <c r="J158">
        <v>3</v>
      </c>
      <c r="K158">
        <v>441</v>
      </c>
      <c r="L158">
        <v>0.12</v>
      </c>
      <c r="M158">
        <v>1323</v>
      </c>
      <c r="N158">
        <v>842.25</v>
      </c>
      <c r="O158">
        <v>480.75</v>
      </c>
      <c r="P158" s="19">
        <f>Tabuľka4[[#This Row],[Zisk]]/Tabuľka4[[#This Row],[Trzba]]</f>
        <v>0.36337868480725621</v>
      </c>
      <c r="Q158">
        <v>2024</v>
      </c>
      <c r="R158" t="str">
        <f>TEXT(Tabuľka4[[#This Row],[Datum]],"MMMM")</f>
        <v>november</v>
      </c>
    </row>
    <row r="159" spans="1:18" x14ac:dyDescent="0.3">
      <c r="A159" s="2">
        <v>45609</v>
      </c>
      <c r="B159" t="s">
        <v>321</v>
      </c>
      <c r="C159" t="s">
        <v>124</v>
      </c>
      <c r="D159" t="s">
        <v>49</v>
      </c>
      <c r="E159" t="s">
        <v>0</v>
      </c>
      <c r="F159" t="s">
        <v>58</v>
      </c>
      <c r="G159" t="s">
        <v>86</v>
      </c>
      <c r="H159" t="s">
        <v>310</v>
      </c>
      <c r="I159" t="s">
        <v>38</v>
      </c>
      <c r="J159">
        <v>11</v>
      </c>
      <c r="K159">
        <v>872</v>
      </c>
      <c r="L159">
        <v>0.21</v>
      </c>
      <c r="M159">
        <v>9592</v>
      </c>
      <c r="N159">
        <v>5932.62</v>
      </c>
      <c r="O159">
        <v>3659.38</v>
      </c>
      <c r="P159" s="19">
        <f>Tabuľka4[[#This Row],[Zisk]]/Tabuľka4[[#This Row],[Trzba]]</f>
        <v>0.38150333611342785</v>
      </c>
      <c r="Q159">
        <v>2024</v>
      </c>
      <c r="R159" t="str">
        <f>TEXT(Tabuľka4[[#This Row],[Datum]],"MMMM")</f>
        <v>november</v>
      </c>
    </row>
    <row r="160" spans="1:18" x14ac:dyDescent="0.3">
      <c r="A160" s="2">
        <v>45659</v>
      </c>
      <c r="B160" t="s">
        <v>322</v>
      </c>
      <c r="C160" t="s">
        <v>70</v>
      </c>
      <c r="D160" t="s">
        <v>20</v>
      </c>
      <c r="E160" t="s">
        <v>21</v>
      </c>
      <c r="F160" t="s">
        <v>43</v>
      </c>
      <c r="G160" t="s">
        <v>86</v>
      </c>
      <c r="H160" t="s">
        <v>310</v>
      </c>
      <c r="I160" t="s">
        <v>46</v>
      </c>
      <c r="J160">
        <v>2</v>
      </c>
      <c r="K160">
        <v>638</v>
      </c>
      <c r="L160">
        <v>0.08</v>
      </c>
      <c r="M160">
        <v>1276</v>
      </c>
      <c r="N160">
        <v>921.3</v>
      </c>
      <c r="O160">
        <v>354.70000000000005</v>
      </c>
      <c r="P160" s="19">
        <f>Tabuľka4[[#This Row],[Zisk]]/Tabuľka4[[#This Row],[Trzba]]</f>
        <v>0.27797805642633233</v>
      </c>
      <c r="Q160">
        <v>2025</v>
      </c>
      <c r="R160" t="str">
        <f>TEXT(Tabuľka4[[#This Row],[Datum]],"MMMM")</f>
        <v>január</v>
      </c>
    </row>
    <row r="161" spans="1:18" x14ac:dyDescent="0.3">
      <c r="A161" s="2">
        <v>45740</v>
      </c>
      <c r="B161" t="s">
        <v>323</v>
      </c>
      <c r="C161" t="s">
        <v>201</v>
      </c>
      <c r="D161" t="s">
        <v>20</v>
      </c>
      <c r="E161" t="s">
        <v>0</v>
      </c>
      <c r="F161" t="s">
        <v>22</v>
      </c>
      <c r="G161" t="s">
        <v>86</v>
      </c>
      <c r="H161" t="s">
        <v>310</v>
      </c>
      <c r="I161" t="s">
        <v>88</v>
      </c>
      <c r="J161">
        <v>2</v>
      </c>
      <c r="K161">
        <v>1015</v>
      </c>
      <c r="L161">
        <v>0.1</v>
      </c>
      <c r="M161">
        <v>2030</v>
      </c>
      <c r="N161">
        <v>1281.6500000000001</v>
      </c>
      <c r="O161">
        <v>748.34999999999991</v>
      </c>
      <c r="P161" s="19">
        <f>Tabuľka4[[#This Row],[Zisk]]/Tabuľka4[[#This Row],[Trzba]]</f>
        <v>0.36864532019704427</v>
      </c>
      <c r="Q161">
        <v>2025</v>
      </c>
      <c r="R161" t="str">
        <f>TEXT(Tabuľka4[[#This Row],[Datum]],"MMMM")</f>
        <v>marec</v>
      </c>
    </row>
    <row r="162" spans="1:18" x14ac:dyDescent="0.3">
      <c r="A162" s="2">
        <v>45742</v>
      </c>
      <c r="B162" t="s">
        <v>324</v>
      </c>
      <c r="C162" t="s">
        <v>57</v>
      </c>
      <c r="D162" t="s">
        <v>49</v>
      </c>
      <c r="E162" t="s">
        <v>21</v>
      </c>
      <c r="F162" t="s">
        <v>58</v>
      </c>
      <c r="G162" t="s">
        <v>86</v>
      </c>
      <c r="H162" t="s">
        <v>310</v>
      </c>
      <c r="I162" t="s">
        <v>30</v>
      </c>
      <c r="J162">
        <v>5</v>
      </c>
      <c r="K162">
        <v>679</v>
      </c>
      <c r="L162">
        <v>0</v>
      </c>
      <c r="M162">
        <v>3395</v>
      </c>
      <c r="N162">
        <v>2428.91</v>
      </c>
      <c r="O162">
        <v>966.09000000000015</v>
      </c>
      <c r="P162" s="19">
        <f>Tabuľka4[[#This Row],[Zisk]]/Tabuľka4[[#This Row],[Trzba]]</f>
        <v>0.28456259204712819</v>
      </c>
      <c r="Q162">
        <v>2025</v>
      </c>
      <c r="R162" t="str">
        <f>TEXT(Tabuľka4[[#This Row],[Datum]],"MMMM")</f>
        <v>marec</v>
      </c>
    </row>
    <row r="163" spans="1:18" x14ac:dyDescent="0.3">
      <c r="A163" s="2">
        <v>45811</v>
      </c>
      <c r="B163" t="s">
        <v>325</v>
      </c>
      <c r="C163" t="s">
        <v>326</v>
      </c>
      <c r="D163" t="s">
        <v>20</v>
      </c>
      <c r="E163" t="s">
        <v>0</v>
      </c>
      <c r="F163" t="s">
        <v>22</v>
      </c>
      <c r="G163" t="s">
        <v>86</v>
      </c>
      <c r="H163" t="s">
        <v>310</v>
      </c>
      <c r="I163" t="s">
        <v>63</v>
      </c>
      <c r="J163">
        <v>2</v>
      </c>
      <c r="K163">
        <v>419</v>
      </c>
      <c r="L163">
        <v>0.13</v>
      </c>
      <c r="M163">
        <v>838</v>
      </c>
      <c r="N163">
        <v>527.55999999999995</v>
      </c>
      <c r="O163">
        <v>310.44000000000005</v>
      </c>
      <c r="P163" s="19">
        <f>Tabuľka4[[#This Row],[Zisk]]/Tabuľka4[[#This Row],[Trzba]]</f>
        <v>0.37045346062052514</v>
      </c>
      <c r="Q163">
        <v>2025</v>
      </c>
      <c r="R163" t="str">
        <f>TEXT(Tabuľka4[[#This Row],[Datum]],"MMMM")</f>
        <v>jún</v>
      </c>
    </row>
    <row r="164" spans="1:18" x14ac:dyDescent="0.3">
      <c r="A164" s="2">
        <v>46012</v>
      </c>
      <c r="B164" t="s">
        <v>327</v>
      </c>
      <c r="C164" t="s">
        <v>136</v>
      </c>
      <c r="D164" t="s">
        <v>20</v>
      </c>
      <c r="E164" t="s">
        <v>50</v>
      </c>
      <c r="F164" t="s">
        <v>43</v>
      </c>
      <c r="G164" t="s">
        <v>86</v>
      </c>
      <c r="H164" t="s">
        <v>310</v>
      </c>
      <c r="I164" t="s">
        <v>30</v>
      </c>
      <c r="J164">
        <v>2</v>
      </c>
      <c r="K164">
        <v>789</v>
      </c>
      <c r="L164">
        <v>0.3</v>
      </c>
      <c r="M164">
        <v>1578</v>
      </c>
      <c r="N164">
        <v>715.98</v>
      </c>
      <c r="O164">
        <v>862.02</v>
      </c>
      <c r="P164" s="19">
        <f>Tabuľka4[[#This Row],[Zisk]]/Tabuľka4[[#This Row],[Trzba]]</f>
        <v>0.54627376425855512</v>
      </c>
      <c r="Q164">
        <v>2025</v>
      </c>
      <c r="R164" t="str">
        <f>TEXT(Tabuľka4[[#This Row],[Datum]],"MMMM")</f>
        <v>december</v>
      </c>
    </row>
    <row r="165" spans="1:18" x14ac:dyDescent="0.3">
      <c r="A165" s="2">
        <v>46098</v>
      </c>
      <c r="B165" t="s">
        <v>328</v>
      </c>
      <c r="C165" t="s">
        <v>329</v>
      </c>
      <c r="D165" t="s">
        <v>20</v>
      </c>
      <c r="E165" t="s">
        <v>21</v>
      </c>
      <c r="F165" t="s">
        <v>22</v>
      </c>
      <c r="G165" t="s">
        <v>86</v>
      </c>
      <c r="H165" t="s">
        <v>310</v>
      </c>
      <c r="I165" t="s">
        <v>63</v>
      </c>
      <c r="J165">
        <v>3</v>
      </c>
      <c r="K165">
        <v>656</v>
      </c>
      <c r="L165">
        <v>7.0000000000000007E-2</v>
      </c>
      <c r="M165">
        <v>1968</v>
      </c>
      <c r="N165">
        <v>1452.47</v>
      </c>
      <c r="O165">
        <v>515.53</v>
      </c>
      <c r="P165" s="19">
        <f>Tabuľka4[[#This Row],[Zisk]]/Tabuľka4[[#This Row],[Trzba]]</f>
        <v>0.26195630081300814</v>
      </c>
      <c r="Q165">
        <v>2026</v>
      </c>
      <c r="R165" t="str">
        <f>TEXT(Tabuľka4[[#This Row],[Datum]],"MMMM")</f>
        <v>marec</v>
      </c>
    </row>
    <row r="166" spans="1:18" x14ac:dyDescent="0.3">
      <c r="A166" s="2">
        <v>46141</v>
      </c>
      <c r="B166" t="s">
        <v>330</v>
      </c>
      <c r="C166" t="s">
        <v>331</v>
      </c>
      <c r="D166" t="s">
        <v>20</v>
      </c>
      <c r="E166" t="s">
        <v>68</v>
      </c>
      <c r="F166" t="s">
        <v>43</v>
      </c>
      <c r="G166" t="s">
        <v>86</v>
      </c>
      <c r="H166" t="s">
        <v>310</v>
      </c>
      <c r="I166" t="s">
        <v>25</v>
      </c>
      <c r="J166">
        <v>1</v>
      </c>
      <c r="K166">
        <v>700</v>
      </c>
      <c r="L166">
        <v>0.14000000000000001</v>
      </c>
      <c r="M166">
        <v>700</v>
      </c>
      <c r="N166">
        <v>408.88</v>
      </c>
      <c r="O166">
        <v>291.12</v>
      </c>
      <c r="P166" s="19">
        <f>Tabuľka4[[#This Row],[Zisk]]/Tabuľka4[[#This Row],[Trzba]]</f>
        <v>0.4158857142857143</v>
      </c>
      <c r="Q166">
        <v>2026</v>
      </c>
      <c r="R166" t="str">
        <f>TEXT(Tabuľka4[[#This Row],[Datum]],"MMMM")</f>
        <v>apríl</v>
      </c>
    </row>
    <row r="167" spans="1:18" x14ac:dyDescent="0.3">
      <c r="A167" s="2">
        <v>45330</v>
      </c>
      <c r="B167" t="s">
        <v>332</v>
      </c>
      <c r="C167" t="s">
        <v>96</v>
      </c>
      <c r="D167" t="s">
        <v>49</v>
      </c>
      <c r="E167" t="s">
        <v>50</v>
      </c>
      <c r="F167" t="s">
        <v>58</v>
      </c>
      <c r="G167" t="s">
        <v>71</v>
      </c>
      <c r="H167" t="s">
        <v>333</v>
      </c>
      <c r="I167" t="s">
        <v>88</v>
      </c>
      <c r="J167">
        <v>6</v>
      </c>
      <c r="K167">
        <v>2214</v>
      </c>
      <c r="L167">
        <v>0.14000000000000001</v>
      </c>
      <c r="M167">
        <v>13284</v>
      </c>
      <c r="N167">
        <v>8434.94</v>
      </c>
      <c r="O167">
        <v>4849.0599999999995</v>
      </c>
      <c r="P167" s="19">
        <f>Tabuľka4[[#This Row],[Zisk]]/Tabuľka4[[#This Row],[Trzba]]</f>
        <v>0.36503011141222519</v>
      </c>
      <c r="Q167">
        <v>2024</v>
      </c>
      <c r="R167" t="str">
        <f>TEXT(Tabuľka4[[#This Row],[Datum]],"MMMM")</f>
        <v>február</v>
      </c>
    </row>
    <row r="168" spans="1:18" x14ac:dyDescent="0.3">
      <c r="A168" s="2">
        <v>45360</v>
      </c>
      <c r="B168" t="s">
        <v>334</v>
      </c>
      <c r="C168" t="s">
        <v>149</v>
      </c>
      <c r="D168" t="s">
        <v>20</v>
      </c>
      <c r="E168" t="s">
        <v>68</v>
      </c>
      <c r="F168" t="s">
        <v>43</v>
      </c>
      <c r="G168" t="s">
        <v>71</v>
      </c>
      <c r="H168" t="s">
        <v>333</v>
      </c>
      <c r="I168" t="s">
        <v>51</v>
      </c>
      <c r="J168">
        <v>3</v>
      </c>
      <c r="K168">
        <v>1539</v>
      </c>
      <c r="L168">
        <v>0.04</v>
      </c>
      <c r="M168">
        <v>4617</v>
      </c>
      <c r="N168">
        <v>3680.29</v>
      </c>
      <c r="O168">
        <v>936.71</v>
      </c>
      <c r="P168" s="19">
        <f>Tabuľka4[[#This Row],[Zisk]]/Tabuľka4[[#This Row],[Trzba]]</f>
        <v>0.20288282434481267</v>
      </c>
      <c r="Q168">
        <v>2024</v>
      </c>
      <c r="R168" t="str">
        <f>TEXT(Tabuľka4[[#This Row],[Datum]],"MMMM")</f>
        <v>marec</v>
      </c>
    </row>
    <row r="169" spans="1:18" x14ac:dyDescent="0.3">
      <c r="A169" s="2">
        <v>45390</v>
      </c>
      <c r="B169" t="s">
        <v>335</v>
      </c>
      <c r="C169" t="s">
        <v>336</v>
      </c>
      <c r="D169" t="s">
        <v>20</v>
      </c>
      <c r="E169" t="s">
        <v>68</v>
      </c>
      <c r="F169" t="s">
        <v>22</v>
      </c>
      <c r="G169" t="s">
        <v>71</v>
      </c>
      <c r="H169" t="s">
        <v>333</v>
      </c>
      <c r="I169" t="s">
        <v>25</v>
      </c>
      <c r="J169">
        <v>2</v>
      </c>
      <c r="K169">
        <v>1311</v>
      </c>
      <c r="L169">
        <v>0.08</v>
      </c>
      <c r="M169">
        <v>2622</v>
      </c>
      <c r="N169">
        <v>1987.67</v>
      </c>
      <c r="O169">
        <v>634.32999999999993</v>
      </c>
      <c r="P169" s="19">
        <f>Tabuľka4[[#This Row],[Zisk]]/Tabuľka4[[#This Row],[Trzba]]</f>
        <v>0.24192601067887107</v>
      </c>
      <c r="Q169">
        <v>2024</v>
      </c>
      <c r="R169" t="str">
        <f>TEXT(Tabuľka4[[#This Row],[Datum]],"MMMM")</f>
        <v>apríl</v>
      </c>
    </row>
    <row r="170" spans="1:18" x14ac:dyDescent="0.3">
      <c r="A170" s="2">
        <v>45399</v>
      </c>
      <c r="B170" t="s">
        <v>337</v>
      </c>
      <c r="C170" t="s">
        <v>241</v>
      </c>
      <c r="D170" t="s">
        <v>20</v>
      </c>
      <c r="E170" t="s">
        <v>50</v>
      </c>
      <c r="F170" t="s">
        <v>43</v>
      </c>
      <c r="G170" t="s">
        <v>71</v>
      </c>
      <c r="H170" t="s">
        <v>333</v>
      </c>
      <c r="I170" t="s">
        <v>51</v>
      </c>
      <c r="J170">
        <v>1</v>
      </c>
      <c r="K170">
        <v>1680</v>
      </c>
      <c r="L170">
        <v>0.15</v>
      </c>
      <c r="M170">
        <v>1680</v>
      </c>
      <c r="N170">
        <v>1116.78</v>
      </c>
      <c r="O170">
        <v>563.22</v>
      </c>
      <c r="P170" s="19">
        <f>Tabuľka4[[#This Row],[Zisk]]/Tabuľka4[[#This Row],[Trzba]]</f>
        <v>0.33524999999999999</v>
      </c>
      <c r="Q170">
        <v>2024</v>
      </c>
      <c r="R170" t="str">
        <f>TEXT(Tabuľka4[[#This Row],[Datum]],"MMMM")</f>
        <v>apríl</v>
      </c>
    </row>
    <row r="171" spans="1:18" x14ac:dyDescent="0.3">
      <c r="A171" s="2">
        <v>45474</v>
      </c>
      <c r="B171" t="s">
        <v>338</v>
      </c>
      <c r="C171" t="s">
        <v>339</v>
      </c>
      <c r="D171" t="s">
        <v>20</v>
      </c>
      <c r="E171" t="s">
        <v>68</v>
      </c>
      <c r="F171" t="s">
        <v>22</v>
      </c>
      <c r="G171" t="s">
        <v>71</v>
      </c>
      <c r="H171" t="s">
        <v>333</v>
      </c>
      <c r="I171" t="s">
        <v>38</v>
      </c>
      <c r="J171">
        <v>1</v>
      </c>
      <c r="K171">
        <v>2325</v>
      </c>
      <c r="L171">
        <v>0.04</v>
      </c>
      <c r="M171">
        <v>2325</v>
      </c>
      <c r="N171">
        <v>1862.22</v>
      </c>
      <c r="O171">
        <v>462.78</v>
      </c>
      <c r="P171" s="19">
        <f>Tabuľka4[[#This Row],[Zisk]]/Tabuľka4[[#This Row],[Trzba]]</f>
        <v>0.19904516129032257</v>
      </c>
      <c r="Q171">
        <v>2024</v>
      </c>
      <c r="R171" t="str">
        <f>TEXT(Tabuľka4[[#This Row],[Datum]],"MMMM")</f>
        <v>júl</v>
      </c>
    </row>
    <row r="172" spans="1:18" x14ac:dyDescent="0.3">
      <c r="A172" s="2">
        <v>45488</v>
      </c>
      <c r="B172" t="s">
        <v>340</v>
      </c>
      <c r="C172" t="s">
        <v>341</v>
      </c>
      <c r="D172" t="s">
        <v>20</v>
      </c>
      <c r="E172" t="s">
        <v>21</v>
      </c>
      <c r="F172" t="s">
        <v>43</v>
      </c>
      <c r="G172" t="s">
        <v>71</v>
      </c>
      <c r="H172" t="s">
        <v>333</v>
      </c>
      <c r="I172" t="s">
        <v>46</v>
      </c>
      <c r="J172">
        <v>4</v>
      </c>
      <c r="K172">
        <v>1794</v>
      </c>
      <c r="L172">
        <v>0.03</v>
      </c>
      <c r="M172">
        <v>7176</v>
      </c>
      <c r="N172">
        <v>5922.74</v>
      </c>
      <c r="O172">
        <v>1253.2600000000002</v>
      </c>
      <c r="P172" s="19">
        <f>Tabuľka4[[#This Row],[Zisk]]/Tabuľka4[[#This Row],[Trzba]]</f>
        <v>0.1746460423634337</v>
      </c>
      <c r="Q172">
        <v>2024</v>
      </c>
      <c r="R172" t="str">
        <f>TEXT(Tabuľka4[[#This Row],[Datum]],"MMMM")</f>
        <v>júl</v>
      </c>
    </row>
    <row r="173" spans="1:18" x14ac:dyDescent="0.3">
      <c r="A173" s="2">
        <v>45515</v>
      </c>
      <c r="B173" t="s">
        <v>342</v>
      </c>
      <c r="C173" t="s">
        <v>57</v>
      </c>
      <c r="D173" t="s">
        <v>49</v>
      </c>
      <c r="E173" t="s">
        <v>21</v>
      </c>
      <c r="F173" t="s">
        <v>22</v>
      </c>
      <c r="G173" t="s">
        <v>71</v>
      </c>
      <c r="H173" t="s">
        <v>333</v>
      </c>
      <c r="I173" t="s">
        <v>46</v>
      </c>
      <c r="J173">
        <v>4</v>
      </c>
      <c r="K173">
        <v>1946</v>
      </c>
      <c r="L173">
        <v>0.04</v>
      </c>
      <c r="M173">
        <v>7784</v>
      </c>
      <c r="N173">
        <v>6023.37</v>
      </c>
      <c r="O173">
        <v>1760.63</v>
      </c>
      <c r="P173" s="19">
        <f>Tabuľka4[[#This Row],[Zisk]]/Tabuľka4[[#This Row],[Trzba]]</f>
        <v>0.22618576567317575</v>
      </c>
      <c r="Q173">
        <v>2024</v>
      </c>
      <c r="R173" t="str">
        <f>TEXT(Tabuľka4[[#This Row],[Datum]],"MMMM")</f>
        <v>august</v>
      </c>
    </row>
    <row r="174" spans="1:18" x14ac:dyDescent="0.3">
      <c r="A174" s="2">
        <v>45520</v>
      </c>
      <c r="B174" t="s">
        <v>343</v>
      </c>
      <c r="C174" t="s">
        <v>48</v>
      </c>
      <c r="D174" t="s">
        <v>49</v>
      </c>
      <c r="E174" t="s">
        <v>21</v>
      </c>
      <c r="F174" t="s">
        <v>58</v>
      </c>
      <c r="G174" t="s">
        <v>71</v>
      </c>
      <c r="H174" t="s">
        <v>333</v>
      </c>
      <c r="I174" t="s">
        <v>63</v>
      </c>
      <c r="J174">
        <v>12</v>
      </c>
      <c r="K174">
        <v>1539</v>
      </c>
      <c r="L174">
        <v>0.1</v>
      </c>
      <c r="M174">
        <v>18468</v>
      </c>
      <c r="N174">
        <v>14043.74</v>
      </c>
      <c r="O174">
        <v>4424.26</v>
      </c>
      <c r="P174" s="19">
        <f>Tabuľka4[[#This Row],[Zisk]]/Tabuľka4[[#This Row],[Trzba]]</f>
        <v>0.23956356941737059</v>
      </c>
      <c r="Q174">
        <v>2024</v>
      </c>
      <c r="R174" t="str">
        <f>TEXT(Tabuľka4[[#This Row],[Datum]],"MMMM")</f>
        <v>august</v>
      </c>
    </row>
    <row r="175" spans="1:18" x14ac:dyDescent="0.3">
      <c r="A175" s="2">
        <v>45558</v>
      </c>
      <c r="B175" t="s">
        <v>344</v>
      </c>
      <c r="C175" t="s">
        <v>345</v>
      </c>
      <c r="D175" t="s">
        <v>20</v>
      </c>
      <c r="E175" t="s">
        <v>0</v>
      </c>
      <c r="F175" t="s">
        <v>43</v>
      </c>
      <c r="G175" t="s">
        <v>71</v>
      </c>
      <c r="H175" t="s">
        <v>333</v>
      </c>
      <c r="I175" t="s">
        <v>25</v>
      </c>
      <c r="J175">
        <v>2</v>
      </c>
      <c r="K175">
        <v>1450</v>
      </c>
      <c r="L175">
        <v>0.1</v>
      </c>
      <c r="M175">
        <v>2900</v>
      </c>
      <c r="N175">
        <v>2152.7600000000002</v>
      </c>
      <c r="O175">
        <v>747.23999999999978</v>
      </c>
      <c r="P175" s="19">
        <f>Tabuľka4[[#This Row],[Zisk]]/Tabuľka4[[#This Row],[Trzba]]</f>
        <v>0.25766896551724128</v>
      </c>
      <c r="Q175">
        <v>2024</v>
      </c>
      <c r="R175" t="str">
        <f>TEXT(Tabuľka4[[#This Row],[Datum]],"MMMM")</f>
        <v>september</v>
      </c>
    </row>
    <row r="176" spans="1:18" x14ac:dyDescent="0.3">
      <c r="A176" s="2">
        <v>45591</v>
      </c>
      <c r="B176" t="s">
        <v>346</v>
      </c>
      <c r="C176" t="s">
        <v>57</v>
      </c>
      <c r="D176" t="s">
        <v>49</v>
      </c>
      <c r="E176" t="s">
        <v>0</v>
      </c>
      <c r="F176" t="s">
        <v>58</v>
      </c>
      <c r="G176" t="s">
        <v>71</v>
      </c>
      <c r="H176" t="s">
        <v>333</v>
      </c>
      <c r="I176" t="s">
        <v>51</v>
      </c>
      <c r="J176">
        <v>11</v>
      </c>
      <c r="K176">
        <v>1691</v>
      </c>
      <c r="L176">
        <v>0</v>
      </c>
      <c r="M176">
        <v>18601</v>
      </c>
      <c r="N176">
        <v>15110.91</v>
      </c>
      <c r="O176">
        <v>3490.09</v>
      </c>
      <c r="P176" s="19">
        <f>Tabuľka4[[#This Row],[Zisk]]/Tabuľka4[[#This Row],[Trzba]]</f>
        <v>0.18762915972259556</v>
      </c>
      <c r="Q176">
        <v>2024</v>
      </c>
      <c r="R176" t="str">
        <f>TEXT(Tabuľka4[[#This Row],[Datum]],"MMMM")</f>
        <v>október</v>
      </c>
    </row>
    <row r="177" spans="1:18" x14ac:dyDescent="0.3">
      <c r="A177" s="2">
        <v>45610</v>
      </c>
      <c r="B177" t="s">
        <v>347</v>
      </c>
      <c r="C177" t="s">
        <v>348</v>
      </c>
      <c r="D177" t="s">
        <v>20</v>
      </c>
      <c r="E177" t="s">
        <v>68</v>
      </c>
      <c r="F177" t="s">
        <v>43</v>
      </c>
      <c r="G177" t="s">
        <v>71</v>
      </c>
      <c r="H177" t="s">
        <v>333</v>
      </c>
      <c r="I177" t="s">
        <v>33</v>
      </c>
      <c r="J177">
        <v>2</v>
      </c>
      <c r="K177">
        <v>2272</v>
      </c>
      <c r="L177">
        <v>0.18</v>
      </c>
      <c r="M177">
        <v>4544</v>
      </c>
      <c r="N177">
        <v>3160.49</v>
      </c>
      <c r="O177">
        <v>1383.5100000000002</v>
      </c>
      <c r="P177" s="19">
        <f>Tabuľka4[[#This Row],[Zisk]]/Tabuľka4[[#This Row],[Trzba]]</f>
        <v>0.30446963028169016</v>
      </c>
      <c r="Q177">
        <v>2024</v>
      </c>
      <c r="R177" t="str">
        <f>TEXT(Tabuľka4[[#This Row],[Datum]],"MMMM")</f>
        <v>november</v>
      </c>
    </row>
    <row r="178" spans="1:18" x14ac:dyDescent="0.3">
      <c r="A178" s="2">
        <v>45648</v>
      </c>
      <c r="B178" t="s">
        <v>349</v>
      </c>
      <c r="C178" t="s">
        <v>132</v>
      </c>
      <c r="D178" t="s">
        <v>49</v>
      </c>
      <c r="E178" t="s">
        <v>0</v>
      </c>
      <c r="F178" t="s">
        <v>43</v>
      </c>
      <c r="G178" t="s">
        <v>71</v>
      </c>
      <c r="H178" t="s">
        <v>333</v>
      </c>
      <c r="I178" t="s">
        <v>63</v>
      </c>
      <c r="J178">
        <v>4</v>
      </c>
      <c r="K178">
        <v>2149</v>
      </c>
      <c r="L178">
        <v>0.14000000000000001</v>
      </c>
      <c r="M178">
        <v>8596</v>
      </c>
      <c r="N178">
        <v>6488.53</v>
      </c>
      <c r="O178">
        <v>2107.4700000000003</v>
      </c>
      <c r="P178" s="19">
        <f>Tabuľka4[[#This Row],[Zisk]]/Tabuľka4[[#This Row],[Trzba]]</f>
        <v>0.24516868310842255</v>
      </c>
      <c r="Q178">
        <v>2024</v>
      </c>
      <c r="R178" t="str">
        <f>TEXT(Tabuľka4[[#This Row],[Datum]],"MMMM")</f>
        <v>december</v>
      </c>
    </row>
    <row r="179" spans="1:18" x14ac:dyDescent="0.3">
      <c r="A179" s="2">
        <v>45774</v>
      </c>
      <c r="B179" t="s">
        <v>350</v>
      </c>
      <c r="C179" t="s">
        <v>57</v>
      </c>
      <c r="D179" t="s">
        <v>49</v>
      </c>
      <c r="E179" t="s">
        <v>50</v>
      </c>
      <c r="F179" t="s">
        <v>43</v>
      </c>
      <c r="G179" t="s">
        <v>71</v>
      </c>
      <c r="H179" t="s">
        <v>333</v>
      </c>
      <c r="I179" t="s">
        <v>30</v>
      </c>
      <c r="J179">
        <v>6</v>
      </c>
      <c r="K179">
        <v>895</v>
      </c>
      <c r="L179">
        <v>0.08</v>
      </c>
      <c r="M179">
        <v>5370</v>
      </c>
      <c r="N179">
        <v>4341.09</v>
      </c>
      <c r="O179">
        <v>1028.9099999999999</v>
      </c>
      <c r="P179" s="19">
        <f>Tabuľka4[[#This Row],[Zisk]]/Tabuľka4[[#This Row],[Trzba]]</f>
        <v>0.19160335195530723</v>
      </c>
      <c r="Q179">
        <v>2025</v>
      </c>
      <c r="R179" t="str">
        <f>TEXT(Tabuľka4[[#This Row],[Datum]],"MMMM")</f>
        <v>apríl</v>
      </c>
    </row>
    <row r="180" spans="1:18" x14ac:dyDescent="0.3">
      <c r="A180" s="2">
        <v>45799</v>
      </c>
      <c r="B180" t="s">
        <v>351</v>
      </c>
      <c r="C180" t="s">
        <v>352</v>
      </c>
      <c r="D180" t="s">
        <v>20</v>
      </c>
      <c r="E180" t="s">
        <v>21</v>
      </c>
      <c r="F180" t="s">
        <v>43</v>
      </c>
      <c r="G180" t="s">
        <v>71</v>
      </c>
      <c r="H180" t="s">
        <v>333</v>
      </c>
      <c r="I180" t="s">
        <v>33</v>
      </c>
      <c r="J180">
        <v>2</v>
      </c>
      <c r="K180">
        <v>2042</v>
      </c>
      <c r="L180">
        <v>0.03</v>
      </c>
      <c r="M180">
        <v>4084</v>
      </c>
      <c r="N180">
        <v>3181.43</v>
      </c>
      <c r="O180">
        <v>902.57000000000016</v>
      </c>
      <c r="P180" s="19">
        <f>Tabuľka4[[#This Row],[Zisk]]/Tabuľka4[[#This Row],[Trzba]]</f>
        <v>0.22100146914789426</v>
      </c>
      <c r="Q180">
        <v>2025</v>
      </c>
      <c r="R180" t="str">
        <f>TEXT(Tabuľka4[[#This Row],[Datum]],"MMMM")</f>
        <v>máj</v>
      </c>
    </row>
    <row r="181" spans="1:18" x14ac:dyDescent="0.3">
      <c r="A181" s="2">
        <v>45834</v>
      </c>
      <c r="B181" t="s">
        <v>353</v>
      </c>
      <c r="C181" t="s">
        <v>354</v>
      </c>
      <c r="D181" t="s">
        <v>20</v>
      </c>
      <c r="E181" t="s">
        <v>68</v>
      </c>
      <c r="F181" t="s">
        <v>22</v>
      </c>
      <c r="G181" t="s">
        <v>71</v>
      </c>
      <c r="H181" t="s">
        <v>333</v>
      </c>
      <c r="I181" t="s">
        <v>33</v>
      </c>
      <c r="J181">
        <v>4</v>
      </c>
      <c r="K181">
        <v>2451</v>
      </c>
      <c r="L181">
        <v>0.15</v>
      </c>
      <c r="M181">
        <v>9804</v>
      </c>
      <c r="N181">
        <v>6914.57</v>
      </c>
      <c r="O181">
        <v>2889.4300000000003</v>
      </c>
      <c r="P181" s="19">
        <f>Tabuľka4[[#This Row],[Zisk]]/Tabuľka4[[#This Row],[Trzba]]</f>
        <v>0.29471950224398208</v>
      </c>
      <c r="Q181">
        <v>2025</v>
      </c>
      <c r="R181" t="str">
        <f>TEXT(Tabuľka4[[#This Row],[Datum]],"MMMM")</f>
        <v>jún</v>
      </c>
    </row>
    <row r="182" spans="1:18" x14ac:dyDescent="0.3">
      <c r="A182" s="2">
        <v>45951</v>
      </c>
      <c r="B182" t="s">
        <v>355</v>
      </c>
      <c r="C182" t="s">
        <v>214</v>
      </c>
      <c r="D182" t="s">
        <v>20</v>
      </c>
      <c r="E182" t="s">
        <v>21</v>
      </c>
      <c r="F182" t="s">
        <v>43</v>
      </c>
      <c r="G182" t="s">
        <v>71</v>
      </c>
      <c r="H182" t="s">
        <v>333</v>
      </c>
      <c r="I182" t="s">
        <v>38</v>
      </c>
      <c r="J182">
        <v>3</v>
      </c>
      <c r="K182">
        <v>2264</v>
      </c>
      <c r="L182">
        <v>0.11</v>
      </c>
      <c r="M182">
        <v>6792</v>
      </c>
      <c r="N182">
        <v>5338.26</v>
      </c>
      <c r="O182">
        <v>1453.7399999999998</v>
      </c>
      <c r="P182" s="19">
        <f>Tabuľka4[[#This Row],[Zisk]]/Tabuľka4[[#This Row],[Trzba]]</f>
        <v>0.21403710247349819</v>
      </c>
      <c r="Q182">
        <v>2025</v>
      </c>
      <c r="R182" t="str">
        <f>TEXT(Tabuľka4[[#This Row],[Datum]],"MMMM")</f>
        <v>október</v>
      </c>
    </row>
    <row r="183" spans="1:18" x14ac:dyDescent="0.3">
      <c r="A183" s="2">
        <v>45952</v>
      </c>
      <c r="B183" t="s">
        <v>356</v>
      </c>
      <c r="C183" t="s">
        <v>357</v>
      </c>
      <c r="D183" t="s">
        <v>20</v>
      </c>
      <c r="E183" t="s">
        <v>0</v>
      </c>
      <c r="F183" t="s">
        <v>43</v>
      </c>
      <c r="G183" t="s">
        <v>71</v>
      </c>
      <c r="H183" t="s">
        <v>333</v>
      </c>
      <c r="I183" t="s">
        <v>25</v>
      </c>
      <c r="J183">
        <v>4</v>
      </c>
      <c r="K183">
        <v>1103</v>
      </c>
      <c r="L183">
        <v>0.12</v>
      </c>
      <c r="M183">
        <v>4412</v>
      </c>
      <c r="N183">
        <v>3327.47</v>
      </c>
      <c r="O183">
        <v>1084.5300000000002</v>
      </c>
      <c r="P183" s="19">
        <f>Tabuľka4[[#This Row],[Zisk]]/Tabuľka4[[#This Row],[Trzba]]</f>
        <v>0.24581368993653677</v>
      </c>
      <c r="Q183">
        <v>2025</v>
      </c>
      <c r="R183" t="str">
        <f>TEXT(Tabuľka4[[#This Row],[Datum]],"MMMM")</f>
        <v>október</v>
      </c>
    </row>
    <row r="184" spans="1:18" x14ac:dyDescent="0.3">
      <c r="A184" s="2">
        <v>45965</v>
      </c>
      <c r="B184" t="s">
        <v>358</v>
      </c>
      <c r="C184" t="s">
        <v>359</v>
      </c>
      <c r="D184" t="s">
        <v>20</v>
      </c>
      <c r="E184" t="s">
        <v>0</v>
      </c>
      <c r="F184" t="s">
        <v>22</v>
      </c>
      <c r="G184" t="s">
        <v>71</v>
      </c>
      <c r="H184" t="s">
        <v>333</v>
      </c>
      <c r="I184" t="s">
        <v>25</v>
      </c>
      <c r="J184">
        <v>2</v>
      </c>
      <c r="K184">
        <v>1579</v>
      </c>
      <c r="L184">
        <v>0.04</v>
      </c>
      <c r="M184">
        <v>3158</v>
      </c>
      <c r="N184">
        <v>2095.33</v>
      </c>
      <c r="O184">
        <v>1062.67</v>
      </c>
      <c r="P184" s="19">
        <f>Tabuľka4[[#This Row],[Zisk]]/Tabuľka4[[#This Row],[Trzba]]</f>
        <v>0.33650094996833441</v>
      </c>
      <c r="Q184">
        <v>2025</v>
      </c>
      <c r="R184" t="str">
        <f>TEXT(Tabuľka4[[#This Row],[Datum]],"MMMM")</f>
        <v>november</v>
      </c>
    </row>
    <row r="185" spans="1:18" x14ac:dyDescent="0.3">
      <c r="A185" s="2">
        <v>45975</v>
      </c>
      <c r="B185" t="s">
        <v>360</v>
      </c>
      <c r="C185" t="s">
        <v>57</v>
      </c>
      <c r="D185" t="s">
        <v>49</v>
      </c>
      <c r="E185" t="s">
        <v>0</v>
      </c>
      <c r="F185" t="s">
        <v>58</v>
      </c>
      <c r="G185" t="s">
        <v>71</v>
      </c>
      <c r="H185" t="s">
        <v>333</v>
      </c>
      <c r="I185" t="s">
        <v>38</v>
      </c>
      <c r="J185">
        <v>6</v>
      </c>
      <c r="K185">
        <v>1458</v>
      </c>
      <c r="L185">
        <v>0.18</v>
      </c>
      <c r="M185">
        <v>8748</v>
      </c>
      <c r="N185">
        <v>5940.39</v>
      </c>
      <c r="O185">
        <v>2807.6099999999997</v>
      </c>
      <c r="P185" s="19">
        <f>Tabuľka4[[#This Row],[Zisk]]/Tabuľka4[[#This Row],[Trzba]]</f>
        <v>0.32094307270233191</v>
      </c>
      <c r="Q185">
        <v>2025</v>
      </c>
      <c r="R185" t="str">
        <f>TEXT(Tabuľka4[[#This Row],[Datum]],"MMMM")</f>
        <v>november</v>
      </c>
    </row>
    <row r="186" spans="1:18" x14ac:dyDescent="0.3">
      <c r="A186" s="2">
        <v>46023</v>
      </c>
      <c r="B186" t="s">
        <v>361</v>
      </c>
      <c r="C186" t="s">
        <v>362</v>
      </c>
      <c r="D186" t="s">
        <v>20</v>
      </c>
      <c r="E186" t="s">
        <v>0</v>
      </c>
      <c r="F186" t="s">
        <v>22</v>
      </c>
      <c r="G186" t="s">
        <v>71</v>
      </c>
      <c r="H186" t="s">
        <v>333</v>
      </c>
      <c r="I186" t="s">
        <v>25</v>
      </c>
      <c r="J186">
        <v>3</v>
      </c>
      <c r="K186">
        <v>1698</v>
      </c>
      <c r="L186">
        <v>0.05</v>
      </c>
      <c r="M186">
        <v>5094</v>
      </c>
      <c r="N186">
        <v>4437.38</v>
      </c>
      <c r="O186">
        <v>656.61999999999989</v>
      </c>
      <c r="P186" s="19">
        <f>Tabuľka4[[#This Row],[Zisk]]/Tabuľka4[[#This Row],[Trzba]]</f>
        <v>0.12890066745190418</v>
      </c>
      <c r="Q186">
        <v>2026</v>
      </c>
      <c r="R186" t="str">
        <f>TEXT(Tabuľka4[[#This Row],[Datum]],"MMMM")</f>
        <v>január</v>
      </c>
    </row>
    <row r="187" spans="1:18" x14ac:dyDescent="0.3">
      <c r="A187" s="2">
        <v>46045</v>
      </c>
      <c r="B187" t="s">
        <v>363</v>
      </c>
      <c r="C187" t="s">
        <v>364</v>
      </c>
      <c r="D187" t="s">
        <v>20</v>
      </c>
      <c r="E187" t="s">
        <v>0</v>
      </c>
      <c r="F187" t="s">
        <v>22</v>
      </c>
      <c r="G187" t="s">
        <v>71</v>
      </c>
      <c r="H187" t="s">
        <v>333</v>
      </c>
      <c r="I187" t="s">
        <v>38</v>
      </c>
      <c r="J187">
        <v>3</v>
      </c>
      <c r="K187">
        <v>1093</v>
      </c>
      <c r="L187">
        <v>0.15</v>
      </c>
      <c r="M187">
        <v>3279</v>
      </c>
      <c r="N187">
        <v>2179.0500000000002</v>
      </c>
      <c r="O187">
        <v>1099.9499999999998</v>
      </c>
      <c r="P187" s="19">
        <f>Tabuľka4[[#This Row],[Zisk]]/Tabuľka4[[#This Row],[Trzba]]</f>
        <v>0.3354528819762122</v>
      </c>
      <c r="Q187">
        <v>2026</v>
      </c>
      <c r="R187" t="str">
        <f>TEXT(Tabuľka4[[#This Row],[Datum]],"MMMM")</f>
        <v>január</v>
      </c>
    </row>
    <row r="188" spans="1:18" x14ac:dyDescent="0.3">
      <c r="A188" s="2">
        <v>45360</v>
      </c>
      <c r="B188" t="s">
        <v>365</v>
      </c>
      <c r="C188" t="s">
        <v>366</v>
      </c>
      <c r="D188" t="s">
        <v>20</v>
      </c>
      <c r="E188" t="s">
        <v>50</v>
      </c>
      <c r="F188" t="s">
        <v>22</v>
      </c>
      <c r="G188" t="s">
        <v>71</v>
      </c>
      <c r="H188" t="s">
        <v>367</v>
      </c>
      <c r="I188" t="s">
        <v>25</v>
      </c>
      <c r="J188">
        <v>2</v>
      </c>
      <c r="K188">
        <v>1123</v>
      </c>
      <c r="L188">
        <v>0.09</v>
      </c>
      <c r="M188">
        <v>2246</v>
      </c>
      <c r="N188">
        <v>1545.57</v>
      </c>
      <c r="O188">
        <v>700.43000000000006</v>
      </c>
      <c r="P188" s="19">
        <f>Tabuľka4[[#This Row],[Zisk]]/Tabuľka4[[#This Row],[Trzba]]</f>
        <v>0.31185663401602853</v>
      </c>
      <c r="Q188">
        <v>2024</v>
      </c>
      <c r="R188" t="str">
        <f>TEXT(Tabuľka4[[#This Row],[Datum]],"MMMM")</f>
        <v>marec</v>
      </c>
    </row>
    <row r="189" spans="1:18" x14ac:dyDescent="0.3">
      <c r="A189" s="2">
        <v>45364</v>
      </c>
      <c r="B189" t="s">
        <v>368</v>
      </c>
      <c r="C189" t="s">
        <v>369</v>
      </c>
      <c r="D189" t="s">
        <v>20</v>
      </c>
      <c r="E189" t="s">
        <v>50</v>
      </c>
      <c r="F189" t="s">
        <v>22</v>
      </c>
      <c r="G189" t="s">
        <v>71</v>
      </c>
      <c r="H189" t="s">
        <v>367</v>
      </c>
      <c r="I189" t="s">
        <v>30</v>
      </c>
      <c r="J189">
        <v>2</v>
      </c>
      <c r="K189">
        <v>1045</v>
      </c>
      <c r="L189">
        <v>0.1</v>
      </c>
      <c r="M189">
        <v>2090</v>
      </c>
      <c r="N189">
        <v>1531.25</v>
      </c>
      <c r="O189">
        <v>558.75</v>
      </c>
      <c r="P189" s="19">
        <f>Tabuľka4[[#This Row],[Zisk]]/Tabuľka4[[#This Row],[Trzba]]</f>
        <v>0.2673444976076555</v>
      </c>
      <c r="Q189">
        <v>2024</v>
      </c>
      <c r="R189" t="str">
        <f>TEXT(Tabuľka4[[#This Row],[Datum]],"MMMM")</f>
        <v>marec</v>
      </c>
    </row>
    <row r="190" spans="1:18" x14ac:dyDescent="0.3">
      <c r="A190" s="2">
        <v>45437</v>
      </c>
      <c r="B190" t="s">
        <v>370</v>
      </c>
      <c r="C190" t="s">
        <v>371</v>
      </c>
      <c r="D190" t="s">
        <v>20</v>
      </c>
      <c r="E190" t="s">
        <v>21</v>
      </c>
      <c r="F190" t="s">
        <v>43</v>
      </c>
      <c r="G190" t="s">
        <v>71</v>
      </c>
      <c r="H190" t="s">
        <v>367</v>
      </c>
      <c r="I190" t="s">
        <v>38</v>
      </c>
      <c r="J190">
        <v>2</v>
      </c>
      <c r="K190">
        <v>807</v>
      </c>
      <c r="L190">
        <v>0.04</v>
      </c>
      <c r="M190">
        <v>1614</v>
      </c>
      <c r="N190">
        <v>1303.4000000000001</v>
      </c>
      <c r="O190">
        <v>310.59999999999991</v>
      </c>
      <c r="P190" s="19">
        <f>Tabuľka4[[#This Row],[Zisk]]/Tabuľka4[[#This Row],[Trzba]]</f>
        <v>0.1924411400247831</v>
      </c>
      <c r="Q190">
        <v>2024</v>
      </c>
      <c r="R190" t="str">
        <f>TEXT(Tabuľka4[[#This Row],[Datum]],"MMMM")</f>
        <v>máj</v>
      </c>
    </row>
    <row r="191" spans="1:18" x14ac:dyDescent="0.3">
      <c r="A191" s="2">
        <v>45506</v>
      </c>
      <c r="B191" t="s">
        <v>372</v>
      </c>
      <c r="C191" t="s">
        <v>373</v>
      </c>
      <c r="D191" t="s">
        <v>20</v>
      </c>
      <c r="E191" t="s">
        <v>50</v>
      </c>
      <c r="F191" t="s">
        <v>43</v>
      </c>
      <c r="G191" t="s">
        <v>71</v>
      </c>
      <c r="H191" t="s">
        <v>367</v>
      </c>
      <c r="I191" t="s">
        <v>33</v>
      </c>
      <c r="J191">
        <v>1</v>
      </c>
      <c r="K191">
        <v>1341</v>
      </c>
      <c r="L191">
        <v>0.01</v>
      </c>
      <c r="M191">
        <v>1341</v>
      </c>
      <c r="N191">
        <v>1090.24</v>
      </c>
      <c r="O191">
        <v>250.76</v>
      </c>
      <c r="P191" s="19">
        <f>Tabuľka4[[#This Row],[Zisk]]/Tabuľka4[[#This Row],[Trzba]]</f>
        <v>0.18699478001491424</v>
      </c>
      <c r="Q191">
        <v>2024</v>
      </c>
      <c r="R191" t="str">
        <f>TEXT(Tabuľka4[[#This Row],[Datum]],"MMMM")</f>
        <v>august</v>
      </c>
    </row>
    <row r="192" spans="1:18" x14ac:dyDescent="0.3">
      <c r="A192" s="2">
        <v>45538</v>
      </c>
      <c r="B192" t="s">
        <v>374</v>
      </c>
      <c r="C192" t="s">
        <v>185</v>
      </c>
      <c r="D192" t="s">
        <v>49</v>
      </c>
      <c r="E192" t="s">
        <v>21</v>
      </c>
      <c r="F192" t="s">
        <v>58</v>
      </c>
      <c r="G192" t="s">
        <v>71</v>
      </c>
      <c r="H192" t="s">
        <v>367</v>
      </c>
      <c r="I192" t="s">
        <v>51</v>
      </c>
      <c r="J192">
        <v>10</v>
      </c>
      <c r="K192">
        <v>831</v>
      </c>
      <c r="L192">
        <v>0.1</v>
      </c>
      <c r="M192">
        <v>8310</v>
      </c>
      <c r="N192">
        <v>6154.09</v>
      </c>
      <c r="O192">
        <v>2155.91</v>
      </c>
      <c r="P192" s="19">
        <f>Tabuľka4[[#This Row],[Zisk]]/Tabuľka4[[#This Row],[Trzba]]</f>
        <v>0.25943561973525869</v>
      </c>
      <c r="Q192">
        <v>2024</v>
      </c>
      <c r="R192" t="str">
        <f>TEXT(Tabuľka4[[#This Row],[Datum]],"MMMM")</f>
        <v>september</v>
      </c>
    </row>
    <row r="193" spans="1:18" x14ac:dyDescent="0.3">
      <c r="A193" s="2">
        <v>45610</v>
      </c>
      <c r="B193" t="s">
        <v>375</v>
      </c>
      <c r="C193" t="s">
        <v>376</v>
      </c>
      <c r="D193" t="s">
        <v>20</v>
      </c>
      <c r="E193" t="s">
        <v>0</v>
      </c>
      <c r="F193" t="s">
        <v>22</v>
      </c>
      <c r="G193" t="s">
        <v>71</v>
      </c>
      <c r="H193" t="s">
        <v>367</v>
      </c>
      <c r="I193" t="s">
        <v>46</v>
      </c>
      <c r="J193">
        <v>1</v>
      </c>
      <c r="K193">
        <v>1201</v>
      </c>
      <c r="L193">
        <v>0.09</v>
      </c>
      <c r="M193">
        <v>1201</v>
      </c>
      <c r="N193">
        <v>830.29</v>
      </c>
      <c r="O193">
        <v>370.71000000000004</v>
      </c>
      <c r="P193" s="19">
        <f>Tabuľka4[[#This Row],[Zisk]]/Tabuľka4[[#This Row],[Trzba]]</f>
        <v>0.30866777685262287</v>
      </c>
      <c r="Q193">
        <v>2024</v>
      </c>
      <c r="R193" t="str">
        <f>TEXT(Tabuľka4[[#This Row],[Datum]],"MMMM")</f>
        <v>november</v>
      </c>
    </row>
    <row r="194" spans="1:18" x14ac:dyDescent="0.3">
      <c r="A194" s="2">
        <v>45621</v>
      </c>
      <c r="B194" t="s">
        <v>377</v>
      </c>
      <c r="C194" t="s">
        <v>378</v>
      </c>
      <c r="D194" t="s">
        <v>20</v>
      </c>
      <c r="E194" t="s">
        <v>0</v>
      </c>
      <c r="F194" t="s">
        <v>22</v>
      </c>
      <c r="G194" t="s">
        <v>71</v>
      </c>
      <c r="H194" t="s">
        <v>367</v>
      </c>
      <c r="I194" t="s">
        <v>33</v>
      </c>
      <c r="J194">
        <v>4</v>
      </c>
      <c r="K194">
        <v>729</v>
      </c>
      <c r="L194">
        <v>0.14000000000000001</v>
      </c>
      <c r="M194">
        <v>2916</v>
      </c>
      <c r="N194">
        <v>1908.3</v>
      </c>
      <c r="O194">
        <v>1007.7</v>
      </c>
      <c r="P194" s="19">
        <f>Tabuľka4[[#This Row],[Zisk]]/Tabuľka4[[#This Row],[Trzba]]</f>
        <v>0.34557613168724283</v>
      </c>
      <c r="Q194">
        <v>2024</v>
      </c>
      <c r="R194" t="str">
        <f>TEXT(Tabuľka4[[#This Row],[Datum]],"MMMM")</f>
        <v>november</v>
      </c>
    </row>
    <row r="195" spans="1:18" x14ac:dyDescent="0.3">
      <c r="A195" s="2">
        <v>45642</v>
      </c>
      <c r="B195" t="s">
        <v>379</v>
      </c>
      <c r="C195" t="s">
        <v>380</v>
      </c>
      <c r="D195" t="s">
        <v>20</v>
      </c>
      <c r="E195" t="s">
        <v>21</v>
      </c>
      <c r="F195" t="s">
        <v>43</v>
      </c>
      <c r="G195" t="s">
        <v>71</v>
      </c>
      <c r="H195" t="s">
        <v>367</v>
      </c>
      <c r="I195" t="s">
        <v>33</v>
      </c>
      <c r="J195">
        <v>3</v>
      </c>
      <c r="K195">
        <v>720</v>
      </c>
      <c r="L195">
        <v>0.05</v>
      </c>
      <c r="M195">
        <v>2160</v>
      </c>
      <c r="N195">
        <v>1696.85</v>
      </c>
      <c r="O195">
        <v>463.15000000000009</v>
      </c>
      <c r="P195" s="19">
        <f>Tabuľka4[[#This Row],[Zisk]]/Tabuľka4[[#This Row],[Trzba]]</f>
        <v>0.21442129629629633</v>
      </c>
      <c r="Q195">
        <v>2024</v>
      </c>
      <c r="R195" t="str">
        <f>TEXT(Tabuľka4[[#This Row],[Datum]],"MMMM")</f>
        <v>december</v>
      </c>
    </row>
    <row r="196" spans="1:18" x14ac:dyDescent="0.3">
      <c r="A196" s="2">
        <v>45658</v>
      </c>
      <c r="B196" t="s">
        <v>381</v>
      </c>
      <c r="C196" t="s">
        <v>126</v>
      </c>
      <c r="D196" t="s">
        <v>20</v>
      </c>
      <c r="E196" t="s">
        <v>50</v>
      </c>
      <c r="F196" t="s">
        <v>43</v>
      </c>
      <c r="G196" t="s">
        <v>71</v>
      </c>
      <c r="H196" t="s">
        <v>367</v>
      </c>
      <c r="I196" t="s">
        <v>46</v>
      </c>
      <c r="J196">
        <v>4</v>
      </c>
      <c r="K196">
        <v>1090</v>
      </c>
      <c r="L196">
        <v>0.14000000000000001</v>
      </c>
      <c r="M196">
        <v>4360</v>
      </c>
      <c r="N196">
        <v>2818.2</v>
      </c>
      <c r="O196">
        <v>1541.8000000000002</v>
      </c>
      <c r="P196" s="19">
        <f>Tabuľka4[[#This Row],[Zisk]]/Tabuľka4[[#This Row],[Trzba]]</f>
        <v>0.3536238532110092</v>
      </c>
      <c r="Q196">
        <v>2025</v>
      </c>
      <c r="R196" t="str">
        <f>TEXT(Tabuľka4[[#This Row],[Datum]],"MMMM")</f>
        <v>január</v>
      </c>
    </row>
    <row r="197" spans="1:18" x14ac:dyDescent="0.3">
      <c r="A197" s="2">
        <v>45765</v>
      </c>
      <c r="B197" t="s">
        <v>382</v>
      </c>
      <c r="C197" t="s">
        <v>383</v>
      </c>
      <c r="D197" t="s">
        <v>20</v>
      </c>
      <c r="E197" t="s">
        <v>68</v>
      </c>
      <c r="F197" t="s">
        <v>43</v>
      </c>
      <c r="G197" t="s">
        <v>71</v>
      </c>
      <c r="H197" t="s">
        <v>367</v>
      </c>
      <c r="I197" t="s">
        <v>46</v>
      </c>
      <c r="J197">
        <v>2</v>
      </c>
      <c r="K197">
        <v>1296</v>
      </c>
      <c r="L197">
        <v>0.08</v>
      </c>
      <c r="M197">
        <v>2592</v>
      </c>
      <c r="N197">
        <v>1937.58</v>
      </c>
      <c r="O197">
        <v>654.42000000000007</v>
      </c>
      <c r="P197" s="19">
        <f>Tabuľka4[[#This Row],[Zisk]]/Tabuľka4[[#This Row],[Trzba]]</f>
        <v>0.25247685185185187</v>
      </c>
      <c r="Q197">
        <v>2025</v>
      </c>
      <c r="R197" t="str">
        <f>TEXT(Tabuľka4[[#This Row],[Datum]],"MMMM")</f>
        <v>apríl</v>
      </c>
    </row>
    <row r="198" spans="1:18" x14ac:dyDescent="0.3">
      <c r="A198" s="2">
        <v>45948</v>
      </c>
      <c r="B198" t="s">
        <v>384</v>
      </c>
      <c r="C198" t="s">
        <v>385</v>
      </c>
      <c r="D198" t="s">
        <v>20</v>
      </c>
      <c r="E198" t="s">
        <v>0</v>
      </c>
      <c r="F198" t="s">
        <v>43</v>
      </c>
      <c r="G198" t="s">
        <v>71</v>
      </c>
      <c r="H198" t="s">
        <v>367</v>
      </c>
      <c r="I198" t="s">
        <v>30</v>
      </c>
      <c r="J198">
        <v>5</v>
      </c>
      <c r="K198">
        <v>852</v>
      </c>
      <c r="L198">
        <v>0.09</v>
      </c>
      <c r="M198">
        <v>4260</v>
      </c>
      <c r="N198">
        <v>3341.36</v>
      </c>
      <c r="O198">
        <v>918.63999999999987</v>
      </c>
      <c r="P198" s="19">
        <f>Tabuľka4[[#This Row],[Zisk]]/Tabuľka4[[#This Row],[Trzba]]</f>
        <v>0.21564319248826289</v>
      </c>
      <c r="Q198">
        <v>2025</v>
      </c>
      <c r="R198" t="str">
        <f>TEXT(Tabuľka4[[#This Row],[Datum]],"MMMM")</f>
        <v>október</v>
      </c>
    </row>
    <row r="199" spans="1:18" x14ac:dyDescent="0.3">
      <c r="A199" s="2">
        <v>45952</v>
      </c>
      <c r="B199" t="s">
        <v>386</v>
      </c>
      <c r="C199" t="s">
        <v>387</v>
      </c>
      <c r="D199" t="s">
        <v>20</v>
      </c>
      <c r="E199" t="s">
        <v>21</v>
      </c>
      <c r="F199" t="s">
        <v>22</v>
      </c>
      <c r="G199" t="s">
        <v>71</v>
      </c>
      <c r="H199" t="s">
        <v>367</v>
      </c>
      <c r="I199" t="s">
        <v>51</v>
      </c>
      <c r="J199">
        <v>2</v>
      </c>
      <c r="K199">
        <v>1265</v>
      </c>
      <c r="L199">
        <v>0.09</v>
      </c>
      <c r="M199">
        <v>2530</v>
      </c>
      <c r="N199">
        <v>1993.53</v>
      </c>
      <c r="O199">
        <v>536.47</v>
      </c>
      <c r="P199" s="19">
        <f>Tabuľka4[[#This Row],[Zisk]]/Tabuľka4[[#This Row],[Trzba]]</f>
        <v>0.21204347826086958</v>
      </c>
      <c r="Q199">
        <v>2025</v>
      </c>
      <c r="R199" t="str">
        <f>TEXT(Tabuľka4[[#This Row],[Datum]],"MMMM")</f>
        <v>október</v>
      </c>
    </row>
    <row r="200" spans="1:18" x14ac:dyDescent="0.3">
      <c r="A200" s="2">
        <v>45975</v>
      </c>
      <c r="B200" t="s">
        <v>388</v>
      </c>
      <c r="C200" t="s">
        <v>389</v>
      </c>
      <c r="D200" t="s">
        <v>20</v>
      </c>
      <c r="E200" t="s">
        <v>21</v>
      </c>
      <c r="F200" t="s">
        <v>22</v>
      </c>
      <c r="G200" t="s">
        <v>71</v>
      </c>
      <c r="H200" t="s">
        <v>367</v>
      </c>
      <c r="I200" t="s">
        <v>25</v>
      </c>
      <c r="J200">
        <v>3</v>
      </c>
      <c r="K200">
        <v>1478</v>
      </c>
      <c r="L200">
        <v>0.05</v>
      </c>
      <c r="M200">
        <v>4434</v>
      </c>
      <c r="N200">
        <v>3078.15</v>
      </c>
      <c r="O200">
        <v>1355.85</v>
      </c>
      <c r="P200" s="19">
        <f>Tabuľka4[[#This Row],[Zisk]]/Tabuľka4[[#This Row],[Trzba]]</f>
        <v>0.30578484438430309</v>
      </c>
      <c r="Q200">
        <v>2025</v>
      </c>
      <c r="R200" t="str">
        <f>TEXT(Tabuľka4[[#This Row],[Datum]],"MMMM")</f>
        <v>november</v>
      </c>
    </row>
    <row r="201" spans="1:18" x14ac:dyDescent="0.3">
      <c r="A201" s="2">
        <v>45994</v>
      </c>
      <c r="B201" t="s">
        <v>390</v>
      </c>
      <c r="C201" t="s">
        <v>391</v>
      </c>
      <c r="D201" t="s">
        <v>20</v>
      </c>
      <c r="E201" t="s">
        <v>0</v>
      </c>
      <c r="F201" t="s">
        <v>43</v>
      </c>
      <c r="G201" t="s">
        <v>71</v>
      </c>
      <c r="H201" t="s">
        <v>367</v>
      </c>
      <c r="I201" t="s">
        <v>33</v>
      </c>
      <c r="J201">
        <v>1</v>
      </c>
      <c r="K201">
        <v>1146</v>
      </c>
      <c r="L201">
        <v>0.13</v>
      </c>
      <c r="M201">
        <v>1146</v>
      </c>
      <c r="N201">
        <v>783.66</v>
      </c>
      <c r="O201">
        <v>362.34000000000003</v>
      </c>
      <c r="P201" s="19">
        <f>Tabuľka4[[#This Row],[Zisk]]/Tabuľka4[[#This Row],[Trzba]]</f>
        <v>0.3161780104712042</v>
      </c>
      <c r="Q201">
        <v>2025</v>
      </c>
      <c r="R201" t="str">
        <f>TEXT(Tabuľka4[[#This Row],[Datum]],"MMMM")</f>
        <v>december</v>
      </c>
    </row>
    <row r="202" spans="1:18" x14ac:dyDescent="0.3">
      <c r="A202" s="2">
        <v>46013</v>
      </c>
      <c r="B202" t="s">
        <v>392</v>
      </c>
      <c r="C202" t="s">
        <v>273</v>
      </c>
      <c r="D202" t="s">
        <v>20</v>
      </c>
      <c r="E202" t="s">
        <v>21</v>
      </c>
      <c r="F202" t="s">
        <v>22</v>
      </c>
      <c r="G202" t="s">
        <v>71</v>
      </c>
      <c r="H202" t="s">
        <v>367</v>
      </c>
      <c r="I202" t="s">
        <v>38</v>
      </c>
      <c r="J202">
        <v>2</v>
      </c>
      <c r="K202">
        <v>1150</v>
      </c>
      <c r="L202">
        <v>0.14000000000000001</v>
      </c>
      <c r="M202">
        <v>2300</v>
      </c>
      <c r="N202">
        <v>1765.6</v>
      </c>
      <c r="O202">
        <v>534.40000000000009</v>
      </c>
      <c r="P202" s="19">
        <f>Tabuľka4[[#This Row],[Zisk]]/Tabuľka4[[#This Row],[Trzba]]</f>
        <v>0.23234782608695656</v>
      </c>
      <c r="Q202">
        <v>2025</v>
      </c>
      <c r="R202" t="str">
        <f>TEXT(Tabuľka4[[#This Row],[Datum]],"MMMM")</f>
        <v>december</v>
      </c>
    </row>
    <row r="203" spans="1:18" x14ac:dyDescent="0.3">
      <c r="A203" s="2">
        <v>46042</v>
      </c>
      <c r="B203" t="s">
        <v>393</v>
      </c>
      <c r="C203" t="s">
        <v>48</v>
      </c>
      <c r="D203" t="s">
        <v>49</v>
      </c>
      <c r="E203" t="s">
        <v>0</v>
      </c>
      <c r="F203" t="s">
        <v>58</v>
      </c>
      <c r="G203" t="s">
        <v>71</v>
      </c>
      <c r="H203" t="s">
        <v>367</v>
      </c>
      <c r="I203" t="s">
        <v>88</v>
      </c>
      <c r="J203">
        <v>6</v>
      </c>
      <c r="K203">
        <v>860</v>
      </c>
      <c r="L203">
        <v>0.13</v>
      </c>
      <c r="M203">
        <v>5160</v>
      </c>
      <c r="N203">
        <v>3791.64</v>
      </c>
      <c r="O203">
        <v>1368.3600000000001</v>
      </c>
      <c r="P203" s="19">
        <f>Tabuľka4[[#This Row],[Zisk]]/Tabuľka4[[#This Row],[Trzba]]</f>
        <v>0.26518604651162792</v>
      </c>
      <c r="Q203">
        <v>2026</v>
      </c>
      <c r="R203" t="str">
        <f>TEXT(Tabuľka4[[#This Row],[Datum]],"MMMM")</f>
        <v>január</v>
      </c>
    </row>
    <row r="204" spans="1:18" x14ac:dyDescent="0.3">
      <c r="A204" s="2">
        <v>46062</v>
      </c>
      <c r="B204" t="s">
        <v>394</v>
      </c>
      <c r="C204" t="s">
        <v>74</v>
      </c>
      <c r="D204" t="s">
        <v>49</v>
      </c>
      <c r="E204" t="s">
        <v>0</v>
      </c>
      <c r="F204" t="s">
        <v>58</v>
      </c>
      <c r="G204" t="s">
        <v>71</v>
      </c>
      <c r="H204" t="s">
        <v>367</v>
      </c>
      <c r="I204" t="s">
        <v>30</v>
      </c>
      <c r="J204">
        <v>5</v>
      </c>
      <c r="K204">
        <v>926</v>
      </c>
      <c r="L204">
        <v>0.08</v>
      </c>
      <c r="M204">
        <v>4630</v>
      </c>
      <c r="N204">
        <v>3634.89</v>
      </c>
      <c r="O204">
        <v>995.11000000000013</v>
      </c>
      <c r="P204" s="19">
        <f>Tabuľka4[[#This Row],[Zisk]]/Tabuľka4[[#This Row],[Trzba]]</f>
        <v>0.21492656587473005</v>
      </c>
      <c r="Q204">
        <v>2026</v>
      </c>
      <c r="R204" t="str">
        <f>TEXT(Tabuľka4[[#This Row],[Datum]],"MMMM")</f>
        <v>február</v>
      </c>
    </row>
    <row r="205" spans="1:18" x14ac:dyDescent="0.3">
      <c r="A205" s="2">
        <v>46068</v>
      </c>
      <c r="B205" t="s">
        <v>395</v>
      </c>
      <c r="C205" t="s">
        <v>396</v>
      </c>
      <c r="D205" t="s">
        <v>20</v>
      </c>
      <c r="E205" t="s">
        <v>0</v>
      </c>
      <c r="F205" t="s">
        <v>22</v>
      </c>
      <c r="G205" t="s">
        <v>71</v>
      </c>
      <c r="H205" t="s">
        <v>367</v>
      </c>
      <c r="I205" t="s">
        <v>25</v>
      </c>
      <c r="J205">
        <v>1</v>
      </c>
      <c r="K205">
        <v>1267</v>
      </c>
      <c r="L205">
        <v>0.11</v>
      </c>
      <c r="M205">
        <v>1267</v>
      </c>
      <c r="N205">
        <v>932.74</v>
      </c>
      <c r="O205">
        <v>334.26</v>
      </c>
      <c r="P205" s="19">
        <f>Tabuľka4[[#This Row],[Zisk]]/Tabuľka4[[#This Row],[Trzba]]</f>
        <v>0.26382004735595893</v>
      </c>
      <c r="Q205">
        <v>2026</v>
      </c>
      <c r="R205" t="str">
        <f>TEXT(Tabuľka4[[#This Row],[Datum]],"MMMM")</f>
        <v>február</v>
      </c>
    </row>
    <row r="206" spans="1:18" x14ac:dyDescent="0.3">
      <c r="A206" s="2">
        <v>46085</v>
      </c>
      <c r="B206" t="s">
        <v>397</v>
      </c>
      <c r="C206" t="s">
        <v>185</v>
      </c>
      <c r="D206" t="s">
        <v>49</v>
      </c>
      <c r="E206" t="s">
        <v>0</v>
      </c>
      <c r="F206" t="s">
        <v>43</v>
      </c>
      <c r="G206" t="s">
        <v>71</v>
      </c>
      <c r="H206" t="s">
        <v>367</v>
      </c>
      <c r="I206" t="s">
        <v>88</v>
      </c>
      <c r="J206">
        <v>7</v>
      </c>
      <c r="K206">
        <v>1264</v>
      </c>
      <c r="L206">
        <v>0.04</v>
      </c>
      <c r="M206">
        <v>8848</v>
      </c>
      <c r="N206">
        <v>6546.28</v>
      </c>
      <c r="O206">
        <v>2301.7200000000003</v>
      </c>
      <c r="P206" s="19">
        <f>Tabuľka4[[#This Row],[Zisk]]/Tabuľka4[[#This Row],[Trzba]]</f>
        <v>0.26014014466546115</v>
      </c>
      <c r="Q206">
        <v>2026</v>
      </c>
      <c r="R206" t="str">
        <f>TEXT(Tabuľka4[[#This Row],[Datum]],"MMMM")</f>
        <v>marec</v>
      </c>
    </row>
    <row r="207" spans="1:18" x14ac:dyDescent="0.3">
      <c r="A207" s="2">
        <v>46119</v>
      </c>
      <c r="B207" t="s">
        <v>398</v>
      </c>
      <c r="C207" t="s">
        <v>399</v>
      </c>
      <c r="D207" t="s">
        <v>20</v>
      </c>
      <c r="E207" t="s">
        <v>0</v>
      </c>
      <c r="F207" t="s">
        <v>43</v>
      </c>
      <c r="G207" t="s">
        <v>71</v>
      </c>
      <c r="H207" t="s">
        <v>367</v>
      </c>
      <c r="I207" t="s">
        <v>25</v>
      </c>
      <c r="J207">
        <v>3</v>
      </c>
      <c r="K207">
        <v>1072</v>
      </c>
      <c r="L207">
        <v>0</v>
      </c>
      <c r="M207">
        <v>3216</v>
      </c>
      <c r="N207">
        <v>2688.93</v>
      </c>
      <c r="O207">
        <v>527.07000000000016</v>
      </c>
      <c r="P207" s="19">
        <f>Tabuľka4[[#This Row],[Zisk]]/Tabuľka4[[#This Row],[Trzba]]</f>
        <v>0.16388992537313438</v>
      </c>
      <c r="Q207">
        <v>2026</v>
      </c>
      <c r="R207" t="str">
        <f>TEXT(Tabuľka4[[#This Row],[Datum]],"MMMM")</f>
        <v>apríl</v>
      </c>
    </row>
    <row r="208" spans="1:18" x14ac:dyDescent="0.3">
      <c r="A208" s="2">
        <v>46122</v>
      </c>
      <c r="B208" t="s">
        <v>400</v>
      </c>
      <c r="C208" t="s">
        <v>401</v>
      </c>
      <c r="D208" t="s">
        <v>20</v>
      </c>
      <c r="E208" t="s">
        <v>50</v>
      </c>
      <c r="F208" t="s">
        <v>43</v>
      </c>
      <c r="G208" t="s">
        <v>71</v>
      </c>
      <c r="H208" t="s">
        <v>367</v>
      </c>
      <c r="I208" t="s">
        <v>51</v>
      </c>
      <c r="J208">
        <v>2</v>
      </c>
      <c r="K208">
        <v>1158</v>
      </c>
      <c r="L208">
        <v>0.05</v>
      </c>
      <c r="M208">
        <v>2316</v>
      </c>
      <c r="N208">
        <v>1926.6</v>
      </c>
      <c r="O208">
        <v>389.40000000000009</v>
      </c>
      <c r="P208" s="19">
        <f>Tabuľka4[[#This Row],[Zisk]]/Tabuľka4[[#This Row],[Trzba]]</f>
        <v>0.16813471502590677</v>
      </c>
      <c r="Q208">
        <v>2026</v>
      </c>
      <c r="R208" t="str">
        <f>TEXT(Tabuľka4[[#This Row],[Datum]],"MMMM")</f>
        <v>apríl</v>
      </c>
    </row>
    <row r="209" spans="1:18" x14ac:dyDescent="0.3">
      <c r="A209" s="2">
        <v>46143</v>
      </c>
      <c r="B209" t="s">
        <v>402</v>
      </c>
      <c r="C209" t="s">
        <v>403</v>
      </c>
      <c r="D209" t="s">
        <v>20</v>
      </c>
      <c r="E209" t="s">
        <v>21</v>
      </c>
      <c r="F209" t="s">
        <v>22</v>
      </c>
      <c r="G209" t="s">
        <v>71</v>
      </c>
      <c r="H209" t="s">
        <v>367</v>
      </c>
      <c r="I209" t="s">
        <v>38</v>
      </c>
      <c r="J209">
        <v>3</v>
      </c>
      <c r="K209">
        <v>769</v>
      </c>
      <c r="L209">
        <v>0.06</v>
      </c>
      <c r="M209">
        <v>2307</v>
      </c>
      <c r="N209">
        <v>1737.56</v>
      </c>
      <c r="O209">
        <v>569.44000000000005</v>
      </c>
      <c r="P209" s="19">
        <f>Tabuľka4[[#This Row],[Zisk]]/Tabuľka4[[#This Row],[Trzba]]</f>
        <v>0.2468313827481578</v>
      </c>
      <c r="Q209">
        <v>2026</v>
      </c>
      <c r="R209" t="str">
        <f>TEXT(Tabuľka4[[#This Row],[Datum]],"MMMM")</f>
        <v>máj</v>
      </c>
    </row>
    <row r="210" spans="1:18" x14ac:dyDescent="0.3">
      <c r="A210" s="2">
        <v>45394</v>
      </c>
      <c r="B210" t="s">
        <v>404</v>
      </c>
      <c r="C210" t="s">
        <v>185</v>
      </c>
      <c r="D210" t="s">
        <v>49</v>
      </c>
      <c r="E210" t="s">
        <v>68</v>
      </c>
      <c r="F210" t="s">
        <v>43</v>
      </c>
      <c r="G210" t="s">
        <v>23</v>
      </c>
      <c r="H210" t="s">
        <v>405</v>
      </c>
      <c r="I210" t="s">
        <v>30</v>
      </c>
      <c r="J210">
        <v>6</v>
      </c>
      <c r="K210">
        <v>103</v>
      </c>
      <c r="L210">
        <v>0</v>
      </c>
      <c r="M210">
        <v>618</v>
      </c>
      <c r="N210">
        <v>417.88</v>
      </c>
      <c r="O210">
        <v>200.12</v>
      </c>
      <c r="P210" s="19">
        <f>Tabuľka4[[#This Row],[Zisk]]/Tabuľka4[[#This Row],[Trzba]]</f>
        <v>0.32381877022653721</v>
      </c>
      <c r="Q210">
        <v>2024</v>
      </c>
      <c r="R210" t="str">
        <f>TEXT(Tabuľka4[[#This Row],[Datum]],"MMMM")</f>
        <v>apríl</v>
      </c>
    </row>
    <row r="211" spans="1:18" x14ac:dyDescent="0.3">
      <c r="A211" s="2">
        <v>45422</v>
      </c>
      <c r="B211" t="s">
        <v>406</v>
      </c>
      <c r="C211" t="s">
        <v>212</v>
      </c>
      <c r="D211" t="s">
        <v>20</v>
      </c>
      <c r="E211" t="s">
        <v>0</v>
      </c>
      <c r="F211" t="s">
        <v>22</v>
      </c>
      <c r="G211" t="s">
        <v>23</v>
      </c>
      <c r="H211" t="s">
        <v>405</v>
      </c>
      <c r="I211" t="s">
        <v>51</v>
      </c>
      <c r="J211">
        <v>2</v>
      </c>
      <c r="K211">
        <v>108</v>
      </c>
      <c r="L211">
        <v>0.09</v>
      </c>
      <c r="M211">
        <v>216</v>
      </c>
      <c r="N211">
        <v>151.96</v>
      </c>
      <c r="O211">
        <v>64.039999999999992</v>
      </c>
      <c r="P211" s="19">
        <f>Tabuľka4[[#This Row],[Zisk]]/Tabuľka4[[#This Row],[Trzba]]</f>
        <v>0.29648148148148146</v>
      </c>
      <c r="Q211">
        <v>2024</v>
      </c>
      <c r="R211" t="str">
        <f>TEXT(Tabuľka4[[#This Row],[Datum]],"MMMM")</f>
        <v>máj</v>
      </c>
    </row>
    <row r="212" spans="1:18" x14ac:dyDescent="0.3">
      <c r="A212" s="2">
        <v>45486</v>
      </c>
      <c r="B212" t="s">
        <v>407</v>
      </c>
      <c r="C212" t="s">
        <v>90</v>
      </c>
      <c r="D212" t="s">
        <v>20</v>
      </c>
      <c r="E212" t="s">
        <v>50</v>
      </c>
      <c r="F212" t="s">
        <v>43</v>
      </c>
      <c r="G212" t="s">
        <v>23</v>
      </c>
      <c r="H212" t="s">
        <v>405</v>
      </c>
      <c r="I212" t="s">
        <v>88</v>
      </c>
      <c r="J212">
        <v>2</v>
      </c>
      <c r="K212">
        <v>73</v>
      </c>
      <c r="L212">
        <v>0.08</v>
      </c>
      <c r="M212">
        <v>146</v>
      </c>
      <c r="N212">
        <v>87.14</v>
      </c>
      <c r="O212">
        <v>58.86</v>
      </c>
      <c r="P212" s="19">
        <f>Tabuľka4[[#This Row],[Zisk]]/Tabuľka4[[#This Row],[Trzba]]</f>
        <v>0.40315068493150685</v>
      </c>
      <c r="Q212">
        <v>2024</v>
      </c>
      <c r="R212" t="str">
        <f>TEXT(Tabuľka4[[#This Row],[Datum]],"MMMM")</f>
        <v>júl</v>
      </c>
    </row>
    <row r="213" spans="1:18" x14ac:dyDescent="0.3">
      <c r="A213" s="2">
        <v>45542</v>
      </c>
      <c r="B213" t="s">
        <v>408</v>
      </c>
      <c r="C213" t="s">
        <v>409</v>
      </c>
      <c r="D213" t="s">
        <v>20</v>
      </c>
      <c r="E213" t="s">
        <v>21</v>
      </c>
      <c r="F213" t="s">
        <v>22</v>
      </c>
      <c r="G213" t="s">
        <v>23</v>
      </c>
      <c r="H213" t="s">
        <v>405</v>
      </c>
      <c r="I213" t="s">
        <v>46</v>
      </c>
      <c r="J213">
        <v>1</v>
      </c>
      <c r="K213">
        <v>60</v>
      </c>
      <c r="L213">
        <v>0.09</v>
      </c>
      <c r="M213">
        <v>60</v>
      </c>
      <c r="N213">
        <v>33.61</v>
      </c>
      <c r="O213">
        <v>26.39</v>
      </c>
      <c r="P213" s="19">
        <f>Tabuľka4[[#This Row],[Zisk]]/Tabuľka4[[#This Row],[Trzba]]</f>
        <v>0.43983333333333335</v>
      </c>
      <c r="Q213">
        <v>2024</v>
      </c>
      <c r="R213" t="str">
        <f>TEXT(Tabuľka4[[#This Row],[Datum]],"MMMM")</f>
        <v>september</v>
      </c>
    </row>
    <row r="214" spans="1:18" x14ac:dyDescent="0.3">
      <c r="A214" s="2">
        <v>45545</v>
      </c>
      <c r="B214" t="s">
        <v>410</v>
      </c>
      <c r="C214" t="s">
        <v>228</v>
      </c>
      <c r="D214" t="s">
        <v>20</v>
      </c>
      <c r="E214" t="s">
        <v>68</v>
      </c>
      <c r="F214" t="s">
        <v>58</v>
      </c>
      <c r="G214" t="s">
        <v>23</v>
      </c>
      <c r="H214" t="s">
        <v>405</v>
      </c>
      <c r="I214" t="s">
        <v>63</v>
      </c>
      <c r="J214">
        <v>3</v>
      </c>
      <c r="K214">
        <v>79</v>
      </c>
      <c r="L214">
        <v>0.04</v>
      </c>
      <c r="M214">
        <v>237</v>
      </c>
      <c r="N214">
        <v>177.46</v>
      </c>
      <c r="O214">
        <v>59.539999999999992</v>
      </c>
      <c r="P214" s="19">
        <f>Tabuľka4[[#This Row],[Zisk]]/Tabuľka4[[#This Row],[Trzba]]</f>
        <v>0.25122362869198311</v>
      </c>
      <c r="Q214">
        <v>2024</v>
      </c>
      <c r="R214" t="str">
        <f>TEXT(Tabuľka4[[#This Row],[Datum]],"MMMM")</f>
        <v>september</v>
      </c>
    </row>
    <row r="215" spans="1:18" x14ac:dyDescent="0.3">
      <c r="A215" s="2">
        <v>45552</v>
      </c>
      <c r="B215" t="s">
        <v>411</v>
      </c>
      <c r="C215" t="s">
        <v>130</v>
      </c>
      <c r="D215" t="s">
        <v>20</v>
      </c>
      <c r="E215" t="s">
        <v>21</v>
      </c>
      <c r="F215" t="s">
        <v>22</v>
      </c>
      <c r="G215" t="s">
        <v>23</v>
      </c>
      <c r="H215" t="s">
        <v>405</v>
      </c>
      <c r="I215" t="s">
        <v>63</v>
      </c>
      <c r="J215">
        <v>2</v>
      </c>
      <c r="K215">
        <v>73</v>
      </c>
      <c r="L215">
        <v>0</v>
      </c>
      <c r="M215">
        <v>146</v>
      </c>
      <c r="N215">
        <v>96.51</v>
      </c>
      <c r="O215">
        <v>49.489999999999995</v>
      </c>
      <c r="P215" s="19">
        <f>Tabuľka4[[#This Row],[Zisk]]/Tabuľka4[[#This Row],[Trzba]]</f>
        <v>0.33897260273972601</v>
      </c>
      <c r="Q215">
        <v>2024</v>
      </c>
      <c r="R215" t="str">
        <f>TEXT(Tabuľka4[[#This Row],[Datum]],"MMMM")</f>
        <v>september</v>
      </c>
    </row>
    <row r="216" spans="1:18" x14ac:dyDescent="0.3">
      <c r="A216" s="2">
        <v>45564</v>
      </c>
      <c r="B216" t="s">
        <v>412</v>
      </c>
      <c r="C216" t="s">
        <v>413</v>
      </c>
      <c r="D216" t="s">
        <v>20</v>
      </c>
      <c r="E216" t="s">
        <v>21</v>
      </c>
      <c r="F216" t="s">
        <v>22</v>
      </c>
      <c r="G216" t="s">
        <v>23</v>
      </c>
      <c r="H216" t="s">
        <v>405</v>
      </c>
      <c r="I216" t="s">
        <v>51</v>
      </c>
      <c r="J216">
        <v>3</v>
      </c>
      <c r="K216">
        <v>87</v>
      </c>
      <c r="L216">
        <v>0.01</v>
      </c>
      <c r="M216">
        <v>261</v>
      </c>
      <c r="N216">
        <v>178.17</v>
      </c>
      <c r="O216">
        <v>82.830000000000013</v>
      </c>
      <c r="P216" s="19">
        <f>Tabuľka4[[#This Row],[Zisk]]/Tabuľka4[[#This Row],[Trzba]]</f>
        <v>0.31735632183908052</v>
      </c>
      <c r="Q216">
        <v>2024</v>
      </c>
      <c r="R216" t="str">
        <f>TEXT(Tabuľka4[[#This Row],[Datum]],"MMMM")</f>
        <v>september</v>
      </c>
    </row>
    <row r="217" spans="1:18" x14ac:dyDescent="0.3">
      <c r="A217" s="2">
        <v>45620</v>
      </c>
      <c r="B217" t="s">
        <v>414</v>
      </c>
      <c r="C217" t="s">
        <v>415</v>
      </c>
      <c r="D217" t="s">
        <v>20</v>
      </c>
      <c r="E217" t="s">
        <v>68</v>
      </c>
      <c r="F217" t="s">
        <v>22</v>
      </c>
      <c r="G217" t="s">
        <v>23</v>
      </c>
      <c r="H217" t="s">
        <v>405</v>
      </c>
      <c r="I217" t="s">
        <v>38</v>
      </c>
      <c r="J217">
        <v>1</v>
      </c>
      <c r="K217">
        <v>69</v>
      </c>
      <c r="L217">
        <v>0.2</v>
      </c>
      <c r="M217">
        <v>69</v>
      </c>
      <c r="N217">
        <v>42.46</v>
      </c>
      <c r="O217">
        <v>26.54</v>
      </c>
      <c r="P217" s="19">
        <f>Tabuľka4[[#This Row],[Zisk]]/Tabuľka4[[#This Row],[Trzba]]</f>
        <v>0.38463768115942026</v>
      </c>
      <c r="Q217">
        <v>2024</v>
      </c>
      <c r="R217" t="str">
        <f>TEXT(Tabuľka4[[#This Row],[Datum]],"MMMM")</f>
        <v>november</v>
      </c>
    </row>
    <row r="218" spans="1:18" x14ac:dyDescent="0.3">
      <c r="A218" s="2">
        <v>45647</v>
      </c>
      <c r="B218" t="s">
        <v>416</v>
      </c>
      <c r="C218" t="s">
        <v>57</v>
      </c>
      <c r="D218" t="s">
        <v>49</v>
      </c>
      <c r="E218" t="s">
        <v>0</v>
      </c>
      <c r="F218" t="s">
        <v>58</v>
      </c>
      <c r="G218" t="s">
        <v>23</v>
      </c>
      <c r="H218" t="s">
        <v>405</v>
      </c>
      <c r="I218" t="s">
        <v>63</v>
      </c>
      <c r="J218">
        <v>7</v>
      </c>
      <c r="K218">
        <v>71</v>
      </c>
      <c r="L218">
        <v>7.0000000000000007E-2</v>
      </c>
      <c r="M218">
        <v>497</v>
      </c>
      <c r="N218">
        <v>372.27</v>
      </c>
      <c r="O218">
        <v>124.73000000000002</v>
      </c>
      <c r="P218" s="19">
        <f>Tabuľka4[[#This Row],[Zisk]]/Tabuľka4[[#This Row],[Trzba]]</f>
        <v>0.25096579476861169</v>
      </c>
      <c r="Q218">
        <v>2024</v>
      </c>
      <c r="R218" t="str">
        <f>TEXT(Tabuľka4[[#This Row],[Datum]],"MMMM")</f>
        <v>december</v>
      </c>
    </row>
    <row r="219" spans="1:18" x14ac:dyDescent="0.3">
      <c r="A219" s="2">
        <v>45684</v>
      </c>
      <c r="B219" t="s">
        <v>417</v>
      </c>
      <c r="C219" t="s">
        <v>290</v>
      </c>
      <c r="D219" t="s">
        <v>20</v>
      </c>
      <c r="E219" t="s">
        <v>68</v>
      </c>
      <c r="F219" t="s">
        <v>22</v>
      </c>
      <c r="G219" t="s">
        <v>23</v>
      </c>
      <c r="H219" t="s">
        <v>405</v>
      </c>
      <c r="I219" t="s">
        <v>51</v>
      </c>
      <c r="J219">
        <v>4</v>
      </c>
      <c r="K219">
        <v>76</v>
      </c>
      <c r="L219">
        <v>0.22</v>
      </c>
      <c r="M219">
        <v>304</v>
      </c>
      <c r="N219">
        <v>155.99</v>
      </c>
      <c r="O219">
        <v>148.01</v>
      </c>
      <c r="P219" s="19">
        <f>Tabuľka4[[#This Row],[Zisk]]/Tabuľka4[[#This Row],[Trzba]]</f>
        <v>0.48687499999999995</v>
      </c>
      <c r="Q219">
        <v>2025</v>
      </c>
      <c r="R219" t="str">
        <f>TEXT(Tabuľka4[[#This Row],[Datum]],"MMMM")</f>
        <v>január</v>
      </c>
    </row>
    <row r="220" spans="1:18" x14ac:dyDescent="0.3">
      <c r="A220" s="2">
        <v>45837</v>
      </c>
      <c r="B220" t="s">
        <v>418</v>
      </c>
      <c r="C220" t="s">
        <v>62</v>
      </c>
      <c r="D220" t="s">
        <v>20</v>
      </c>
      <c r="E220" t="s">
        <v>0</v>
      </c>
      <c r="F220" t="s">
        <v>43</v>
      </c>
      <c r="G220" t="s">
        <v>23</v>
      </c>
      <c r="H220" t="s">
        <v>405</v>
      </c>
      <c r="I220" t="s">
        <v>30</v>
      </c>
      <c r="J220">
        <v>3</v>
      </c>
      <c r="K220">
        <v>95</v>
      </c>
      <c r="L220">
        <v>0.06</v>
      </c>
      <c r="M220">
        <v>285</v>
      </c>
      <c r="N220">
        <v>169.25</v>
      </c>
      <c r="O220">
        <v>115.75</v>
      </c>
      <c r="P220" s="19">
        <f>Tabuľka4[[#This Row],[Zisk]]/Tabuľka4[[#This Row],[Trzba]]</f>
        <v>0.40614035087719297</v>
      </c>
      <c r="Q220">
        <v>2025</v>
      </c>
      <c r="R220" t="str">
        <f>TEXT(Tabuľka4[[#This Row],[Datum]],"MMMM")</f>
        <v>jún</v>
      </c>
    </row>
    <row r="221" spans="1:18" x14ac:dyDescent="0.3">
      <c r="A221" s="2">
        <v>45939</v>
      </c>
      <c r="B221" t="s">
        <v>419</v>
      </c>
      <c r="C221" t="s">
        <v>420</v>
      </c>
      <c r="D221" t="s">
        <v>20</v>
      </c>
      <c r="E221" t="s">
        <v>50</v>
      </c>
      <c r="F221" t="s">
        <v>22</v>
      </c>
      <c r="G221" t="s">
        <v>23</v>
      </c>
      <c r="H221" t="s">
        <v>405</v>
      </c>
      <c r="I221" t="s">
        <v>46</v>
      </c>
      <c r="J221">
        <v>4</v>
      </c>
      <c r="K221">
        <v>100</v>
      </c>
      <c r="L221">
        <v>0</v>
      </c>
      <c r="M221">
        <v>400</v>
      </c>
      <c r="N221">
        <v>280.11</v>
      </c>
      <c r="O221">
        <v>119.88999999999999</v>
      </c>
      <c r="P221" s="19">
        <f>Tabuľka4[[#This Row],[Zisk]]/Tabuľka4[[#This Row],[Trzba]]</f>
        <v>0.29972499999999996</v>
      </c>
      <c r="Q221">
        <v>2025</v>
      </c>
      <c r="R221" t="str">
        <f>TEXT(Tabuľka4[[#This Row],[Datum]],"MMMM")</f>
        <v>október</v>
      </c>
    </row>
    <row r="222" spans="1:18" x14ac:dyDescent="0.3">
      <c r="A222" s="2">
        <v>46113</v>
      </c>
      <c r="B222" t="s">
        <v>421</v>
      </c>
      <c r="C222" t="s">
        <v>422</v>
      </c>
      <c r="D222" t="s">
        <v>20</v>
      </c>
      <c r="E222" t="s">
        <v>50</v>
      </c>
      <c r="F222" t="s">
        <v>43</v>
      </c>
      <c r="G222" t="s">
        <v>23</v>
      </c>
      <c r="H222" t="s">
        <v>405</v>
      </c>
      <c r="I222" t="s">
        <v>51</v>
      </c>
      <c r="J222">
        <v>2</v>
      </c>
      <c r="K222">
        <v>73</v>
      </c>
      <c r="L222">
        <v>0.11</v>
      </c>
      <c r="M222">
        <v>146</v>
      </c>
      <c r="N222">
        <v>87.89</v>
      </c>
      <c r="O222">
        <v>58.11</v>
      </c>
      <c r="P222" s="19">
        <f>Tabuľka4[[#This Row],[Zisk]]/Tabuľka4[[#This Row],[Trzba]]</f>
        <v>0.39801369863013697</v>
      </c>
      <c r="Q222">
        <v>2026</v>
      </c>
      <c r="R222" t="str">
        <f>TEXT(Tabuľka4[[#This Row],[Datum]],"MMMM")</f>
        <v>apríl</v>
      </c>
    </row>
    <row r="223" spans="1:18" x14ac:dyDescent="0.3">
      <c r="A223" s="2">
        <v>45363</v>
      </c>
      <c r="B223" t="s">
        <v>423</v>
      </c>
      <c r="C223" t="s">
        <v>132</v>
      </c>
      <c r="D223" t="s">
        <v>49</v>
      </c>
      <c r="E223" t="s">
        <v>68</v>
      </c>
      <c r="F223" t="s">
        <v>58</v>
      </c>
      <c r="G223" t="s">
        <v>188</v>
      </c>
      <c r="H223" t="s">
        <v>424</v>
      </c>
      <c r="I223" t="s">
        <v>33</v>
      </c>
      <c r="J223">
        <v>10</v>
      </c>
      <c r="K223">
        <v>504</v>
      </c>
      <c r="L223">
        <v>0.02</v>
      </c>
      <c r="M223">
        <v>5040</v>
      </c>
      <c r="N223">
        <v>2860.2</v>
      </c>
      <c r="O223">
        <v>2179.8000000000002</v>
      </c>
      <c r="P223" s="19">
        <f>Tabuľka4[[#This Row],[Zisk]]/Tabuľka4[[#This Row],[Trzba]]</f>
        <v>0.43250000000000005</v>
      </c>
      <c r="Q223">
        <v>2024</v>
      </c>
      <c r="R223" t="str">
        <f>TEXT(Tabuľka4[[#This Row],[Datum]],"MMMM")</f>
        <v>marec</v>
      </c>
    </row>
    <row r="224" spans="1:18" x14ac:dyDescent="0.3">
      <c r="A224" s="2">
        <v>45419</v>
      </c>
      <c r="B224" t="s">
        <v>425</v>
      </c>
      <c r="C224" t="s">
        <v>245</v>
      </c>
      <c r="D224" t="s">
        <v>20</v>
      </c>
      <c r="E224" t="s">
        <v>50</v>
      </c>
      <c r="F224" t="s">
        <v>43</v>
      </c>
      <c r="G224" t="s">
        <v>188</v>
      </c>
      <c r="H224" t="s">
        <v>424</v>
      </c>
      <c r="I224" t="s">
        <v>88</v>
      </c>
      <c r="J224">
        <v>3</v>
      </c>
      <c r="K224">
        <v>615</v>
      </c>
      <c r="L224">
        <v>0.09</v>
      </c>
      <c r="M224">
        <v>1845</v>
      </c>
      <c r="N224">
        <v>834.33</v>
      </c>
      <c r="O224">
        <v>1010.67</v>
      </c>
      <c r="P224" s="19">
        <f>Tabuľka4[[#This Row],[Zisk]]/Tabuľka4[[#This Row],[Trzba]]</f>
        <v>0.54778861788617883</v>
      </c>
      <c r="Q224">
        <v>2024</v>
      </c>
      <c r="R224" t="str">
        <f>TEXT(Tabuľka4[[#This Row],[Datum]],"MMMM")</f>
        <v>máj</v>
      </c>
    </row>
    <row r="225" spans="1:18" x14ac:dyDescent="0.3">
      <c r="A225" s="2">
        <v>45428</v>
      </c>
      <c r="B225" t="s">
        <v>426</v>
      </c>
      <c r="C225" t="s">
        <v>427</v>
      </c>
      <c r="D225" t="s">
        <v>20</v>
      </c>
      <c r="E225" t="s">
        <v>0</v>
      </c>
      <c r="F225" t="s">
        <v>22</v>
      </c>
      <c r="G225" t="s">
        <v>188</v>
      </c>
      <c r="H225" t="s">
        <v>424</v>
      </c>
      <c r="I225" t="s">
        <v>25</v>
      </c>
      <c r="J225">
        <v>4</v>
      </c>
      <c r="K225">
        <v>1007</v>
      </c>
      <c r="L225">
        <v>0.03</v>
      </c>
      <c r="M225">
        <v>4028</v>
      </c>
      <c r="N225">
        <v>2523.5700000000002</v>
      </c>
      <c r="O225">
        <v>1504.4299999999998</v>
      </c>
      <c r="P225" s="19">
        <f>Tabuľka4[[#This Row],[Zisk]]/Tabuľka4[[#This Row],[Trzba]]</f>
        <v>0.37349304865938426</v>
      </c>
      <c r="Q225">
        <v>2024</v>
      </c>
      <c r="R225" t="str">
        <f>TEXT(Tabuľka4[[#This Row],[Datum]],"MMMM")</f>
        <v>máj</v>
      </c>
    </row>
    <row r="226" spans="1:18" x14ac:dyDescent="0.3">
      <c r="A226" s="2">
        <v>45448</v>
      </c>
      <c r="B226" t="s">
        <v>428</v>
      </c>
      <c r="C226" t="s">
        <v>235</v>
      </c>
      <c r="D226" t="s">
        <v>49</v>
      </c>
      <c r="E226" t="s">
        <v>68</v>
      </c>
      <c r="F226" t="s">
        <v>22</v>
      </c>
      <c r="G226" t="s">
        <v>188</v>
      </c>
      <c r="H226" t="s">
        <v>424</v>
      </c>
      <c r="I226" t="s">
        <v>63</v>
      </c>
      <c r="J226">
        <v>8</v>
      </c>
      <c r="K226">
        <v>521</v>
      </c>
      <c r="L226">
        <v>0</v>
      </c>
      <c r="M226">
        <v>4168</v>
      </c>
      <c r="N226">
        <v>2885.05</v>
      </c>
      <c r="O226">
        <v>1282.9499999999998</v>
      </c>
      <c r="P226" s="19">
        <f>Tabuľka4[[#This Row],[Zisk]]/Tabuľka4[[#This Row],[Trzba]]</f>
        <v>0.30780950095969284</v>
      </c>
      <c r="Q226">
        <v>2024</v>
      </c>
      <c r="R226" t="str">
        <f>TEXT(Tabuľka4[[#This Row],[Datum]],"MMMM")</f>
        <v>jún</v>
      </c>
    </row>
    <row r="227" spans="1:18" x14ac:dyDescent="0.3">
      <c r="A227" s="2">
        <v>45533</v>
      </c>
      <c r="B227" t="s">
        <v>429</v>
      </c>
      <c r="C227" t="s">
        <v>430</v>
      </c>
      <c r="D227" t="s">
        <v>20</v>
      </c>
      <c r="E227" t="s">
        <v>0</v>
      </c>
      <c r="F227" t="s">
        <v>22</v>
      </c>
      <c r="G227" t="s">
        <v>188</v>
      </c>
      <c r="H227" t="s">
        <v>424</v>
      </c>
      <c r="I227" t="s">
        <v>46</v>
      </c>
      <c r="J227">
        <v>2</v>
      </c>
      <c r="K227">
        <v>458</v>
      </c>
      <c r="L227">
        <v>7.0000000000000007E-2</v>
      </c>
      <c r="M227">
        <v>916</v>
      </c>
      <c r="N227">
        <v>689.91</v>
      </c>
      <c r="O227">
        <v>226.09000000000003</v>
      </c>
      <c r="P227" s="19">
        <f>Tabuľka4[[#This Row],[Zisk]]/Tabuľka4[[#This Row],[Trzba]]</f>
        <v>0.24682314410480352</v>
      </c>
      <c r="Q227">
        <v>2024</v>
      </c>
      <c r="R227" t="str">
        <f>TEXT(Tabuľka4[[#This Row],[Datum]],"MMMM")</f>
        <v>august</v>
      </c>
    </row>
    <row r="228" spans="1:18" x14ac:dyDescent="0.3">
      <c r="A228" s="2">
        <v>45555</v>
      </c>
      <c r="B228" t="s">
        <v>431</v>
      </c>
      <c r="C228" t="s">
        <v>57</v>
      </c>
      <c r="D228" t="s">
        <v>49</v>
      </c>
      <c r="E228" t="s">
        <v>0</v>
      </c>
      <c r="F228" t="s">
        <v>58</v>
      </c>
      <c r="G228" t="s">
        <v>188</v>
      </c>
      <c r="H228" t="s">
        <v>424</v>
      </c>
      <c r="I228" t="s">
        <v>33</v>
      </c>
      <c r="J228">
        <v>6</v>
      </c>
      <c r="K228">
        <v>858</v>
      </c>
      <c r="L228">
        <v>0.1</v>
      </c>
      <c r="M228">
        <v>5148</v>
      </c>
      <c r="N228">
        <v>4074.82</v>
      </c>
      <c r="O228">
        <v>1073.1799999999998</v>
      </c>
      <c r="P228" s="19">
        <f>Tabuľka4[[#This Row],[Zisk]]/Tabuľka4[[#This Row],[Trzba]]</f>
        <v>0.20846542346542343</v>
      </c>
      <c r="Q228">
        <v>2024</v>
      </c>
      <c r="R228" t="str">
        <f>TEXT(Tabuľka4[[#This Row],[Datum]],"MMMM")</f>
        <v>september</v>
      </c>
    </row>
    <row r="229" spans="1:18" x14ac:dyDescent="0.3">
      <c r="A229" s="2">
        <v>45650</v>
      </c>
      <c r="B229" t="s">
        <v>432</v>
      </c>
      <c r="C229" t="s">
        <v>415</v>
      </c>
      <c r="D229" t="s">
        <v>20</v>
      </c>
      <c r="E229" t="s">
        <v>50</v>
      </c>
      <c r="F229" t="s">
        <v>43</v>
      </c>
      <c r="G229" t="s">
        <v>188</v>
      </c>
      <c r="H229" t="s">
        <v>424</v>
      </c>
      <c r="I229" t="s">
        <v>63</v>
      </c>
      <c r="J229">
        <v>2</v>
      </c>
      <c r="K229">
        <v>756</v>
      </c>
      <c r="L229">
        <v>0.3</v>
      </c>
      <c r="M229">
        <v>1512</v>
      </c>
      <c r="N229">
        <v>746.06</v>
      </c>
      <c r="O229">
        <v>765.94</v>
      </c>
      <c r="P229" s="19">
        <f>Tabuľka4[[#This Row],[Zisk]]/Tabuľka4[[#This Row],[Trzba]]</f>
        <v>0.50657407407407407</v>
      </c>
      <c r="Q229">
        <v>2024</v>
      </c>
      <c r="R229" t="str">
        <f>TEXT(Tabuľka4[[#This Row],[Datum]],"MMMM")</f>
        <v>december</v>
      </c>
    </row>
    <row r="230" spans="1:18" x14ac:dyDescent="0.3">
      <c r="A230" s="2">
        <v>45672</v>
      </c>
      <c r="B230" t="s">
        <v>433</v>
      </c>
      <c r="C230" t="s">
        <v>132</v>
      </c>
      <c r="D230" t="s">
        <v>49</v>
      </c>
      <c r="E230" t="s">
        <v>21</v>
      </c>
      <c r="F230" t="s">
        <v>43</v>
      </c>
      <c r="G230" t="s">
        <v>188</v>
      </c>
      <c r="H230" t="s">
        <v>424</v>
      </c>
      <c r="I230" t="s">
        <v>51</v>
      </c>
      <c r="J230">
        <v>7</v>
      </c>
      <c r="K230">
        <v>1055</v>
      </c>
      <c r="L230">
        <v>0.17</v>
      </c>
      <c r="M230">
        <v>7385</v>
      </c>
      <c r="N230">
        <v>4071.7</v>
      </c>
      <c r="O230">
        <v>3313.3</v>
      </c>
      <c r="P230" s="19">
        <f>Tabuľka4[[#This Row],[Zisk]]/Tabuľka4[[#This Row],[Trzba]]</f>
        <v>0.44865267433987815</v>
      </c>
      <c r="Q230">
        <v>2025</v>
      </c>
      <c r="R230" t="str">
        <f>TEXT(Tabuľka4[[#This Row],[Datum]],"MMMM")</f>
        <v>január</v>
      </c>
    </row>
    <row r="231" spans="1:18" x14ac:dyDescent="0.3">
      <c r="A231" s="2">
        <v>45747</v>
      </c>
      <c r="B231" t="s">
        <v>434</v>
      </c>
      <c r="C231" t="s">
        <v>113</v>
      </c>
      <c r="D231" t="s">
        <v>20</v>
      </c>
      <c r="E231" t="s">
        <v>0</v>
      </c>
      <c r="F231" t="s">
        <v>22</v>
      </c>
      <c r="G231" t="s">
        <v>188</v>
      </c>
      <c r="H231" t="s">
        <v>424</v>
      </c>
      <c r="I231" t="s">
        <v>38</v>
      </c>
      <c r="J231">
        <v>2</v>
      </c>
      <c r="K231">
        <v>603</v>
      </c>
      <c r="L231">
        <v>0.05</v>
      </c>
      <c r="M231">
        <v>1206</v>
      </c>
      <c r="N231">
        <v>809.43</v>
      </c>
      <c r="O231">
        <v>396.57000000000005</v>
      </c>
      <c r="P231" s="19">
        <f>Tabuľka4[[#This Row],[Zisk]]/Tabuľka4[[#This Row],[Trzba]]</f>
        <v>0.3288308457711443</v>
      </c>
      <c r="Q231">
        <v>2025</v>
      </c>
      <c r="R231" t="str">
        <f>TEXT(Tabuľka4[[#This Row],[Datum]],"MMMM")</f>
        <v>marec</v>
      </c>
    </row>
    <row r="232" spans="1:18" x14ac:dyDescent="0.3">
      <c r="A232" s="2">
        <v>45753</v>
      </c>
      <c r="B232" t="s">
        <v>435</v>
      </c>
      <c r="C232" t="s">
        <v>147</v>
      </c>
      <c r="D232" t="s">
        <v>20</v>
      </c>
      <c r="E232" t="s">
        <v>68</v>
      </c>
      <c r="F232" t="s">
        <v>43</v>
      </c>
      <c r="G232" t="s">
        <v>188</v>
      </c>
      <c r="H232" t="s">
        <v>424</v>
      </c>
      <c r="I232" t="s">
        <v>88</v>
      </c>
      <c r="J232">
        <v>3</v>
      </c>
      <c r="K232">
        <v>763</v>
      </c>
      <c r="L232">
        <v>0.01</v>
      </c>
      <c r="M232">
        <v>2289</v>
      </c>
      <c r="N232">
        <v>1319.63</v>
      </c>
      <c r="O232">
        <v>969.36999999999989</v>
      </c>
      <c r="P232" s="19">
        <f>Tabuľka4[[#This Row],[Zisk]]/Tabuľka4[[#This Row],[Trzba]]</f>
        <v>0.4234906072520751</v>
      </c>
      <c r="Q232">
        <v>2025</v>
      </c>
      <c r="R232" t="str">
        <f>TEXT(Tabuľka4[[#This Row],[Datum]],"MMMM")</f>
        <v>apríl</v>
      </c>
    </row>
    <row r="233" spans="1:18" x14ac:dyDescent="0.3">
      <c r="A233" s="2">
        <v>45767</v>
      </c>
      <c r="B233" t="s">
        <v>436</v>
      </c>
      <c r="C233" t="s">
        <v>422</v>
      </c>
      <c r="D233" t="s">
        <v>20</v>
      </c>
      <c r="E233" t="s">
        <v>68</v>
      </c>
      <c r="F233" t="s">
        <v>22</v>
      </c>
      <c r="G233" t="s">
        <v>188</v>
      </c>
      <c r="H233" t="s">
        <v>424</v>
      </c>
      <c r="I233" t="s">
        <v>38</v>
      </c>
      <c r="J233">
        <v>1</v>
      </c>
      <c r="K233">
        <v>504</v>
      </c>
      <c r="L233">
        <v>0.03</v>
      </c>
      <c r="M233">
        <v>504</v>
      </c>
      <c r="N233">
        <v>323.3</v>
      </c>
      <c r="O233">
        <v>180.7</v>
      </c>
      <c r="P233" s="19">
        <f>Tabuľka4[[#This Row],[Zisk]]/Tabuľka4[[#This Row],[Trzba]]</f>
        <v>0.35853174603174603</v>
      </c>
      <c r="Q233">
        <v>2025</v>
      </c>
      <c r="R233" t="str">
        <f>TEXT(Tabuľka4[[#This Row],[Datum]],"MMMM")</f>
        <v>apríl</v>
      </c>
    </row>
    <row r="234" spans="1:18" x14ac:dyDescent="0.3">
      <c r="A234" s="2">
        <v>45862</v>
      </c>
      <c r="B234" t="s">
        <v>437</v>
      </c>
      <c r="C234" t="s">
        <v>224</v>
      </c>
      <c r="D234" t="s">
        <v>20</v>
      </c>
      <c r="E234" t="s">
        <v>50</v>
      </c>
      <c r="F234" t="s">
        <v>22</v>
      </c>
      <c r="G234" t="s">
        <v>188</v>
      </c>
      <c r="H234" t="s">
        <v>424</v>
      </c>
      <c r="I234" t="s">
        <v>33</v>
      </c>
      <c r="J234">
        <v>1</v>
      </c>
      <c r="K234">
        <v>753</v>
      </c>
      <c r="L234">
        <v>0.14000000000000001</v>
      </c>
      <c r="M234">
        <v>753</v>
      </c>
      <c r="N234">
        <v>509.73</v>
      </c>
      <c r="O234">
        <v>243.26999999999998</v>
      </c>
      <c r="P234" s="19">
        <f>Tabuľka4[[#This Row],[Zisk]]/Tabuľka4[[#This Row],[Trzba]]</f>
        <v>0.32306772908366532</v>
      </c>
      <c r="Q234">
        <v>2025</v>
      </c>
      <c r="R234" t="str">
        <f>TEXT(Tabuľka4[[#This Row],[Datum]],"MMMM")</f>
        <v>júl</v>
      </c>
    </row>
    <row r="235" spans="1:18" x14ac:dyDescent="0.3">
      <c r="A235" s="2">
        <v>45943</v>
      </c>
      <c r="B235" t="s">
        <v>438</v>
      </c>
      <c r="C235" t="s">
        <v>439</v>
      </c>
      <c r="D235" t="s">
        <v>20</v>
      </c>
      <c r="E235" t="s">
        <v>21</v>
      </c>
      <c r="F235" t="s">
        <v>22</v>
      </c>
      <c r="G235" t="s">
        <v>188</v>
      </c>
      <c r="H235" t="s">
        <v>424</v>
      </c>
      <c r="I235" t="s">
        <v>25</v>
      </c>
      <c r="J235">
        <v>3</v>
      </c>
      <c r="K235">
        <v>542</v>
      </c>
      <c r="L235">
        <v>0.08</v>
      </c>
      <c r="M235">
        <v>1626</v>
      </c>
      <c r="N235">
        <v>1219.77</v>
      </c>
      <c r="O235">
        <v>406.23</v>
      </c>
      <c r="P235" s="19">
        <f>Tabuľka4[[#This Row],[Zisk]]/Tabuľka4[[#This Row],[Trzba]]</f>
        <v>0.24983394833948341</v>
      </c>
      <c r="Q235">
        <v>2025</v>
      </c>
      <c r="R235" t="str">
        <f>TEXT(Tabuľka4[[#This Row],[Datum]],"MMMM")</f>
        <v>október</v>
      </c>
    </row>
    <row r="236" spans="1:18" x14ac:dyDescent="0.3">
      <c r="A236" s="2">
        <v>45944</v>
      </c>
      <c r="B236" t="s">
        <v>440</v>
      </c>
      <c r="C236" t="s">
        <v>185</v>
      </c>
      <c r="D236" t="s">
        <v>49</v>
      </c>
      <c r="E236" t="s">
        <v>50</v>
      </c>
      <c r="F236" t="s">
        <v>58</v>
      </c>
      <c r="G236" t="s">
        <v>188</v>
      </c>
      <c r="H236" t="s">
        <v>424</v>
      </c>
      <c r="I236" t="s">
        <v>30</v>
      </c>
      <c r="J236">
        <v>3</v>
      </c>
      <c r="K236">
        <v>819</v>
      </c>
      <c r="L236">
        <v>0.08</v>
      </c>
      <c r="M236">
        <v>2457</v>
      </c>
      <c r="N236">
        <v>1581</v>
      </c>
      <c r="O236">
        <v>876</v>
      </c>
      <c r="P236" s="19">
        <f>Tabuľka4[[#This Row],[Zisk]]/Tabuľka4[[#This Row],[Trzba]]</f>
        <v>0.35653235653235654</v>
      </c>
      <c r="Q236">
        <v>2025</v>
      </c>
      <c r="R236" t="str">
        <f>TEXT(Tabuľka4[[#This Row],[Datum]],"MMMM")</f>
        <v>október</v>
      </c>
    </row>
    <row r="237" spans="1:18" x14ac:dyDescent="0.3">
      <c r="A237" s="2">
        <v>46054</v>
      </c>
      <c r="B237" t="s">
        <v>441</v>
      </c>
      <c r="C237" t="s">
        <v>442</v>
      </c>
      <c r="D237" t="s">
        <v>20</v>
      </c>
      <c r="E237" t="s">
        <v>68</v>
      </c>
      <c r="F237" t="s">
        <v>43</v>
      </c>
      <c r="G237" t="s">
        <v>188</v>
      </c>
      <c r="H237" t="s">
        <v>424</v>
      </c>
      <c r="I237" t="s">
        <v>88</v>
      </c>
      <c r="J237">
        <v>5</v>
      </c>
      <c r="K237">
        <v>635</v>
      </c>
      <c r="L237">
        <v>0.06</v>
      </c>
      <c r="M237">
        <v>3175</v>
      </c>
      <c r="N237">
        <v>1913.79</v>
      </c>
      <c r="O237">
        <v>1261.21</v>
      </c>
      <c r="P237" s="19">
        <f>Tabuľka4[[#This Row],[Zisk]]/Tabuľka4[[#This Row],[Trzba]]</f>
        <v>0.39723149606299213</v>
      </c>
      <c r="Q237">
        <v>2026</v>
      </c>
      <c r="R237" t="str">
        <f>TEXT(Tabuľka4[[#This Row],[Datum]],"MMMM")</f>
        <v>február</v>
      </c>
    </row>
    <row r="238" spans="1:18" x14ac:dyDescent="0.3">
      <c r="A238" s="2">
        <v>46065</v>
      </c>
      <c r="B238" t="s">
        <v>443</v>
      </c>
      <c r="C238" t="s">
        <v>444</v>
      </c>
      <c r="D238" t="s">
        <v>20</v>
      </c>
      <c r="E238" t="s">
        <v>21</v>
      </c>
      <c r="F238" t="s">
        <v>22</v>
      </c>
      <c r="G238" t="s">
        <v>188</v>
      </c>
      <c r="H238" t="s">
        <v>424</v>
      </c>
      <c r="I238" t="s">
        <v>88</v>
      </c>
      <c r="J238">
        <v>2</v>
      </c>
      <c r="K238">
        <v>653</v>
      </c>
      <c r="L238">
        <v>0.09</v>
      </c>
      <c r="M238">
        <v>1306</v>
      </c>
      <c r="N238">
        <v>784.38</v>
      </c>
      <c r="O238">
        <v>521.62</v>
      </c>
      <c r="P238" s="19">
        <f>Tabuľka4[[#This Row],[Zisk]]/Tabuľka4[[#This Row],[Trzba]]</f>
        <v>0.39940275650842266</v>
      </c>
      <c r="Q238">
        <v>2026</v>
      </c>
      <c r="R238" t="str">
        <f>TEXT(Tabuľka4[[#This Row],[Datum]],"MMMM")</f>
        <v>február</v>
      </c>
    </row>
    <row r="239" spans="1:18" x14ac:dyDescent="0.3">
      <c r="A239" s="2">
        <v>45311</v>
      </c>
      <c r="B239" t="s">
        <v>445</v>
      </c>
      <c r="C239" t="s">
        <v>446</v>
      </c>
      <c r="D239" t="s">
        <v>20</v>
      </c>
      <c r="E239" t="s">
        <v>50</v>
      </c>
      <c r="F239" t="s">
        <v>43</v>
      </c>
      <c r="G239" t="s">
        <v>23</v>
      </c>
      <c r="H239" t="s">
        <v>447</v>
      </c>
      <c r="I239" t="s">
        <v>51</v>
      </c>
      <c r="J239">
        <v>1</v>
      </c>
      <c r="K239">
        <v>45</v>
      </c>
      <c r="L239">
        <v>0.02</v>
      </c>
      <c r="M239">
        <v>45</v>
      </c>
      <c r="N239">
        <v>19.059999999999999</v>
      </c>
      <c r="O239">
        <v>25.94</v>
      </c>
      <c r="P239" s="19">
        <f>Tabuľka4[[#This Row],[Zisk]]/Tabuľka4[[#This Row],[Trzba]]</f>
        <v>0.57644444444444443</v>
      </c>
      <c r="Q239">
        <v>2024</v>
      </c>
      <c r="R239" t="str">
        <f>TEXT(Tabuľka4[[#This Row],[Datum]],"MMMM")</f>
        <v>január</v>
      </c>
    </row>
    <row r="240" spans="1:18" x14ac:dyDescent="0.3">
      <c r="A240" s="2">
        <v>45353</v>
      </c>
      <c r="B240" t="s">
        <v>448</v>
      </c>
      <c r="C240" t="s">
        <v>449</v>
      </c>
      <c r="D240" t="s">
        <v>20</v>
      </c>
      <c r="E240" t="s">
        <v>21</v>
      </c>
      <c r="F240" t="s">
        <v>22</v>
      </c>
      <c r="G240" t="s">
        <v>23</v>
      </c>
      <c r="H240" t="s">
        <v>447</v>
      </c>
      <c r="I240" t="s">
        <v>51</v>
      </c>
      <c r="J240">
        <v>3</v>
      </c>
      <c r="K240">
        <v>45</v>
      </c>
      <c r="L240">
        <v>0.06</v>
      </c>
      <c r="M240">
        <v>135</v>
      </c>
      <c r="N240">
        <v>54.48</v>
      </c>
      <c r="O240">
        <v>80.52000000000001</v>
      </c>
      <c r="P240" s="19">
        <f>Tabuľka4[[#This Row],[Zisk]]/Tabuľka4[[#This Row],[Trzba]]</f>
        <v>0.59644444444444455</v>
      </c>
      <c r="Q240">
        <v>2024</v>
      </c>
      <c r="R240" t="str">
        <f>TEXT(Tabuľka4[[#This Row],[Datum]],"MMMM")</f>
        <v>marec</v>
      </c>
    </row>
    <row r="241" spans="1:18" x14ac:dyDescent="0.3">
      <c r="A241" s="2">
        <v>45360</v>
      </c>
      <c r="B241" t="s">
        <v>450</v>
      </c>
      <c r="C241" t="s">
        <v>451</v>
      </c>
      <c r="D241" t="s">
        <v>20</v>
      </c>
      <c r="E241" t="s">
        <v>21</v>
      </c>
      <c r="F241" t="s">
        <v>22</v>
      </c>
      <c r="G241" t="s">
        <v>23</v>
      </c>
      <c r="H241" t="s">
        <v>447</v>
      </c>
      <c r="I241" t="s">
        <v>33</v>
      </c>
      <c r="J241">
        <v>1</v>
      </c>
      <c r="K241">
        <v>30</v>
      </c>
      <c r="L241">
        <v>0</v>
      </c>
      <c r="M241">
        <v>30</v>
      </c>
      <c r="N241">
        <v>22.21</v>
      </c>
      <c r="O241">
        <v>7.7899999999999991</v>
      </c>
      <c r="P241" s="19">
        <f>Tabuľka4[[#This Row],[Zisk]]/Tabuľka4[[#This Row],[Trzba]]</f>
        <v>0.25966666666666666</v>
      </c>
      <c r="Q241">
        <v>2024</v>
      </c>
      <c r="R241" t="str">
        <f>TEXT(Tabuľka4[[#This Row],[Datum]],"MMMM")</f>
        <v>marec</v>
      </c>
    </row>
    <row r="242" spans="1:18" x14ac:dyDescent="0.3">
      <c r="A242" s="2">
        <v>45512</v>
      </c>
      <c r="B242" t="s">
        <v>452</v>
      </c>
      <c r="C242" t="s">
        <v>254</v>
      </c>
      <c r="D242" t="s">
        <v>20</v>
      </c>
      <c r="E242" t="s">
        <v>0</v>
      </c>
      <c r="F242" t="s">
        <v>43</v>
      </c>
      <c r="G242" t="s">
        <v>23</v>
      </c>
      <c r="H242" t="s">
        <v>447</v>
      </c>
      <c r="I242" t="s">
        <v>30</v>
      </c>
      <c r="J242">
        <v>3</v>
      </c>
      <c r="K242">
        <v>45</v>
      </c>
      <c r="L242">
        <v>0.1</v>
      </c>
      <c r="M242">
        <v>135</v>
      </c>
      <c r="N242">
        <v>81.260000000000005</v>
      </c>
      <c r="O242">
        <v>53.739999999999995</v>
      </c>
      <c r="P242" s="19">
        <f>Tabuľka4[[#This Row],[Zisk]]/Tabuľka4[[#This Row],[Trzba]]</f>
        <v>0.39807407407407402</v>
      </c>
      <c r="Q242">
        <v>2024</v>
      </c>
      <c r="R242" t="str">
        <f>TEXT(Tabuľka4[[#This Row],[Datum]],"MMMM")</f>
        <v>august</v>
      </c>
    </row>
    <row r="243" spans="1:18" x14ac:dyDescent="0.3">
      <c r="A243" s="2">
        <v>45534</v>
      </c>
      <c r="B243" t="s">
        <v>453</v>
      </c>
      <c r="C243" t="s">
        <v>451</v>
      </c>
      <c r="D243" t="s">
        <v>20</v>
      </c>
      <c r="E243" t="s">
        <v>68</v>
      </c>
      <c r="F243" t="s">
        <v>22</v>
      </c>
      <c r="G243" t="s">
        <v>23</v>
      </c>
      <c r="H243" t="s">
        <v>447</v>
      </c>
      <c r="I243" t="s">
        <v>30</v>
      </c>
      <c r="J243">
        <v>3</v>
      </c>
      <c r="K243">
        <v>36</v>
      </c>
      <c r="L243">
        <v>0.06</v>
      </c>
      <c r="M243">
        <v>108</v>
      </c>
      <c r="N243">
        <v>71.010000000000005</v>
      </c>
      <c r="O243">
        <v>36.989999999999995</v>
      </c>
      <c r="P243" s="19">
        <f>Tabuľka4[[#This Row],[Zisk]]/Tabuľka4[[#This Row],[Trzba]]</f>
        <v>0.34249999999999997</v>
      </c>
      <c r="Q243">
        <v>2024</v>
      </c>
      <c r="R243" t="str">
        <f>TEXT(Tabuľka4[[#This Row],[Datum]],"MMMM")</f>
        <v>august</v>
      </c>
    </row>
    <row r="244" spans="1:18" x14ac:dyDescent="0.3">
      <c r="A244" s="2">
        <v>45613</v>
      </c>
      <c r="B244" t="s">
        <v>454</v>
      </c>
      <c r="C244" t="s">
        <v>455</v>
      </c>
      <c r="D244" t="s">
        <v>20</v>
      </c>
      <c r="E244" t="s">
        <v>50</v>
      </c>
      <c r="F244" t="s">
        <v>43</v>
      </c>
      <c r="G244" t="s">
        <v>23</v>
      </c>
      <c r="H244" t="s">
        <v>447</v>
      </c>
      <c r="I244" t="s">
        <v>38</v>
      </c>
      <c r="J244">
        <v>4</v>
      </c>
      <c r="K244">
        <v>20</v>
      </c>
      <c r="L244">
        <v>0</v>
      </c>
      <c r="M244">
        <v>80</v>
      </c>
      <c r="N244">
        <v>51.28</v>
      </c>
      <c r="O244">
        <v>28.72</v>
      </c>
      <c r="P244" s="19">
        <f>Tabuľka4[[#This Row],[Zisk]]/Tabuľka4[[#This Row],[Trzba]]</f>
        <v>0.35899999999999999</v>
      </c>
      <c r="Q244">
        <v>2024</v>
      </c>
      <c r="R244" t="str">
        <f>TEXT(Tabuľka4[[#This Row],[Datum]],"MMMM")</f>
        <v>november</v>
      </c>
    </row>
    <row r="245" spans="1:18" x14ac:dyDescent="0.3">
      <c r="A245" s="2">
        <v>45660</v>
      </c>
      <c r="B245" t="s">
        <v>456</v>
      </c>
      <c r="C245" t="s">
        <v>457</v>
      </c>
      <c r="D245" t="s">
        <v>20</v>
      </c>
      <c r="E245" t="s">
        <v>0</v>
      </c>
      <c r="F245" t="s">
        <v>22</v>
      </c>
      <c r="G245" t="s">
        <v>23</v>
      </c>
      <c r="H245" t="s">
        <v>447</v>
      </c>
      <c r="I245" t="s">
        <v>38</v>
      </c>
      <c r="J245">
        <v>5</v>
      </c>
      <c r="K245">
        <v>36</v>
      </c>
      <c r="L245">
        <v>0.1</v>
      </c>
      <c r="M245">
        <v>180</v>
      </c>
      <c r="N245">
        <v>88.52</v>
      </c>
      <c r="O245">
        <v>91.48</v>
      </c>
      <c r="P245" s="19">
        <f>Tabuľka4[[#This Row],[Zisk]]/Tabuľka4[[#This Row],[Trzba]]</f>
        <v>0.50822222222222224</v>
      </c>
      <c r="Q245">
        <v>2025</v>
      </c>
      <c r="R245" t="str">
        <f>TEXT(Tabuľka4[[#This Row],[Datum]],"MMMM")</f>
        <v>január</v>
      </c>
    </row>
    <row r="246" spans="1:18" x14ac:dyDescent="0.3">
      <c r="A246" s="2">
        <v>45816</v>
      </c>
      <c r="B246" t="s">
        <v>458</v>
      </c>
      <c r="C246" t="s">
        <v>459</v>
      </c>
      <c r="D246" t="s">
        <v>20</v>
      </c>
      <c r="E246" t="s">
        <v>21</v>
      </c>
      <c r="F246" t="s">
        <v>22</v>
      </c>
      <c r="G246" t="s">
        <v>23</v>
      </c>
      <c r="H246" t="s">
        <v>447</v>
      </c>
      <c r="I246" t="s">
        <v>33</v>
      </c>
      <c r="J246">
        <v>2</v>
      </c>
      <c r="K246">
        <v>28</v>
      </c>
      <c r="L246">
        <v>0.14000000000000001</v>
      </c>
      <c r="M246">
        <v>56</v>
      </c>
      <c r="N246">
        <v>26.92</v>
      </c>
      <c r="O246">
        <v>29.08</v>
      </c>
      <c r="P246" s="19">
        <f>Tabuľka4[[#This Row],[Zisk]]/Tabuľka4[[#This Row],[Trzba]]</f>
        <v>0.51928571428571424</v>
      </c>
      <c r="Q246">
        <v>2025</v>
      </c>
      <c r="R246" t="str">
        <f>TEXT(Tabuľka4[[#This Row],[Datum]],"MMMM")</f>
        <v>jún</v>
      </c>
    </row>
    <row r="247" spans="1:18" x14ac:dyDescent="0.3">
      <c r="A247" s="2">
        <v>45829</v>
      </c>
      <c r="B247" t="s">
        <v>460</v>
      </c>
      <c r="C247" t="s">
        <v>461</v>
      </c>
      <c r="D247" t="s">
        <v>20</v>
      </c>
      <c r="E247" t="s">
        <v>21</v>
      </c>
      <c r="F247" t="s">
        <v>43</v>
      </c>
      <c r="G247" t="s">
        <v>23</v>
      </c>
      <c r="H247" t="s">
        <v>447</v>
      </c>
      <c r="I247" t="s">
        <v>51</v>
      </c>
      <c r="J247">
        <v>1</v>
      </c>
      <c r="K247">
        <v>32</v>
      </c>
      <c r="L247">
        <v>0.06</v>
      </c>
      <c r="M247">
        <v>32</v>
      </c>
      <c r="N247">
        <v>23.65</v>
      </c>
      <c r="O247">
        <v>8.3500000000000014</v>
      </c>
      <c r="P247" s="19">
        <f>Tabuľka4[[#This Row],[Zisk]]/Tabuľka4[[#This Row],[Trzba]]</f>
        <v>0.26093750000000004</v>
      </c>
      <c r="Q247">
        <v>2025</v>
      </c>
      <c r="R247" t="str">
        <f>TEXT(Tabuľka4[[#This Row],[Datum]],"MMMM")</f>
        <v>jún</v>
      </c>
    </row>
    <row r="248" spans="1:18" x14ac:dyDescent="0.3">
      <c r="A248" s="2">
        <v>45850</v>
      </c>
      <c r="B248" t="s">
        <v>462</v>
      </c>
      <c r="C248" t="s">
        <v>463</v>
      </c>
      <c r="D248" t="s">
        <v>20</v>
      </c>
      <c r="E248" t="s">
        <v>68</v>
      </c>
      <c r="F248" t="s">
        <v>22</v>
      </c>
      <c r="G248" t="s">
        <v>23</v>
      </c>
      <c r="H248" t="s">
        <v>447</v>
      </c>
      <c r="I248" t="s">
        <v>46</v>
      </c>
      <c r="J248">
        <v>5</v>
      </c>
      <c r="K248">
        <v>38</v>
      </c>
      <c r="L248">
        <v>0.15</v>
      </c>
      <c r="M248">
        <v>190</v>
      </c>
      <c r="N248">
        <v>97.09</v>
      </c>
      <c r="O248">
        <v>92.91</v>
      </c>
      <c r="P248" s="19">
        <f>Tabuľka4[[#This Row],[Zisk]]/Tabuľka4[[#This Row],[Trzba]]</f>
        <v>0.48899999999999999</v>
      </c>
      <c r="Q248">
        <v>2025</v>
      </c>
      <c r="R248" t="str">
        <f>TEXT(Tabuľka4[[#This Row],[Datum]],"MMMM")</f>
        <v>júl</v>
      </c>
    </row>
    <row r="249" spans="1:18" x14ac:dyDescent="0.3">
      <c r="A249" s="2">
        <v>46042</v>
      </c>
      <c r="B249" t="s">
        <v>464</v>
      </c>
      <c r="C249" t="s">
        <v>48</v>
      </c>
      <c r="D249" t="s">
        <v>49</v>
      </c>
      <c r="E249" t="s">
        <v>68</v>
      </c>
      <c r="F249" t="s">
        <v>22</v>
      </c>
      <c r="G249" t="s">
        <v>23</v>
      </c>
      <c r="H249" t="s">
        <v>447</v>
      </c>
      <c r="I249" t="s">
        <v>46</v>
      </c>
      <c r="J249">
        <v>6</v>
      </c>
      <c r="K249">
        <v>25</v>
      </c>
      <c r="L249">
        <v>0.11</v>
      </c>
      <c r="M249">
        <v>150</v>
      </c>
      <c r="N249">
        <v>93.35</v>
      </c>
      <c r="O249">
        <v>56.650000000000006</v>
      </c>
      <c r="P249" s="19">
        <f>Tabuľka4[[#This Row],[Zisk]]/Tabuľka4[[#This Row],[Trzba]]</f>
        <v>0.37766666666666671</v>
      </c>
      <c r="Q249">
        <v>2026</v>
      </c>
      <c r="R249" t="str">
        <f>TEXT(Tabuľka4[[#This Row],[Datum]],"MMMM")</f>
        <v>január</v>
      </c>
    </row>
    <row r="250" spans="1:18" x14ac:dyDescent="0.3">
      <c r="A250" s="2">
        <v>46048</v>
      </c>
      <c r="B250" t="s">
        <v>465</v>
      </c>
      <c r="C250" t="s">
        <v>466</v>
      </c>
      <c r="D250" t="s">
        <v>20</v>
      </c>
      <c r="E250" t="s">
        <v>0</v>
      </c>
      <c r="F250" t="s">
        <v>22</v>
      </c>
      <c r="G250" t="s">
        <v>23</v>
      </c>
      <c r="H250" t="s">
        <v>447</v>
      </c>
      <c r="I250" t="s">
        <v>51</v>
      </c>
      <c r="J250">
        <v>1</v>
      </c>
      <c r="K250">
        <v>56</v>
      </c>
      <c r="L250">
        <v>0.02</v>
      </c>
      <c r="M250">
        <v>56</v>
      </c>
      <c r="N250">
        <v>14.69</v>
      </c>
      <c r="O250">
        <v>41.31</v>
      </c>
      <c r="P250" s="19">
        <f>Tabuľka4[[#This Row],[Zisk]]/Tabuľka4[[#This Row],[Trzba]]</f>
        <v>0.73767857142857152</v>
      </c>
      <c r="Q250">
        <v>2026</v>
      </c>
      <c r="R250" t="str">
        <f>TEXT(Tabuľka4[[#This Row],[Datum]],"MMMM")</f>
        <v>január</v>
      </c>
    </row>
    <row r="251" spans="1:18" x14ac:dyDescent="0.3">
      <c r="A251" s="2">
        <v>46090</v>
      </c>
      <c r="B251" t="s">
        <v>467</v>
      </c>
      <c r="C251" t="s">
        <v>57</v>
      </c>
      <c r="D251" t="s">
        <v>49</v>
      </c>
      <c r="E251" t="s">
        <v>50</v>
      </c>
      <c r="F251" t="s">
        <v>58</v>
      </c>
      <c r="G251" t="s">
        <v>23</v>
      </c>
      <c r="H251" t="s">
        <v>447</v>
      </c>
      <c r="I251" t="s">
        <v>46</v>
      </c>
      <c r="J251">
        <v>4</v>
      </c>
      <c r="K251">
        <v>88</v>
      </c>
      <c r="L251">
        <v>7.0000000000000007E-2</v>
      </c>
      <c r="M251">
        <v>352</v>
      </c>
      <c r="N251">
        <v>127.76</v>
      </c>
      <c r="O251">
        <v>224.24</v>
      </c>
      <c r="P251" s="19">
        <f>Tabuľka4[[#This Row],[Zisk]]/Tabuľka4[[#This Row],[Trzba]]</f>
        <v>0.63704545454545458</v>
      </c>
      <c r="Q251">
        <v>2026</v>
      </c>
      <c r="R251" t="str">
        <f>TEXT(Tabuľka4[[#This Row],[Datum]],"MMMM")</f>
        <v>marec</v>
      </c>
    </row>
    <row r="252" spans="1:18" x14ac:dyDescent="0.3">
      <c r="A252" s="2">
        <v>45350</v>
      </c>
      <c r="B252" t="s">
        <v>468</v>
      </c>
      <c r="C252" t="s">
        <v>145</v>
      </c>
      <c r="D252" t="s">
        <v>20</v>
      </c>
      <c r="E252" t="s">
        <v>50</v>
      </c>
      <c r="F252" t="s">
        <v>58</v>
      </c>
      <c r="G252" t="s">
        <v>23</v>
      </c>
      <c r="H252" t="s">
        <v>469</v>
      </c>
      <c r="I252" t="s">
        <v>51</v>
      </c>
      <c r="J252">
        <v>3</v>
      </c>
      <c r="K252">
        <v>104</v>
      </c>
      <c r="L252">
        <v>0.05</v>
      </c>
      <c r="M252">
        <v>312</v>
      </c>
      <c r="N252">
        <v>221.75</v>
      </c>
      <c r="O252">
        <v>90.25</v>
      </c>
      <c r="P252" s="19">
        <f>Tabuľka4[[#This Row],[Zisk]]/Tabuľka4[[#This Row],[Trzba]]</f>
        <v>0.28926282051282054</v>
      </c>
      <c r="Q252">
        <v>2024</v>
      </c>
      <c r="R252" t="str">
        <f>TEXT(Tabuľka4[[#This Row],[Datum]],"MMMM")</f>
        <v>február</v>
      </c>
    </row>
    <row r="253" spans="1:18" x14ac:dyDescent="0.3">
      <c r="A253" s="2">
        <v>45350</v>
      </c>
      <c r="B253" t="s">
        <v>470</v>
      </c>
      <c r="C253" t="s">
        <v>48</v>
      </c>
      <c r="D253" t="s">
        <v>49</v>
      </c>
      <c r="E253" t="s">
        <v>21</v>
      </c>
      <c r="F253" t="s">
        <v>58</v>
      </c>
      <c r="G253" t="s">
        <v>23</v>
      </c>
      <c r="H253" t="s">
        <v>469</v>
      </c>
      <c r="I253" t="s">
        <v>38</v>
      </c>
      <c r="J253">
        <v>8</v>
      </c>
      <c r="K253">
        <v>90</v>
      </c>
      <c r="L253">
        <v>0</v>
      </c>
      <c r="M253">
        <v>720</v>
      </c>
      <c r="N253">
        <v>492.86</v>
      </c>
      <c r="O253">
        <v>227.14</v>
      </c>
      <c r="P253" s="19">
        <f>Tabuľka4[[#This Row],[Zisk]]/Tabuľka4[[#This Row],[Trzba]]</f>
        <v>0.31547222222222221</v>
      </c>
      <c r="Q253">
        <v>2024</v>
      </c>
      <c r="R253" t="str">
        <f>TEXT(Tabuľka4[[#This Row],[Datum]],"MMMM")</f>
        <v>február</v>
      </c>
    </row>
    <row r="254" spans="1:18" x14ac:dyDescent="0.3">
      <c r="A254" s="2">
        <v>45413</v>
      </c>
      <c r="B254" t="s">
        <v>471</v>
      </c>
      <c r="C254" t="s">
        <v>472</v>
      </c>
      <c r="D254" t="s">
        <v>20</v>
      </c>
      <c r="E254" t="s">
        <v>0</v>
      </c>
      <c r="F254" t="s">
        <v>22</v>
      </c>
      <c r="G254" t="s">
        <v>23</v>
      </c>
      <c r="H254" t="s">
        <v>469</v>
      </c>
      <c r="I254" t="s">
        <v>63</v>
      </c>
      <c r="J254">
        <v>3</v>
      </c>
      <c r="K254">
        <v>108</v>
      </c>
      <c r="L254">
        <v>0.1</v>
      </c>
      <c r="M254">
        <v>324</v>
      </c>
      <c r="N254">
        <v>206.29</v>
      </c>
      <c r="O254">
        <v>117.71000000000001</v>
      </c>
      <c r="P254" s="19">
        <f>Tabuľka4[[#This Row],[Zisk]]/Tabuľka4[[#This Row],[Trzba]]</f>
        <v>0.3633024691358025</v>
      </c>
      <c r="Q254">
        <v>2024</v>
      </c>
      <c r="R254" t="str">
        <f>TEXT(Tabuľka4[[#This Row],[Datum]],"MMMM")</f>
        <v>máj</v>
      </c>
    </row>
    <row r="255" spans="1:18" x14ac:dyDescent="0.3">
      <c r="A255" s="2">
        <v>45450</v>
      </c>
      <c r="B255" t="s">
        <v>473</v>
      </c>
      <c r="C255" t="s">
        <v>145</v>
      </c>
      <c r="D255" t="s">
        <v>20</v>
      </c>
      <c r="E255" t="s">
        <v>50</v>
      </c>
      <c r="F255" t="s">
        <v>22</v>
      </c>
      <c r="G255" t="s">
        <v>23</v>
      </c>
      <c r="H255" t="s">
        <v>469</v>
      </c>
      <c r="I255" t="s">
        <v>33</v>
      </c>
      <c r="J255">
        <v>3</v>
      </c>
      <c r="K255">
        <v>83</v>
      </c>
      <c r="L255">
        <v>0.06</v>
      </c>
      <c r="M255">
        <v>249</v>
      </c>
      <c r="N255">
        <v>176.37</v>
      </c>
      <c r="O255">
        <v>72.63</v>
      </c>
      <c r="P255" s="19">
        <f>Tabuľka4[[#This Row],[Zisk]]/Tabuľka4[[#This Row],[Trzba]]</f>
        <v>0.29168674698795177</v>
      </c>
      <c r="Q255">
        <v>2024</v>
      </c>
      <c r="R255" t="str">
        <f>TEXT(Tabuľka4[[#This Row],[Datum]],"MMMM")</f>
        <v>jún</v>
      </c>
    </row>
    <row r="256" spans="1:18" x14ac:dyDescent="0.3">
      <c r="A256" s="2">
        <v>45544</v>
      </c>
      <c r="B256" t="s">
        <v>474</v>
      </c>
      <c r="C256" t="s">
        <v>62</v>
      </c>
      <c r="D256" t="s">
        <v>20</v>
      </c>
      <c r="E256" t="s">
        <v>68</v>
      </c>
      <c r="F256" t="s">
        <v>22</v>
      </c>
      <c r="G256" t="s">
        <v>23</v>
      </c>
      <c r="H256" t="s">
        <v>469</v>
      </c>
      <c r="I256" t="s">
        <v>88</v>
      </c>
      <c r="J256">
        <v>2</v>
      </c>
      <c r="K256">
        <v>106</v>
      </c>
      <c r="L256">
        <v>0.06</v>
      </c>
      <c r="M256">
        <v>212</v>
      </c>
      <c r="N256">
        <v>174.38</v>
      </c>
      <c r="O256">
        <v>37.620000000000005</v>
      </c>
      <c r="P256" s="19">
        <f>Tabuľka4[[#This Row],[Zisk]]/Tabuľka4[[#This Row],[Trzba]]</f>
        <v>0.17745283018867927</v>
      </c>
      <c r="Q256">
        <v>2024</v>
      </c>
      <c r="R256" t="str">
        <f>TEXT(Tabuľka4[[#This Row],[Datum]],"MMMM")</f>
        <v>september</v>
      </c>
    </row>
    <row r="257" spans="1:18" x14ac:dyDescent="0.3">
      <c r="A257" s="2">
        <v>45571</v>
      </c>
      <c r="B257" t="s">
        <v>475</v>
      </c>
      <c r="C257" t="s">
        <v>124</v>
      </c>
      <c r="D257" t="s">
        <v>49</v>
      </c>
      <c r="E257" t="s">
        <v>21</v>
      </c>
      <c r="F257" t="s">
        <v>43</v>
      </c>
      <c r="G257" t="s">
        <v>23</v>
      </c>
      <c r="H257" t="s">
        <v>469</v>
      </c>
      <c r="I257" t="s">
        <v>33</v>
      </c>
      <c r="J257">
        <v>9</v>
      </c>
      <c r="K257">
        <v>100</v>
      </c>
      <c r="L257">
        <v>0.1</v>
      </c>
      <c r="M257">
        <v>900</v>
      </c>
      <c r="N257">
        <v>536.08000000000004</v>
      </c>
      <c r="O257">
        <v>363.91999999999996</v>
      </c>
      <c r="P257" s="19">
        <f>Tabuľka4[[#This Row],[Zisk]]/Tabuľka4[[#This Row],[Trzba]]</f>
        <v>0.40435555555555552</v>
      </c>
      <c r="Q257">
        <v>2024</v>
      </c>
      <c r="R257" t="str">
        <f>TEXT(Tabuľka4[[#This Row],[Datum]],"MMMM")</f>
        <v>október</v>
      </c>
    </row>
    <row r="258" spans="1:18" x14ac:dyDescent="0.3">
      <c r="A258" s="2">
        <v>45597</v>
      </c>
      <c r="B258" t="s">
        <v>476</v>
      </c>
      <c r="C258" t="s">
        <v>185</v>
      </c>
      <c r="D258" t="s">
        <v>49</v>
      </c>
      <c r="E258" t="s">
        <v>68</v>
      </c>
      <c r="F258" t="s">
        <v>22</v>
      </c>
      <c r="G258" t="s">
        <v>23</v>
      </c>
      <c r="H258" t="s">
        <v>469</v>
      </c>
      <c r="I258" t="s">
        <v>88</v>
      </c>
      <c r="J258">
        <v>8</v>
      </c>
      <c r="K258">
        <v>85</v>
      </c>
      <c r="L258">
        <v>0.16</v>
      </c>
      <c r="M258">
        <v>680</v>
      </c>
      <c r="N258">
        <v>348.12</v>
      </c>
      <c r="O258">
        <v>331.88</v>
      </c>
      <c r="P258" s="19">
        <f>Tabuľka4[[#This Row],[Zisk]]/Tabuľka4[[#This Row],[Trzba]]</f>
        <v>0.48805882352941177</v>
      </c>
      <c r="Q258">
        <v>2024</v>
      </c>
      <c r="R258" t="str">
        <f>TEXT(Tabuľka4[[#This Row],[Datum]],"MMMM")</f>
        <v>november</v>
      </c>
    </row>
    <row r="259" spans="1:18" x14ac:dyDescent="0.3">
      <c r="A259" s="2">
        <v>45649</v>
      </c>
      <c r="B259" t="s">
        <v>477</v>
      </c>
      <c r="C259" t="s">
        <v>132</v>
      </c>
      <c r="D259" t="s">
        <v>49</v>
      </c>
      <c r="E259" t="s">
        <v>0</v>
      </c>
      <c r="F259" t="s">
        <v>58</v>
      </c>
      <c r="G259" t="s">
        <v>23</v>
      </c>
      <c r="H259" t="s">
        <v>469</v>
      </c>
      <c r="I259" t="s">
        <v>38</v>
      </c>
      <c r="J259">
        <v>6</v>
      </c>
      <c r="K259">
        <v>102</v>
      </c>
      <c r="L259">
        <v>0.23</v>
      </c>
      <c r="M259">
        <v>612</v>
      </c>
      <c r="N259">
        <v>386.77</v>
      </c>
      <c r="O259">
        <v>225.23000000000002</v>
      </c>
      <c r="P259" s="19">
        <f>Tabuľka4[[#This Row],[Zisk]]/Tabuľka4[[#This Row],[Trzba]]</f>
        <v>0.3680228758169935</v>
      </c>
      <c r="Q259">
        <v>2024</v>
      </c>
      <c r="R259" t="str">
        <f>TEXT(Tabuľka4[[#This Row],[Datum]],"MMMM")</f>
        <v>december</v>
      </c>
    </row>
    <row r="260" spans="1:18" x14ac:dyDescent="0.3">
      <c r="A260" s="2">
        <v>45853</v>
      </c>
      <c r="B260" t="s">
        <v>478</v>
      </c>
      <c r="C260" t="s">
        <v>276</v>
      </c>
      <c r="D260" t="s">
        <v>20</v>
      </c>
      <c r="E260" t="s">
        <v>21</v>
      </c>
      <c r="F260" t="s">
        <v>43</v>
      </c>
      <c r="G260" t="s">
        <v>23</v>
      </c>
      <c r="H260" t="s">
        <v>469</v>
      </c>
      <c r="I260" t="s">
        <v>63</v>
      </c>
      <c r="J260">
        <v>1</v>
      </c>
      <c r="K260">
        <v>84</v>
      </c>
      <c r="L260">
        <v>0.03</v>
      </c>
      <c r="M260">
        <v>84</v>
      </c>
      <c r="N260">
        <v>55.53</v>
      </c>
      <c r="O260">
        <v>28.47</v>
      </c>
      <c r="P260" s="19">
        <f>Tabuľka4[[#This Row],[Zisk]]/Tabuľka4[[#This Row],[Trzba]]</f>
        <v>0.33892857142857141</v>
      </c>
      <c r="Q260">
        <v>2025</v>
      </c>
      <c r="R260" t="str">
        <f>TEXT(Tabuľka4[[#This Row],[Datum]],"MMMM")</f>
        <v>júl</v>
      </c>
    </row>
    <row r="261" spans="1:18" x14ac:dyDescent="0.3">
      <c r="A261" s="2">
        <v>46072</v>
      </c>
      <c r="B261" t="s">
        <v>479</v>
      </c>
      <c r="C261" t="s">
        <v>480</v>
      </c>
      <c r="D261" t="s">
        <v>20</v>
      </c>
      <c r="E261" t="s">
        <v>68</v>
      </c>
      <c r="F261" t="s">
        <v>58</v>
      </c>
      <c r="G261" t="s">
        <v>23</v>
      </c>
      <c r="H261" t="s">
        <v>469</v>
      </c>
      <c r="I261" t="s">
        <v>46</v>
      </c>
      <c r="J261">
        <v>1</v>
      </c>
      <c r="K261">
        <v>95</v>
      </c>
      <c r="L261">
        <v>0.04</v>
      </c>
      <c r="M261">
        <v>95</v>
      </c>
      <c r="N261">
        <v>63.54</v>
      </c>
      <c r="O261">
        <v>31.46</v>
      </c>
      <c r="P261" s="19">
        <f>Tabuľka4[[#This Row],[Zisk]]/Tabuľka4[[#This Row],[Trzba]]</f>
        <v>0.3311578947368421</v>
      </c>
      <c r="Q261">
        <v>2026</v>
      </c>
      <c r="R261" t="str">
        <f>TEXT(Tabuľka4[[#This Row],[Datum]],"MMMM")</f>
        <v>február</v>
      </c>
    </row>
    <row r="262" spans="1:18" x14ac:dyDescent="0.3">
      <c r="A262" s="2">
        <v>46102</v>
      </c>
      <c r="B262" t="s">
        <v>481</v>
      </c>
      <c r="C262" t="s">
        <v>278</v>
      </c>
      <c r="D262" t="s">
        <v>20</v>
      </c>
      <c r="E262" t="s">
        <v>21</v>
      </c>
      <c r="F262" t="s">
        <v>22</v>
      </c>
      <c r="G262" t="s">
        <v>23</v>
      </c>
      <c r="H262" t="s">
        <v>469</v>
      </c>
      <c r="I262" t="s">
        <v>38</v>
      </c>
      <c r="J262">
        <v>3</v>
      </c>
      <c r="K262">
        <v>85</v>
      </c>
      <c r="L262">
        <v>0.02</v>
      </c>
      <c r="M262">
        <v>255</v>
      </c>
      <c r="N262">
        <v>167.67</v>
      </c>
      <c r="O262">
        <v>87.330000000000013</v>
      </c>
      <c r="P262" s="19">
        <f>Tabuľka4[[#This Row],[Zisk]]/Tabuľka4[[#This Row],[Trzba]]</f>
        <v>0.34247058823529419</v>
      </c>
      <c r="Q262">
        <v>2026</v>
      </c>
      <c r="R262" t="str">
        <f>TEXT(Tabuľka4[[#This Row],[Datum]],"MMMM")</f>
        <v>marec</v>
      </c>
    </row>
    <row r="263" spans="1:18" x14ac:dyDescent="0.3">
      <c r="A263" s="2">
        <v>45310</v>
      </c>
      <c r="B263" t="s">
        <v>482</v>
      </c>
      <c r="C263" t="s">
        <v>389</v>
      </c>
      <c r="D263" t="s">
        <v>20</v>
      </c>
      <c r="E263" t="s">
        <v>21</v>
      </c>
      <c r="F263" t="s">
        <v>22</v>
      </c>
      <c r="G263" t="s">
        <v>86</v>
      </c>
      <c r="H263" t="s">
        <v>483</v>
      </c>
      <c r="I263" t="s">
        <v>88</v>
      </c>
      <c r="J263">
        <v>2</v>
      </c>
      <c r="K263">
        <v>771</v>
      </c>
      <c r="L263">
        <v>0.06</v>
      </c>
      <c r="M263">
        <v>1542</v>
      </c>
      <c r="N263">
        <v>1033.21</v>
      </c>
      <c r="O263">
        <v>508.78999999999996</v>
      </c>
      <c r="P263" s="19">
        <f>Tabuľka4[[#This Row],[Zisk]]/Tabuľka4[[#This Row],[Trzba]]</f>
        <v>0.3299546044098573</v>
      </c>
      <c r="Q263">
        <v>2024</v>
      </c>
      <c r="R263" t="str">
        <f>TEXT(Tabuľka4[[#This Row],[Datum]],"MMMM")</f>
        <v>január</v>
      </c>
    </row>
    <row r="264" spans="1:18" x14ac:dyDescent="0.3">
      <c r="A264" s="2">
        <v>45356</v>
      </c>
      <c r="B264" t="s">
        <v>484</v>
      </c>
      <c r="C264" t="s">
        <v>345</v>
      </c>
      <c r="D264" t="s">
        <v>20</v>
      </c>
      <c r="E264" t="s">
        <v>21</v>
      </c>
      <c r="F264" t="s">
        <v>43</v>
      </c>
      <c r="G264" t="s">
        <v>86</v>
      </c>
      <c r="H264" t="s">
        <v>483</v>
      </c>
      <c r="I264" t="s">
        <v>38</v>
      </c>
      <c r="J264">
        <v>4</v>
      </c>
      <c r="K264">
        <v>1145</v>
      </c>
      <c r="L264">
        <v>7.0000000000000007E-2</v>
      </c>
      <c r="M264">
        <v>4580</v>
      </c>
      <c r="N264">
        <v>3298.3</v>
      </c>
      <c r="O264">
        <v>1281.6999999999998</v>
      </c>
      <c r="P264" s="19">
        <f>Tabuľka4[[#This Row],[Zisk]]/Tabuľka4[[#This Row],[Trzba]]</f>
        <v>0.27984716157205236</v>
      </c>
      <c r="Q264">
        <v>2024</v>
      </c>
      <c r="R264" t="str">
        <f>TEXT(Tabuľka4[[#This Row],[Datum]],"MMMM")</f>
        <v>marec</v>
      </c>
    </row>
    <row r="265" spans="1:18" x14ac:dyDescent="0.3">
      <c r="A265" s="2">
        <v>45372</v>
      </c>
      <c r="B265" t="s">
        <v>485</v>
      </c>
      <c r="C265" t="s">
        <v>486</v>
      </c>
      <c r="D265" t="s">
        <v>20</v>
      </c>
      <c r="E265" t="s">
        <v>21</v>
      </c>
      <c r="F265" t="s">
        <v>22</v>
      </c>
      <c r="G265" t="s">
        <v>86</v>
      </c>
      <c r="H265" t="s">
        <v>483</v>
      </c>
      <c r="I265" t="s">
        <v>25</v>
      </c>
      <c r="J265">
        <v>1</v>
      </c>
      <c r="K265">
        <v>1058</v>
      </c>
      <c r="L265">
        <v>0</v>
      </c>
      <c r="M265">
        <v>1058</v>
      </c>
      <c r="N265">
        <v>692.58</v>
      </c>
      <c r="O265">
        <v>365.41999999999996</v>
      </c>
      <c r="P265" s="19">
        <f>Tabuľka4[[#This Row],[Zisk]]/Tabuľka4[[#This Row],[Trzba]]</f>
        <v>0.34538752362948955</v>
      </c>
      <c r="Q265">
        <v>2024</v>
      </c>
      <c r="R265" t="str">
        <f>TEXT(Tabuľka4[[#This Row],[Datum]],"MMMM")</f>
        <v>marec</v>
      </c>
    </row>
    <row r="266" spans="1:18" x14ac:dyDescent="0.3">
      <c r="A266" s="2">
        <v>45561</v>
      </c>
      <c r="B266" t="s">
        <v>487</v>
      </c>
      <c r="C266" t="s">
        <v>212</v>
      </c>
      <c r="D266" t="s">
        <v>20</v>
      </c>
      <c r="E266" t="s">
        <v>50</v>
      </c>
      <c r="F266" t="s">
        <v>43</v>
      </c>
      <c r="G266" t="s">
        <v>86</v>
      </c>
      <c r="H266" t="s">
        <v>483</v>
      </c>
      <c r="I266" t="s">
        <v>46</v>
      </c>
      <c r="J266">
        <v>2</v>
      </c>
      <c r="K266">
        <v>1106</v>
      </c>
      <c r="L266">
        <v>0.11</v>
      </c>
      <c r="M266">
        <v>2212</v>
      </c>
      <c r="N266">
        <v>1573.76</v>
      </c>
      <c r="O266">
        <v>638.24</v>
      </c>
      <c r="P266" s="19">
        <f>Tabuľka4[[#This Row],[Zisk]]/Tabuľka4[[#This Row],[Trzba]]</f>
        <v>0.28853526220614828</v>
      </c>
      <c r="Q266">
        <v>2024</v>
      </c>
      <c r="R266" t="str">
        <f>TEXT(Tabuľka4[[#This Row],[Datum]],"MMMM")</f>
        <v>september</v>
      </c>
    </row>
    <row r="267" spans="1:18" x14ac:dyDescent="0.3">
      <c r="A267" s="2">
        <v>45583</v>
      </c>
      <c r="B267" t="s">
        <v>488</v>
      </c>
      <c r="C267" t="s">
        <v>489</v>
      </c>
      <c r="D267" t="s">
        <v>20</v>
      </c>
      <c r="E267" t="s">
        <v>21</v>
      </c>
      <c r="F267" t="s">
        <v>22</v>
      </c>
      <c r="G267" t="s">
        <v>86</v>
      </c>
      <c r="H267" t="s">
        <v>483</v>
      </c>
      <c r="I267" t="s">
        <v>30</v>
      </c>
      <c r="J267">
        <v>3</v>
      </c>
      <c r="K267">
        <v>853</v>
      </c>
      <c r="L267">
        <v>0</v>
      </c>
      <c r="M267">
        <v>2559</v>
      </c>
      <c r="N267">
        <v>2006.75</v>
      </c>
      <c r="O267">
        <v>552.25</v>
      </c>
      <c r="P267" s="19">
        <f>Tabuľka4[[#This Row],[Zisk]]/Tabuľka4[[#This Row],[Trzba]]</f>
        <v>0.21580695584212584</v>
      </c>
      <c r="Q267">
        <v>2024</v>
      </c>
      <c r="R267" t="str">
        <f>TEXT(Tabuľka4[[#This Row],[Datum]],"MMMM")</f>
        <v>október</v>
      </c>
    </row>
    <row r="268" spans="1:18" x14ac:dyDescent="0.3">
      <c r="A268" s="2">
        <v>45649</v>
      </c>
      <c r="B268" t="s">
        <v>490</v>
      </c>
      <c r="C268" t="s">
        <v>235</v>
      </c>
      <c r="D268" t="s">
        <v>49</v>
      </c>
      <c r="E268" t="s">
        <v>68</v>
      </c>
      <c r="F268" t="s">
        <v>58</v>
      </c>
      <c r="G268" t="s">
        <v>86</v>
      </c>
      <c r="H268" t="s">
        <v>483</v>
      </c>
      <c r="I268" t="s">
        <v>25</v>
      </c>
      <c r="J268">
        <v>7</v>
      </c>
      <c r="K268">
        <v>716</v>
      </c>
      <c r="L268">
        <v>0.22</v>
      </c>
      <c r="M268">
        <v>5012</v>
      </c>
      <c r="N268">
        <v>3451.93</v>
      </c>
      <c r="O268">
        <v>1560.0700000000002</v>
      </c>
      <c r="P268" s="19">
        <f>Tabuľka4[[#This Row],[Zisk]]/Tabuľka4[[#This Row],[Trzba]]</f>
        <v>0.31126695929768561</v>
      </c>
      <c r="Q268">
        <v>2024</v>
      </c>
      <c r="R268" t="str">
        <f>TEXT(Tabuľka4[[#This Row],[Datum]],"MMMM")</f>
        <v>december</v>
      </c>
    </row>
    <row r="269" spans="1:18" x14ac:dyDescent="0.3">
      <c r="A269" s="2">
        <v>45673</v>
      </c>
      <c r="B269" t="s">
        <v>491</v>
      </c>
      <c r="C269" t="s">
        <v>492</v>
      </c>
      <c r="D269" t="s">
        <v>20</v>
      </c>
      <c r="E269" t="s">
        <v>0</v>
      </c>
      <c r="F269" t="s">
        <v>22</v>
      </c>
      <c r="G269" t="s">
        <v>86</v>
      </c>
      <c r="H269" t="s">
        <v>483</v>
      </c>
      <c r="I269" t="s">
        <v>51</v>
      </c>
      <c r="J269">
        <v>2</v>
      </c>
      <c r="K269">
        <v>1190</v>
      </c>
      <c r="L269">
        <v>0</v>
      </c>
      <c r="M269">
        <v>2380</v>
      </c>
      <c r="N269">
        <v>1471.36</v>
      </c>
      <c r="O269">
        <v>908.6400000000001</v>
      </c>
      <c r="P269" s="19">
        <f>Tabuľka4[[#This Row],[Zisk]]/Tabuľka4[[#This Row],[Trzba]]</f>
        <v>0.38178151260504206</v>
      </c>
      <c r="Q269">
        <v>2025</v>
      </c>
      <c r="R269" t="str">
        <f>TEXT(Tabuľka4[[#This Row],[Datum]],"MMMM")</f>
        <v>január</v>
      </c>
    </row>
    <row r="270" spans="1:18" x14ac:dyDescent="0.3">
      <c r="A270" s="2">
        <v>45685</v>
      </c>
      <c r="B270" t="s">
        <v>493</v>
      </c>
      <c r="C270" t="s">
        <v>48</v>
      </c>
      <c r="D270" t="s">
        <v>49</v>
      </c>
      <c r="E270" t="s">
        <v>0</v>
      </c>
      <c r="F270" t="s">
        <v>58</v>
      </c>
      <c r="G270" t="s">
        <v>86</v>
      </c>
      <c r="H270" t="s">
        <v>483</v>
      </c>
      <c r="I270" t="s">
        <v>25</v>
      </c>
      <c r="J270">
        <v>5</v>
      </c>
      <c r="K270">
        <v>619</v>
      </c>
      <c r="L270">
        <v>0.11</v>
      </c>
      <c r="M270">
        <v>3095</v>
      </c>
      <c r="N270">
        <v>1938.89</v>
      </c>
      <c r="O270">
        <v>1156.1099999999999</v>
      </c>
      <c r="P270" s="19">
        <f>Tabuľka4[[#This Row],[Zisk]]/Tabuľka4[[#This Row],[Trzba]]</f>
        <v>0.37354119547657511</v>
      </c>
      <c r="Q270">
        <v>2025</v>
      </c>
      <c r="R270" t="str">
        <f>TEXT(Tabuľka4[[#This Row],[Datum]],"MMMM")</f>
        <v>január</v>
      </c>
    </row>
    <row r="271" spans="1:18" x14ac:dyDescent="0.3">
      <c r="A271" s="2">
        <v>45719</v>
      </c>
      <c r="B271" t="s">
        <v>494</v>
      </c>
      <c r="C271" t="s">
        <v>67</v>
      </c>
      <c r="D271" t="s">
        <v>20</v>
      </c>
      <c r="E271" t="s">
        <v>68</v>
      </c>
      <c r="F271" t="s">
        <v>43</v>
      </c>
      <c r="G271" t="s">
        <v>86</v>
      </c>
      <c r="H271" t="s">
        <v>483</v>
      </c>
      <c r="I271" t="s">
        <v>38</v>
      </c>
      <c r="J271">
        <v>3</v>
      </c>
      <c r="K271">
        <v>671</v>
      </c>
      <c r="L271">
        <v>0.05</v>
      </c>
      <c r="M271">
        <v>2013</v>
      </c>
      <c r="N271">
        <v>1469.27</v>
      </c>
      <c r="O271">
        <v>543.73</v>
      </c>
      <c r="P271" s="19">
        <f>Tabuľka4[[#This Row],[Zisk]]/Tabuľka4[[#This Row],[Trzba]]</f>
        <v>0.27010928961748637</v>
      </c>
      <c r="Q271">
        <v>2025</v>
      </c>
      <c r="R271" t="str">
        <f>TEXT(Tabuľka4[[#This Row],[Datum]],"MMMM")</f>
        <v>marec</v>
      </c>
    </row>
    <row r="272" spans="1:18" x14ac:dyDescent="0.3">
      <c r="A272" s="2">
        <v>45723</v>
      </c>
      <c r="B272" t="s">
        <v>495</v>
      </c>
      <c r="C272" t="s">
        <v>496</v>
      </c>
      <c r="D272" t="s">
        <v>20</v>
      </c>
      <c r="E272" t="s">
        <v>68</v>
      </c>
      <c r="F272" t="s">
        <v>22</v>
      </c>
      <c r="G272" t="s">
        <v>86</v>
      </c>
      <c r="H272" t="s">
        <v>483</v>
      </c>
      <c r="I272" t="s">
        <v>46</v>
      </c>
      <c r="J272">
        <v>2</v>
      </c>
      <c r="K272">
        <v>1249</v>
      </c>
      <c r="L272">
        <v>0.09</v>
      </c>
      <c r="M272">
        <v>2498</v>
      </c>
      <c r="N272">
        <v>1583.17</v>
      </c>
      <c r="O272">
        <v>914.82999999999993</v>
      </c>
      <c r="P272" s="19">
        <f>Tabuľka4[[#This Row],[Zisk]]/Tabuľka4[[#This Row],[Trzba]]</f>
        <v>0.36622497998398718</v>
      </c>
      <c r="Q272">
        <v>2025</v>
      </c>
      <c r="R272" t="str">
        <f>TEXT(Tabuľka4[[#This Row],[Datum]],"MMMM")</f>
        <v>marec</v>
      </c>
    </row>
    <row r="273" spans="1:18" x14ac:dyDescent="0.3">
      <c r="A273" s="2">
        <v>45925</v>
      </c>
      <c r="B273" t="s">
        <v>497</v>
      </c>
      <c r="C273" t="s">
        <v>185</v>
      </c>
      <c r="D273" t="s">
        <v>49</v>
      </c>
      <c r="E273" t="s">
        <v>0</v>
      </c>
      <c r="F273" t="s">
        <v>58</v>
      </c>
      <c r="G273" t="s">
        <v>86</v>
      </c>
      <c r="H273" t="s">
        <v>483</v>
      </c>
      <c r="I273" t="s">
        <v>33</v>
      </c>
      <c r="J273">
        <v>9</v>
      </c>
      <c r="K273">
        <v>959</v>
      </c>
      <c r="L273">
        <v>0.04</v>
      </c>
      <c r="M273">
        <v>8631</v>
      </c>
      <c r="N273">
        <v>6801.51</v>
      </c>
      <c r="O273">
        <v>1829.4899999999998</v>
      </c>
      <c r="P273" s="19">
        <f>Tabuľka4[[#This Row],[Zisk]]/Tabuľka4[[#This Row],[Trzba]]</f>
        <v>0.21196732707681609</v>
      </c>
      <c r="Q273">
        <v>2025</v>
      </c>
      <c r="R273" t="str">
        <f>TEXT(Tabuľka4[[#This Row],[Datum]],"MMMM")</f>
        <v>september</v>
      </c>
    </row>
    <row r="274" spans="1:18" x14ac:dyDescent="0.3">
      <c r="A274" s="2">
        <v>45979</v>
      </c>
      <c r="B274" t="s">
        <v>498</v>
      </c>
      <c r="C274" t="s">
        <v>499</v>
      </c>
      <c r="D274" t="s">
        <v>20</v>
      </c>
      <c r="E274" t="s">
        <v>0</v>
      </c>
      <c r="F274" t="s">
        <v>22</v>
      </c>
      <c r="G274" t="s">
        <v>86</v>
      </c>
      <c r="H274" t="s">
        <v>483</v>
      </c>
      <c r="I274" t="s">
        <v>30</v>
      </c>
      <c r="J274">
        <v>4</v>
      </c>
      <c r="K274">
        <v>943</v>
      </c>
      <c r="L274">
        <v>0.11</v>
      </c>
      <c r="M274">
        <v>3772</v>
      </c>
      <c r="N274">
        <v>2588.6799999999998</v>
      </c>
      <c r="O274">
        <v>1183.3200000000002</v>
      </c>
      <c r="P274" s="19">
        <f>Tabuľka4[[#This Row],[Zisk]]/Tabuľka4[[#This Row],[Trzba]]</f>
        <v>0.31371155885471902</v>
      </c>
      <c r="Q274">
        <v>2025</v>
      </c>
      <c r="R274" t="str">
        <f>TEXT(Tabuľka4[[#This Row],[Datum]],"MMMM")</f>
        <v>november</v>
      </c>
    </row>
    <row r="275" spans="1:18" x14ac:dyDescent="0.3">
      <c r="A275" s="2">
        <v>45982</v>
      </c>
      <c r="B275" t="s">
        <v>500</v>
      </c>
      <c r="C275" t="s">
        <v>501</v>
      </c>
      <c r="D275" t="s">
        <v>20</v>
      </c>
      <c r="E275" t="s">
        <v>68</v>
      </c>
      <c r="F275" t="s">
        <v>22</v>
      </c>
      <c r="G275" t="s">
        <v>86</v>
      </c>
      <c r="H275" t="s">
        <v>483</v>
      </c>
      <c r="I275" t="s">
        <v>63</v>
      </c>
      <c r="J275">
        <v>2</v>
      </c>
      <c r="K275">
        <v>1216</v>
      </c>
      <c r="L275">
        <v>0.28000000000000003</v>
      </c>
      <c r="M275">
        <v>2432</v>
      </c>
      <c r="N275">
        <v>1067.21</v>
      </c>
      <c r="O275">
        <v>1364.79</v>
      </c>
      <c r="P275" s="19">
        <f>Tabuľka4[[#This Row],[Zisk]]/Tabuľka4[[#This Row],[Trzba]]</f>
        <v>0.56118009868421048</v>
      </c>
      <c r="Q275">
        <v>2025</v>
      </c>
      <c r="R275" t="str">
        <f>TEXT(Tabuľka4[[#This Row],[Datum]],"MMMM")</f>
        <v>november</v>
      </c>
    </row>
    <row r="276" spans="1:18" x14ac:dyDescent="0.3">
      <c r="A276" s="2">
        <v>45997</v>
      </c>
      <c r="B276" t="s">
        <v>502</v>
      </c>
      <c r="C276" t="s">
        <v>503</v>
      </c>
      <c r="D276" t="s">
        <v>20</v>
      </c>
      <c r="E276" t="s">
        <v>0</v>
      </c>
      <c r="F276" t="s">
        <v>22</v>
      </c>
      <c r="G276" t="s">
        <v>86</v>
      </c>
      <c r="H276" t="s">
        <v>483</v>
      </c>
      <c r="I276" t="s">
        <v>46</v>
      </c>
      <c r="J276">
        <v>1</v>
      </c>
      <c r="K276">
        <v>1078</v>
      </c>
      <c r="L276">
        <v>0.14000000000000001</v>
      </c>
      <c r="M276">
        <v>1078</v>
      </c>
      <c r="N276">
        <v>674.86</v>
      </c>
      <c r="O276">
        <v>403.14</v>
      </c>
      <c r="P276" s="19">
        <f>Tabuľka4[[#This Row],[Zisk]]/Tabuľka4[[#This Row],[Trzba]]</f>
        <v>0.37397031539888681</v>
      </c>
      <c r="Q276">
        <v>2025</v>
      </c>
      <c r="R276" t="str">
        <f>TEXT(Tabuľka4[[#This Row],[Datum]],"MMMM")</f>
        <v>december</v>
      </c>
    </row>
    <row r="277" spans="1:18" x14ac:dyDescent="0.3">
      <c r="A277" s="2">
        <v>46010</v>
      </c>
      <c r="B277" t="s">
        <v>504</v>
      </c>
      <c r="C277" t="s">
        <v>60</v>
      </c>
      <c r="D277" t="s">
        <v>20</v>
      </c>
      <c r="E277" t="s">
        <v>0</v>
      </c>
      <c r="F277" t="s">
        <v>22</v>
      </c>
      <c r="G277" t="s">
        <v>86</v>
      </c>
      <c r="H277" t="s">
        <v>483</v>
      </c>
      <c r="I277" t="s">
        <v>25</v>
      </c>
      <c r="J277">
        <v>3</v>
      </c>
      <c r="K277">
        <v>1106</v>
      </c>
      <c r="L277">
        <v>0.03</v>
      </c>
      <c r="M277">
        <v>3318</v>
      </c>
      <c r="N277">
        <v>2288.42</v>
      </c>
      <c r="O277">
        <v>1029.58</v>
      </c>
      <c r="P277" s="19">
        <f>Tabuľka4[[#This Row],[Zisk]]/Tabuľka4[[#This Row],[Trzba]]</f>
        <v>0.31030138637733573</v>
      </c>
      <c r="Q277">
        <v>2025</v>
      </c>
      <c r="R277" t="str">
        <f>TEXT(Tabuľka4[[#This Row],[Datum]],"MMMM")</f>
        <v>december</v>
      </c>
    </row>
    <row r="278" spans="1:18" x14ac:dyDescent="0.3">
      <c r="A278" s="2">
        <v>46056</v>
      </c>
      <c r="B278" t="s">
        <v>505</v>
      </c>
      <c r="C278" t="s">
        <v>32</v>
      </c>
      <c r="D278" t="s">
        <v>20</v>
      </c>
      <c r="E278" t="s">
        <v>50</v>
      </c>
      <c r="F278" t="s">
        <v>43</v>
      </c>
      <c r="G278" t="s">
        <v>86</v>
      </c>
      <c r="H278" t="s">
        <v>483</v>
      </c>
      <c r="I278" t="s">
        <v>51</v>
      </c>
      <c r="J278">
        <v>2</v>
      </c>
      <c r="K278">
        <v>692</v>
      </c>
      <c r="L278">
        <v>0.13</v>
      </c>
      <c r="M278">
        <v>1384</v>
      </c>
      <c r="N278">
        <v>890.99</v>
      </c>
      <c r="O278">
        <v>493.01</v>
      </c>
      <c r="P278" s="19">
        <f>Tabuľka4[[#This Row],[Zisk]]/Tabuľka4[[#This Row],[Trzba]]</f>
        <v>0.35622109826589593</v>
      </c>
      <c r="Q278">
        <v>2026</v>
      </c>
      <c r="R278" t="str">
        <f>TEXT(Tabuľka4[[#This Row],[Datum]],"MMMM")</f>
        <v>február</v>
      </c>
    </row>
    <row r="279" spans="1:18" x14ac:dyDescent="0.3">
      <c r="A279" s="2">
        <v>46096</v>
      </c>
      <c r="B279" t="s">
        <v>506</v>
      </c>
      <c r="C279" t="s">
        <v>84</v>
      </c>
      <c r="D279" t="s">
        <v>20</v>
      </c>
      <c r="E279" t="s">
        <v>68</v>
      </c>
      <c r="F279" t="s">
        <v>43</v>
      </c>
      <c r="G279" t="s">
        <v>86</v>
      </c>
      <c r="H279" t="s">
        <v>483</v>
      </c>
      <c r="I279" t="s">
        <v>30</v>
      </c>
      <c r="J279">
        <v>2</v>
      </c>
      <c r="K279">
        <v>999</v>
      </c>
      <c r="L279">
        <v>0.05</v>
      </c>
      <c r="M279">
        <v>1998</v>
      </c>
      <c r="N279">
        <v>1307.54</v>
      </c>
      <c r="O279">
        <v>690.46</v>
      </c>
      <c r="P279" s="19">
        <f>Tabuľka4[[#This Row],[Zisk]]/Tabuľka4[[#This Row],[Trzba]]</f>
        <v>0.34557557557557561</v>
      </c>
      <c r="Q279">
        <v>2026</v>
      </c>
      <c r="R279" t="str">
        <f>TEXT(Tabuľka4[[#This Row],[Datum]],"MMMM")</f>
        <v>marec</v>
      </c>
    </row>
    <row r="280" spans="1:18" x14ac:dyDescent="0.3">
      <c r="A280" s="2">
        <v>46164</v>
      </c>
      <c r="B280" t="s">
        <v>507</v>
      </c>
      <c r="C280" t="s">
        <v>508</v>
      </c>
      <c r="D280" t="s">
        <v>20</v>
      </c>
      <c r="E280" t="s">
        <v>68</v>
      </c>
      <c r="F280" t="s">
        <v>22</v>
      </c>
      <c r="G280" t="s">
        <v>86</v>
      </c>
      <c r="H280" t="s">
        <v>483</v>
      </c>
      <c r="I280" t="s">
        <v>46</v>
      </c>
      <c r="J280">
        <v>2</v>
      </c>
      <c r="K280">
        <v>639</v>
      </c>
      <c r="L280">
        <v>0.05</v>
      </c>
      <c r="M280">
        <v>1278</v>
      </c>
      <c r="N280">
        <v>883.47</v>
      </c>
      <c r="O280">
        <v>394.53</v>
      </c>
      <c r="P280" s="19">
        <f>Tabuľka4[[#This Row],[Zisk]]/Tabuľka4[[#This Row],[Trzba]]</f>
        <v>0.30870892018779339</v>
      </c>
      <c r="Q280">
        <v>2026</v>
      </c>
      <c r="R280" t="str">
        <f>TEXT(Tabuľka4[[#This Row],[Datum]],"MMMM")</f>
        <v>máj</v>
      </c>
    </row>
    <row r="281" spans="1:18" x14ac:dyDescent="0.3">
      <c r="A281" s="2">
        <v>45317</v>
      </c>
      <c r="B281" t="s">
        <v>509</v>
      </c>
      <c r="C281" t="s">
        <v>510</v>
      </c>
      <c r="D281" t="s">
        <v>20</v>
      </c>
      <c r="E281" t="s">
        <v>0</v>
      </c>
      <c r="F281" t="s">
        <v>22</v>
      </c>
      <c r="G281" t="s">
        <v>71</v>
      </c>
      <c r="H281" t="s">
        <v>511</v>
      </c>
      <c r="I281" t="s">
        <v>88</v>
      </c>
      <c r="J281">
        <v>3</v>
      </c>
      <c r="K281">
        <v>17877</v>
      </c>
      <c r="L281">
        <v>0.09</v>
      </c>
      <c r="M281">
        <v>53631</v>
      </c>
      <c r="N281">
        <v>43309.94</v>
      </c>
      <c r="O281">
        <v>10321.059999999998</v>
      </c>
      <c r="P281" s="19">
        <f>Tabuľka4[[#This Row],[Zisk]]/Tabuľka4[[#This Row],[Trzba]]</f>
        <v>0.19244578695157646</v>
      </c>
      <c r="Q281">
        <v>2024</v>
      </c>
      <c r="R281" t="str">
        <f>TEXT(Tabuľka4[[#This Row],[Datum]],"MMMM")</f>
        <v>január</v>
      </c>
    </row>
    <row r="282" spans="1:18" x14ac:dyDescent="0.3">
      <c r="A282" s="2">
        <v>45382</v>
      </c>
      <c r="B282" t="s">
        <v>512</v>
      </c>
      <c r="C282" t="s">
        <v>235</v>
      </c>
      <c r="D282" t="s">
        <v>49</v>
      </c>
      <c r="E282" t="s">
        <v>68</v>
      </c>
      <c r="F282" t="s">
        <v>58</v>
      </c>
      <c r="G282" t="s">
        <v>71</v>
      </c>
      <c r="H282" t="s">
        <v>511</v>
      </c>
      <c r="I282" t="s">
        <v>38</v>
      </c>
      <c r="J282">
        <v>10</v>
      </c>
      <c r="K282">
        <v>21466</v>
      </c>
      <c r="L282">
        <v>0.11</v>
      </c>
      <c r="M282">
        <v>214660</v>
      </c>
      <c r="N282">
        <v>156407.17000000001</v>
      </c>
      <c r="O282">
        <v>58252.829999999987</v>
      </c>
      <c r="P282" s="19">
        <f>Tabuľka4[[#This Row],[Zisk]]/Tabuľka4[[#This Row],[Trzba]]</f>
        <v>0.27137254262554733</v>
      </c>
      <c r="Q282">
        <v>2024</v>
      </c>
      <c r="R282" t="str">
        <f>TEXT(Tabuľka4[[#This Row],[Datum]],"MMMM")</f>
        <v>marec</v>
      </c>
    </row>
    <row r="283" spans="1:18" x14ac:dyDescent="0.3">
      <c r="A283" s="2">
        <v>45402</v>
      </c>
      <c r="B283" t="s">
        <v>513</v>
      </c>
      <c r="C283" t="s">
        <v>514</v>
      </c>
      <c r="D283" t="s">
        <v>20</v>
      </c>
      <c r="E283" t="s">
        <v>68</v>
      </c>
      <c r="F283" t="s">
        <v>22</v>
      </c>
      <c r="G283" t="s">
        <v>71</v>
      </c>
      <c r="H283" t="s">
        <v>511</v>
      </c>
      <c r="I283" t="s">
        <v>30</v>
      </c>
      <c r="J283">
        <v>3</v>
      </c>
      <c r="K283">
        <v>21767</v>
      </c>
      <c r="L283">
        <v>0.09</v>
      </c>
      <c r="M283">
        <v>65301</v>
      </c>
      <c r="N283">
        <v>44715.24</v>
      </c>
      <c r="O283">
        <v>20585.760000000002</v>
      </c>
      <c r="P283" s="19">
        <f>Tabuľka4[[#This Row],[Zisk]]/Tabuľka4[[#This Row],[Trzba]]</f>
        <v>0.31524417696513074</v>
      </c>
      <c r="Q283">
        <v>2024</v>
      </c>
      <c r="R283" t="str">
        <f>TEXT(Tabuľka4[[#This Row],[Datum]],"MMMM")</f>
        <v>apríl</v>
      </c>
    </row>
    <row r="284" spans="1:18" x14ac:dyDescent="0.3">
      <c r="A284" s="2">
        <v>45521</v>
      </c>
      <c r="B284" t="s">
        <v>515</v>
      </c>
      <c r="C284" t="s">
        <v>516</v>
      </c>
      <c r="D284" t="s">
        <v>20</v>
      </c>
      <c r="E284" t="s">
        <v>21</v>
      </c>
      <c r="F284" t="s">
        <v>22</v>
      </c>
      <c r="G284" t="s">
        <v>71</v>
      </c>
      <c r="H284" t="s">
        <v>511</v>
      </c>
      <c r="I284" t="s">
        <v>46</v>
      </c>
      <c r="J284">
        <v>1</v>
      </c>
      <c r="K284">
        <v>20168</v>
      </c>
      <c r="L284">
        <v>0.01</v>
      </c>
      <c r="M284">
        <v>20168</v>
      </c>
      <c r="N284">
        <v>15360.27</v>
      </c>
      <c r="O284">
        <v>4807.7299999999996</v>
      </c>
      <c r="P284" s="19">
        <f>Tabuľka4[[#This Row],[Zisk]]/Tabuľka4[[#This Row],[Trzba]]</f>
        <v>0.23838407378024593</v>
      </c>
      <c r="Q284">
        <v>2024</v>
      </c>
      <c r="R284" t="str">
        <f>TEXT(Tabuľka4[[#This Row],[Datum]],"MMMM")</f>
        <v>august</v>
      </c>
    </row>
    <row r="285" spans="1:18" x14ac:dyDescent="0.3">
      <c r="A285" s="2">
        <v>45528</v>
      </c>
      <c r="B285" t="s">
        <v>517</v>
      </c>
      <c r="C285" t="s">
        <v>518</v>
      </c>
      <c r="D285" t="s">
        <v>20</v>
      </c>
      <c r="E285" t="s">
        <v>21</v>
      </c>
      <c r="F285" t="s">
        <v>43</v>
      </c>
      <c r="G285" t="s">
        <v>71</v>
      </c>
      <c r="H285" t="s">
        <v>511</v>
      </c>
      <c r="I285" t="s">
        <v>30</v>
      </c>
      <c r="J285">
        <v>4</v>
      </c>
      <c r="K285">
        <v>20583</v>
      </c>
      <c r="L285">
        <v>0.13</v>
      </c>
      <c r="M285">
        <v>82332</v>
      </c>
      <c r="N285">
        <v>59734.31</v>
      </c>
      <c r="O285">
        <v>22597.690000000002</v>
      </c>
      <c r="P285" s="19">
        <f>Tabuľka4[[#This Row],[Zisk]]/Tabuľka4[[#This Row],[Trzba]]</f>
        <v>0.27447031530874999</v>
      </c>
      <c r="Q285">
        <v>2024</v>
      </c>
      <c r="R285" t="str">
        <f>TEXT(Tabuľka4[[#This Row],[Datum]],"MMMM")</f>
        <v>august</v>
      </c>
    </row>
    <row r="286" spans="1:18" x14ac:dyDescent="0.3">
      <c r="A286" s="2">
        <v>45533</v>
      </c>
      <c r="B286" t="s">
        <v>519</v>
      </c>
      <c r="C286" t="s">
        <v>185</v>
      </c>
      <c r="D286" t="s">
        <v>49</v>
      </c>
      <c r="E286" t="s">
        <v>68</v>
      </c>
      <c r="F286" t="s">
        <v>58</v>
      </c>
      <c r="G286" t="s">
        <v>71</v>
      </c>
      <c r="H286" t="s">
        <v>511</v>
      </c>
      <c r="I286" t="s">
        <v>30</v>
      </c>
      <c r="J286">
        <v>5</v>
      </c>
      <c r="K286">
        <v>18861</v>
      </c>
      <c r="L286">
        <v>0.03</v>
      </c>
      <c r="M286">
        <v>94305</v>
      </c>
      <c r="N286">
        <v>74521.55</v>
      </c>
      <c r="O286">
        <v>19783.449999999997</v>
      </c>
      <c r="P286" s="19">
        <f>Tabuľka4[[#This Row],[Zisk]]/Tabuľka4[[#This Row],[Trzba]]</f>
        <v>0.20978155983245847</v>
      </c>
      <c r="Q286">
        <v>2024</v>
      </c>
      <c r="R286" t="str">
        <f>TEXT(Tabuľka4[[#This Row],[Datum]],"MMMM")</f>
        <v>august</v>
      </c>
    </row>
    <row r="287" spans="1:18" x14ac:dyDescent="0.3">
      <c r="A287" s="2">
        <v>45559</v>
      </c>
      <c r="B287" t="s">
        <v>520</v>
      </c>
      <c r="C287" t="s">
        <v>521</v>
      </c>
      <c r="D287" t="s">
        <v>20</v>
      </c>
      <c r="E287" t="s">
        <v>21</v>
      </c>
      <c r="F287" t="s">
        <v>22</v>
      </c>
      <c r="G287" t="s">
        <v>71</v>
      </c>
      <c r="H287" t="s">
        <v>511</v>
      </c>
      <c r="I287" t="s">
        <v>63</v>
      </c>
      <c r="J287">
        <v>3</v>
      </c>
      <c r="K287">
        <v>20270</v>
      </c>
      <c r="L287">
        <v>0.01</v>
      </c>
      <c r="M287">
        <v>60810</v>
      </c>
      <c r="N287">
        <v>48445.61</v>
      </c>
      <c r="O287">
        <v>12364.39</v>
      </c>
      <c r="P287" s="19">
        <f>Tabuľka4[[#This Row],[Zisk]]/Tabuľka4[[#This Row],[Trzba]]</f>
        <v>0.20332823548758427</v>
      </c>
      <c r="Q287">
        <v>2024</v>
      </c>
      <c r="R287" t="str">
        <f>TEXT(Tabuľka4[[#This Row],[Datum]],"MMMM")</f>
        <v>september</v>
      </c>
    </row>
    <row r="288" spans="1:18" x14ac:dyDescent="0.3">
      <c r="A288" s="2">
        <v>45620</v>
      </c>
      <c r="B288" t="s">
        <v>522</v>
      </c>
      <c r="C288" t="s">
        <v>523</v>
      </c>
      <c r="D288" t="s">
        <v>20</v>
      </c>
      <c r="E288" t="s">
        <v>68</v>
      </c>
      <c r="F288" t="s">
        <v>43</v>
      </c>
      <c r="G288" t="s">
        <v>71</v>
      </c>
      <c r="H288" t="s">
        <v>511</v>
      </c>
      <c r="I288" t="s">
        <v>88</v>
      </c>
      <c r="J288">
        <v>2</v>
      </c>
      <c r="K288">
        <v>18055</v>
      </c>
      <c r="L288">
        <v>0.19</v>
      </c>
      <c r="M288">
        <v>36110</v>
      </c>
      <c r="N288">
        <v>23144.38</v>
      </c>
      <c r="O288">
        <v>12965.619999999999</v>
      </c>
      <c r="P288" s="19">
        <f>Tabuľka4[[#This Row],[Zisk]]/Tabuľka4[[#This Row],[Trzba]]</f>
        <v>0.35905898643035167</v>
      </c>
      <c r="Q288">
        <v>2024</v>
      </c>
      <c r="R288" t="str">
        <f>TEXT(Tabuľka4[[#This Row],[Datum]],"MMMM")</f>
        <v>november</v>
      </c>
    </row>
    <row r="289" spans="1:18" x14ac:dyDescent="0.3">
      <c r="A289" s="2">
        <v>45852</v>
      </c>
      <c r="B289" t="s">
        <v>524</v>
      </c>
      <c r="C289" t="s">
        <v>525</v>
      </c>
      <c r="D289" t="s">
        <v>20</v>
      </c>
      <c r="E289" t="s">
        <v>21</v>
      </c>
      <c r="F289" t="s">
        <v>22</v>
      </c>
      <c r="G289" t="s">
        <v>71</v>
      </c>
      <c r="H289" t="s">
        <v>511</v>
      </c>
      <c r="I289" t="s">
        <v>46</v>
      </c>
      <c r="J289">
        <v>4</v>
      </c>
      <c r="K289">
        <v>22519</v>
      </c>
      <c r="L289">
        <v>0.08</v>
      </c>
      <c r="M289">
        <v>90076</v>
      </c>
      <c r="N289">
        <v>70600.31</v>
      </c>
      <c r="O289">
        <v>19475.690000000002</v>
      </c>
      <c r="P289" s="19">
        <f>Tabuľka4[[#This Row],[Zisk]]/Tabuľka4[[#This Row],[Trzba]]</f>
        <v>0.21621397486566901</v>
      </c>
      <c r="Q289">
        <v>2025</v>
      </c>
      <c r="R289" t="str">
        <f>TEXT(Tabuľka4[[#This Row],[Datum]],"MMMM")</f>
        <v>júl</v>
      </c>
    </row>
    <row r="290" spans="1:18" x14ac:dyDescent="0.3">
      <c r="A290" s="2">
        <v>45960</v>
      </c>
      <c r="B290" t="s">
        <v>526</v>
      </c>
      <c r="C290" t="s">
        <v>96</v>
      </c>
      <c r="D290" t="s">
        <v>49</v>
      </c>
      <c r="E290" t="s">
        <v>68</v>
      </c>
      <c r="F290" t="s">
        <v>43</v>
      </c>
      <c r="G290" t="s">
        <v>71</v>
      </c>
      <c r="H290" t="s">
        <v>511</v>
      </c>
      <c r="I290" t="s">
        <v>33</v>
      </c>
      <c r="J290">
        <v>13</v>
      </c>
      <c r="K290">
        <v>21145</v>
      </c>
      <c r="L290">
        <v>0</v>
      </c>
      <c r="M290">
        <v>274885</v>
      </c>
      <c r="N290">
        <v>224812.07</v>
      </c>
      <c r="O290">
        <v>50072.929999999993</v>
      </c>
      <c r="P290" s="19">
        <f>Tabuľka4[[#This Row],[Zisk]]/Tabuľka4[[#This Row],[Trzba]]</f>
        <v>0.18215955763319203</v>
      </c>
      <c r="Q290">
        <v>2025</v>
      </c>
      <c r="R290" t="str">
        <f>TEXT(Tabuľka4[[#This Row],[Datum]],"MMMM")</f>
        <v>október</v>
      </c>
    </row>
    <row r="291" spans="1:18" x14ac:dyDescent="0.3">
      <c r="A291" s="2">
        <v>45971</v>
      </c>
      <c r="B291" t="s">
        <v>527</v>
      </c>
      <c r="C291" t="s">
        <v>212</v>
      </c>
      <c r="D291" t="s">
        <v>20</v>
      </c>
      <c r="E291" t="s">
        <v>21</v>
      </c>
      <c r="F291" t="s">
        <v>43</v>
      </c>
      <c r="G291" t="s">
        <v>71</v>
      </c>
      <c r="H291" t="s">
        <v>511</v>
      </c>
      <c r="I291" t="s">
        <v>38</v>
      </c>
      <c r="J291">
        <v>2</v>
      </c>
      <c r="K291">
        <v>25465</v>
      </c>
      <c r="L291">
        <v>0.14000000000000001</v>
      </c>
      <c r="M291">
        <v>50930</v>
      </c>
      <c r="N291">
        <v>29331.53</v>
      </c>
      <c r="O291">
        <v>21598.47</v>
      </c>
      <c r="P291" s="19">
        <f>Tabuľka4[[#This Row],[Zisk]]/Tabuľka4[[#This Row],[Trzba]]</f>
        <v>0.42408148439033971</v>
      </c>
      <c r="Q291">
        <v>2025</v>
      </c>
      <c r="R291" t="str">
        <f>TEXT(Tabuľka4[[#This Row],[Datum]],"MMMM")</f>
        <v>november</v>
      </c>
    </row>
    <row r="292" spans="1:18" x14ac:dyDescent="0.3">
      <c r="A292" s="2">
        <v>46001</v>
      </c>
      <c r="B292" t="s">
        <v>528</v>
      </c>
      <c r="C292" t="s">
        <v>187</v>
      </c>
      <c r="D292" t="s">
        <v>20</v>
      </c>
      <c r="E292" t="s">
        <v>0</v>
      </c>
      <c r="F292" t="s">
        <v>43</v>
      </c>
      <c r="G292" t="s">
        <v>71</v>
      </c>
      <c r="H292" t="s">
        <v>511</v>
      </c>
      <c r="I292" t="s">
        <v>30</v>
      </c>
      <c r="J292">
        <v>3</v>
      </c>
      <c r="K292">
        <v>23697</v>
      </c>
      <c r="L292">
        <v>7.0000000000000007E-2</v>
      </c>
      <c r="M292">
        <v>71091</v>
      </c>
      <c r="N292">
        <v>52858.67</v>
      </c>
      <c r="O292">
        <v>18232.330000000002</v>
      </c>
      <c r="P292" s="19">
        <f>Tabuľka4[[#This Row],[Zisk]]/Tabuľka4[[#This Row],[Trzba]]</f>
        <v>0.25646467204006135</v>
      </c>
      <c r="Q292">
        <v>2025</v>
      </c>
      <c r="R292" t="str">
        <f>TEXT(Tabuľka4[[#This Row],[Datum]],"MMMM")</f>
        <v>december</v>
      </c>
    </row>
    <row r="293" spans="1:18" x14ac:dyDescent="0.3">
      <c r="A293" s="2">
        <v>46021</v>
      </c>
      <c r="B293" t="s">
        <v>529</v>
      </c>
      <c r="C293" t="s">
        <v>530</v>
      </c>
      <c r="D293" t="s">
        <v>20</v>
      </c>
      <c r="E293" t="s">
        <v>0</v>
      </c>
      <c r="F293" t="s">
        <v>22</v>
      </c>
      <c r="G293" t="s">
        <v>71</v>
      </c>
      <c r="H293" t="s">
        <v>511</v>
      </c>
      <c r="I293" t="s">
        <v>51</v>
      </c>
      <c r="J293">
        <v>1</v>
      </c>
      <c r="K293">
        <v>22538</v>
      </c>
      <c r="L293">
        <v>0.14000000000000001</v>
      </c>
      <c r="M293">
        <v>22538</v>
      </c>
      <c r="N293">
        <v>16416.080000000002</v>
      </c>
      <c r="O293">
        <v>6121.9199999999983</v>
      </c>
      <c r="P293" s="19">
        <f>Tabuľka4[[#This Row],[Zisk]]/Tabuľka4[[#This Row],[Trzba]]</f>
        <v>0.27162658620995644</v>
      </c>
      <c r="Q293">
        <v>2025</v>
      </c>
      <c r="R293" t="str">
        <f>TEXT(Tabuľka4[[#This Row],[Datum]],"MMMM")</f>
        <v>december</v>
      </c>
    </row>
    <row r="294" spans="1:18" x14ac:dyDescent="0.3">
      <c r="A294" s="2">
        <v>46053</v>
      </c>
      <c r="B294" t="s">
        <v>531</v>
      </c>
      <c r="C294" t="s">
        <v>532</v>
      </c>
      <c r="D294" t="s">
        <v>20</v>
      </c>
      <c r="E294" t="s">
        <v>21</v>
      </c>
      <c r="F294" t="s">
        <v>22</v>
      </c>
      <c r="G294" t="s">
        <v>71</v>
      </c>
      <c r="H294" t="s">
        <v>511</v>
      </c>
      <c r="I294" t="s">
        <v>33</v>
      </c>
      <c r="J294">
        <v>2</v>
      </c>
      <c r="K294">
        <v>20916</v>
      </c>
      <c r="L294">
        <v>0.24</v>
      </c>
      <c r="M294">
        <v>41832</v>
      </c>
      <c r="N294">
        <v>24780.93</v>
      </c>
      <c r="O294">
        <v>17051.07</v>
      </c>
      <c r="P294" s="19">
        <f>Tabuľka4[[#This Row],[Zisk]]/Tabuľka4[[#This Row],[Trzba]]</f>
        <v>0.40760829030407342</v>
      </c>
      <c r="Q294">
        <v>2026</v>
      </c>
      <c r="R294" t="str">
        <f>TEXT(Tabuľka4[[#This Row],[Datum]],"MMMM")</f>
        <v>január</v>
      </c>
    </row>
    <row r="295" spans="1:18" x14ac:dyDescent="0.3">
      <c r="A295" s="2">
        <v>46064</v>
      </c>
      <c r="B295" t="s">
        <v>533</v>
      </c>
      <c r="C295" t="s">
        <v>266</v>
      </c>
      <c r="D295" t="s">
        <v>20</v>
      </c>
      <c r="E295" t="s">
        <v>0</v>
      </c>
      <c r="F295" t="s">
        <v>22</v>
      </c>
      <c r="G295" t="s">
        <v>71</v>
      </c>
      <c r="H295" t="s">
        <v>511</v>
      </c>
      <c r="I295" t="s">
        <v>63</v>
      </c>
      <c r="J295">
        <v>3</v>
      </c>
      <c r="K295">
        <v>24798</v>
      </c>
      <c r="L295">
        <v>0.17</v>
      </c>
      <c r="M295">
        <v>74394</v>
      </c>
      <c r="N295">
        <v>47857.27</v>
      </c>
      <c r="O295">
        <v>26536.730000000003</v>
      </c>
      <c r="P295" s="19">
        <f>Tabuľka4[[#This Row],[Zisk]]/Tabuľka4[[#This Row],[Trzba]]</f>
        <v>0.35670524504664358</v>
      </c>
      <c r="Q295">
        <v>2026</v>
      </c>
      <c r="R295" t="str">
        <f>TEXT(Tabuľka4[[#This Row],[Datum]],"MMMM")</f>
        <v>február</v>
      </c>
    </row>
    <row r="296" spans="1:18" x14ac:dyDescent="0.3">
      <c r="A296" s="2">
        <v>46099</v>
      </c>
      <c r="B296" t="s">
        <v>534</v>
      </c>
      <c r="C296" t="s">
        <v>124</v>
      </c>
      <c r="D296" t="s">
        <v>49</v>
      </c>
      <c r="E296" t="s">
        <v>21</v>
      </c>
      <c r="F296" t="s">
        <v>58</v>
      </c>
      <c r="G296" t="s">
        <v>71</v>
      </c>
      <c r="H296" t="s">
        <v>511</v>
      </c>
      <c r="I296" t="s">
        <v>63</v>
      </c>
      <c r="J296">
        <v>6</v>
      </c>
      <c r="K296">
        <v>18017</v>
      </c>
      <c r="L296">
        <v>0.04</v>
      </c>
      <c r="M296">
        <v>108102</v>
      </c>
      <c r="N296">
        <v>94651.07</v>
      </c>
      <c r="O296">
        <v>13450.929999999993</v>
      </c>
      <c r="P296" s="19">
        <f>Tabuľka4[[#This Row],[Zisk]]/Tabuľka4[[#This Row],[Trzba]]</f>
        <v>0.12442813268949689</v>
      </c>
      <c r="Q296">
        <v>2026</v>
      </c>
      <c r="R296" t="str">
        <f>TEXT(Tabuľka4[[#This Row],[Datum]],"MMMM")</f>
        <v>marec</v>
      </c>
    </row>
    <row r="297" spans="1:18" x14ac:dyDescent="0.3">
      <c r="A297" s="2">
        <v>46107</v>
      </c>
      <c r="B297" t="s">
        <v>535</v>
      </c>
      <c r="C297" t="s">
        <v>232</v>
      </c>
      <c r="D297" t="s">
        <v>20</v>
      </c>
      <c r="E297" t="s">
        <v>0</v>
      </c>
      <c r="F297" t="s">
        <v>22</v>
      </c>
      <c r="G297" t="s">
        <v>71</v>
      </c>
      <c r="H297" t="s">
        <v>511</v>
      </c>
      <c r="I297" t="s">
        <v>63</v>
      </c>
      <c r="J297">
        <v>1</v>
      </c>
      <c r="K297">
        <v>21857</v>
      </c>
      <c r="L297">
        <v>0.04</v>
      </c>
      <c r="M297">
        <v>21857</v>
      </c>
      <c r="N297">
        <v>17113.689999999999</v>
      </c>
      <c r="O297">
        <v>4743.3100000000013</v>
      </c>
      <c r="P297" s="19">
        <f>Tabuľka4[[#This Row],[Zisk]]/Tabuľka4[[#This Row],[Trzba]]</f>
        <v>0.2170156014091596</v>
      </c>
      <c r="Q297">
        <v>2026</v>
      </c>
      <c r="R297" t="str">
        <f>TEXT(Tabuľka4[[#This Row],[Datum]],"MMMM")</f>
        <v>marec</v>
      </c>
    </row>
    <row r="298" spans="1:18" x14ac:dyDescent="0.3">
      <c r="A298" s="2">
        <v>45309</v>
      </c>
      <c r="B298" t="s">
        <v>536</v>
      </c>
      <c r="C298" t="s">
        <v>111</v>
      </c>
      <c r="D298" t="s">
        <v>20</v>
      </c>
      <c r="E298" t="s">
        <v>0</v>
      </c>
      <c r="F298" t="s">
        <v>22</v>
      </c>
      <c r="G298" t="s">
        <v>71</v>
      </c>
      <c r="H298" t="s">
        <v>537</v>
      </c>
      <c r="I298" t="s">
        <v>38</v>
      </c>
      <c r="J298">
        <v>5</v>
      </c>
      <c r="K298">
        <v>602</v>
      </c>
      <c r="L298">
        <v>0.05</v>
      </c>
      <c r="M298">
        <v>3010</v>
      </c>
      <c r="N298">
        <v>2309.33</v>
      </c>
      <c r="O298">
        <v>700.67000000000007</v>
      </c>
      <c r="P298" s="19">
        <f>Tabuľka4[[#This Row],[Zisk]]/Tabuľka4[[#This Row],[Trzba]]</f>
        <v>0.23278073089700999</v>
      </c>
      <c r="Q298">
        <v>2024</v>
      </c>
      <c r="R298" t="str">
        <f>TEXT(Tabuľka4[[#This Row],[Datum]],"MMMM")</f>
        <v>január</v>
      </c>
    </row>
    <row r="299" spans="1:18" x14ac:dyDescent="0.3">
      <c r="A299" s="2">
        <v>45391</v>
      </c>
      <c r="B299" t="s">
        <v>538</v>
      </c>
      <c r="C299" t="s">
        <v>57</v>
      </c>
      <c r="D299" t="s">
        <v>49</v>
      </c>
      <c r="E299" t="s">
        <v>21</v>
      </c>
      <c r="F299" t="s">
        <v>22</v>
      </c>
      <c r="G299" t="s">
        <v>71</v>
      </c>
      <c r="H299" t="s">
        <v>537</v>
      </c>
      <c r="I299" t="s">
        <v>63</v>
      </c>
      <c r="J299">
        <v>10</v>
      </c>
      <c r="K299">
        <v>573</v>
      </c>
      <c r="L299">
        <v>0.09</v>
      </c>
      <c r="M299">
        <v>5730</v>
      </c>
      <c r="N299">
        <v>4550.54</v>
      </c>
      <c r="O299">
        <v>1179.46</v>
      </c>
      <c r="P299" s="19">
        <f>Tabuľka4[[#This Row],[Zisk]]/Tabuľka4[[#This Row],[Trzba]]</f>
        <v>0.20583944153577663</v>
      </c>
      <c r="Q299">
        <v>2024</v>
      </c>
      <c r="R299" t="str">
        <f>TEXT(Tabuľka4[[#This Row],[Datum]],"MMMM")</f>
        <v>apríl</v>
      </c>
    </row>
    <row r="300" spans="1:18" x14ac:dyDescent="0.3">
      <c r="A300" s="2">
        <v>45406</v>
      </c>
      <c r="B300" t="s">
        <v>539</v>
      </c>
      <c r="C300" t="s">
        <v>100</v>
      </c>
      <c r="D300" t="s">
        <v>20</v>
      </c>
      <c r="E300" t="s">
        <v>68</v>
      </c>
      <c r="F300" t="s">
        <v>43</v>
      </c>
      <c r="G300" t="s">
        <v>71</v>
      </c>
      <c r="H300" t="s">
        <v>537</v>
      </c>
      <c r="I300" t="s">
        <v>25</v>
      </c>
      <c r="J300">
        <v>5</v>
      </c>
      <c r="K300">
        <v>375</v>
      </c>
      <c r="L300">
        <v>0</v>
      </c>
      <c r="M300">
        <v>1875</v>
      </c>
      <c r="N300">
        <v>1606.33</v>
      </c>
      <c r="O300">
        <v>268.67000000000007</v>
      </c>
      <c r="P300" s="19">
        <f>Tabuľka4[[#This Row],[Zisk]]/Tabuľka4[[#This Row],[Trzba]]</f>
        <v>0.14329066666666671</v>
      </c>
      <c r="Q300">
        <v>2024</v>
      </c>
      <c r="R300" t="str">
        <f>TEXT(Tabuľka4[[#This Row],[Datum]],"MMMM")</f>
        <v>apríl</v>
      </c>
    </row>
    <row r="301" spans="1:18" x14ac:dyDescent="0.3">
      <c r="A301" s="2">
        <v>45664</v>
      </c>
      <c r="B301" t="s">
        <v>540</v>
      </c>
      <c r="C301" t="s">
        <v>541</v>
      </c>
      <c r="D301" t="s">
        <v>20</v>
      </c>
      <c r="E301" t="s">
        <v>0</v>
      </c>
      <c r="F301" t="s">
        <v>22</v>
      </c>
      <c r="G301" t="s">
        <v>71</v>
      </c>
      <c r="H301" t="s">
        <v>537</v>
      </c>
      <c r="I301" t="s">
        <v>88</v>
      </c>
      <c r="J301">
        <v>1</v>
      </c>
      <c r="K301">
        <v>585</v>
      </c>
      <c r="L301">
        <v>0.16</v>
      </c>
      <c r="M301">
        <v>585</v>
      </c>
      <c r="N301">
        <v>406.02</v>
      </c>
      <c r="O301">
        <v>178.98000000000002</v>
      </c>
      <c r="P301" s="19">
        <f>Tabuľka4[[#This Row],[Zisk]]/Tabuľka4[[#This Row],[Trzba]]</f>
        <v>0.30594871794871797</v>
      </c>
      <c r="Q301">
        <v>2025</v>
      </c>
      <c r="R301" t="str">
        <f>TEXT(Tabuľka4[[#This Row],[Datum]],"MMMM")</f>
        <v>január</v>
      </c>
    </row>
    <row r="302" spans="1:18" x14ac:dyDescent="0.3">
      <c r="A302" s="2">
        <v>45741</v>
      </c>
      <c r="B302" t="s">
        <v>542</v>
      </c>
      <c r="C302" t="s">
        <v>543</v>
      </c>
      <c r="D302" t="s">
        <v>20</v>
      </c>
      <c r="E302" t="s">
        <v>68</v>
      </c>
      <c r="F302" t="s">
        <v>22</v>
      </c>
      <c r="G302" t="s">
        <v>71</v>
      </c>
      <c r="H302" t="s">
        <v>537</v>
      </c>
      <c r="I302" t="s">
        <v>46</v>
      </c>
      <c r="J302">
        <v>2</v>
      </c>
      <c r="K302">
        <v>420</v>
      </c>
      <c r="L302">
        <v>0.1</v>
      </c>
      <c r="M302">
        <v>840</v>
      </c>
      <c r="N302">
        <v>565.55999999999995</v>
      </c>
      <c r="O302">
        <v>274.44000000000005</v>
      </c>
      <c r="P302" s="19">
        <f>Tabuľka4[[#This Row],[Zisk]]/Tabuľka4[[#This Row],[Trzba]]</f>
        <v>0.32671428571428579</v>
      </c>
      <c r="Q302">
        <v>2025</v>
      </c>
      <c r="R302" t="str">
        <f>TEXT(Tabuľka4[[#This Row],[Datum]],"MMMM")</f>
        <v>marec</v>
      </c>
    </row>
    <row r="303" spans="1:18" x14ac:dyDescent="0.3">
      <c r="A303" s="2">
        <v>45768</v>
      </c>
      <c r="B303" t="s">
        <v>544</v>
      </c>
      <c r="C303" t="s">
        <v>132</v>
      </c>
      <c r="D303" t="s">
        <v>49</v>
      </c>
      <c r="E303" t="s">
        <v>21</v>
      </c>
      <c r="F303" t="s">
        <v>22</v>
      </c>
      <c r="G303" t="s">
        <v>71</v>
      </c>
      <c r="H303" t="s">
        <v>537</v>
      </c>
      <c r="I303" t="s">
        <v>25</v>
      </c>
      <c r="J303">
        <v>7</v>
      </c>
      <c r="K303">
        <v>940</v>
      </c>
      <c r="L303">
        <v>0</v>
      </c>
      <c r="M303">
        <v>6580</v>
      </c>
      <c r="N303">
        <v>5508.4</v>
      </c>
      <c r="O303">
        <v>1071.6000000000004</v>
      </c>
      <c r="P303" s="19">
        <f>Tabuľka4[[#This Row],[Zisk]]/Tabuľka4[[#This Row],[Trzba]]</f>
        <v>0.16285714285714292</v>
      </c>
      <c r="Q303">
        <v>2025</v>
      </c>
      <c r="R303" t="str">
        <f>TEXT(Tabuľka4[[#This Row],[Datum]],"MMMM")</f>
        <v>apríl</v>
      </c>
    </row>
    <row r="304" spans="1:18" x14ac:dyDescent="0.3">
      <c r="A304" s="2">
        <v>45815</v>
      </c>
      <c r="B304" t="s">
        <v>545</v>
      </c>
      <c r="C304" t="s">
        <v>546</v>
      </c>
      <c r="D304" t="s">
        <v>20</v>
      </c>
      <c r="E304" t="s">
        <v>21</v>
      </c>
      <c r="F304" t="s">
        <v>22</v>
      </c>
      <c r="G304" t="s">
        <v>71</v>
      </c>
      <c r="H304" t="s">
        <v>537</v>
      </c>
      <c r="I304" t="s">
        <v>51</v>
      </c>
      <c r="J304">
        <v>4</v>
      </c>
      <c r="K304">
        <v>496</v>
      </c>
      <c r="L304">
        <v>0.1</v>
      </c>
      <c r="M304">
        <v>1984</v>
      </c>
      <c r="N304">
        <v>1578.64</v>
      </c>
      <c r="O304">
        <v>405.3599999999999</v>
      </c>
      <c r="P304" s="19">
        <f>Tabuľka4[[#This Row],[Zisk]]/Tabuľka4[[#This Row],[Trzba]]</f>
        <v>0.2043145161290322</v>
      </c>
      <c r="Q304">
        <v>2025</v>
      </c>
      <c r="R304" t="str">
        <f>TEXT(Tabuľka4[[#This Row],[Datum]],"MMMM")</f>
        <v>jún</v>
      </c>
    </row>
    <row r="305" spans="1:18" x14ac:dyDescent="0.3">
      <c r="A305" s="2">
        <v>45906</v>
      </c>
      <c r="B305" t="s">
        <v>547</v>
      </c>
      <c r="C305" t="s">
        <v>178</v>
      </c>
      <c r="D305" t="s">
        <v>20</v>
      </c>
      <c r="E305" t="s">
        <v>0</v>
      </c>
      <c r="F305" t="s">
        <v>22</v>
      </c>
      <c r="G305" t="s">
        <v>71</v>
      </c>
      <c r="H305" t="s">
        <v>537</v>
      </c>
      <c r="I305" t="s">
        <v>51</v>
      </c>
      <c r="J305">
        <v>1</v>
      </c>
      <c r="K305">
        <v>723</v>
      </c>
      <c r="L305">
        <v>7.0000000000000007E-2</v>
      </c>
      <c r="M305">
        <v>723</v>
      </c>
      <c r="N305">
        <v>569.51</v>
      </c>
      <c r="O305">
        <v>153.49</v>
      </c>
      <c r="P305" s="19">
        <f>Tabuľka4[[#This Row],[Zisk]]/Tabuľka4[[#This Row],[Trzba]]</f>
        <v>0.2122959889349931</v>
      </c>
      <c r="Q305">
        <v>2025</v>
      </c>
      <c r="R305" t="str">
        <f>TEXT(Tabuľka4[[#This Row],[Datum]],"MMMM")</f>
        <v>september</v>
      </c>
    </row>
    <row r="306" spans="1:18" x14ac:dyDescent="0.3">
      <c r="A306" s="2">
        <v>45943</v>
      </c>
      <c r="B306" t="s">
        <v>548</v>
      </c>
      <c r="C306" t="s">
        <v>268</v>
      </c>
      <c r="D306" t="s">
        <v>20</v>
      </c>
      <c r="E306" t="s">
        <v>21</v>
      </c>
      <c r="F306" t="s">
        <v>22</v>
      </c>
      <c r="G306" t="s">
        <v>71</v>
      </c>
      <c r="H306" t="s">
        <v>537</v>
      </c>
      <c r="I306" t="s">
        <v>25</v>
      </c>
      <c r="J306">
        <v>2</v>
      </c>
      <c r="K306">
        <v>713</v>
      </c>
      <c r="L306">
        <v>7.0000000000000007E-2</v>
      </c>
      <c r="M306">
        <v>1426</v>
      </c>
      <c r="N306">
        <v>1137.7</v>
      </c>
      <c r="O306">
        <v>288.29999999999995</v>
      </c>
      <c r="P306" s="19">
        <f>Tabuľka4[[#This Row],[Zisk]]/Tabuľka4[[#This Row],[Trzba]]</f>
        <v>0.20217391304347823</v>
      </c>
      <c r="Q306">
        <v>2025</v>
      </c>
      <c r="R306" t="str">
        <f>TEXT(Tabuľka4[[#This Row],[Datum]],"MMMM")</f>
        <v>október</v>
      </c>
    </row>
    <row r="307" spans="1:18" x14ac:dyDescent="0.3">
      <c r="A307" s="2">
        <v>45972</v>
      </c>
      <c r="B307" t="s">
        <v>549</v>
      </c>
      <c r="C307" t="s">
        <v>387</v>
      </c>
      <c r="D307" t="s">
        <v>20</v>
      </c>
      <c r="E307" t="s">
        <v>68</v>
      </c>
      <c r="F307" t="s">
        <v>22</v>
      </c>
      <c r="G307" t="s">
        <v>71</v>
      </c>
      <c r="H307" t="s">
        <v>537</v>
      </c>
      <c r="I307" t="s">
        <v>51</v>
      </c>
      <c r="J307">
        <v>7</v>
      </c>
      <c r="K307">
        <v>626</v>
      </c>
      <c r="L307">
        <v>0.08</v>
      </c>
      <c r="M307">
        <v>4382</v>
      </c>
      <c r="N307">
        <v>3226.18</v>
      </c>
      <c r="O307">
        <v>1155.8200000000002</v>
      </c>
      <c r="P307" s="19">
        <f>Tabuľka4[[#This Row],[Zisk]]/Tabuľka4[[#This Row],[Trzba]]</f>
        <v>0.26376540392514836</v>
      </c>
      <c r="Q307">
        <v>2025</v>
      </c>
      <c r="R307" t="str">
        <f>TEXT(Tabuľka4[[#This Row],[Datum]],"MMMM")</f>
        <v>november</v>
      </c>
    </row>
    <row r="308" spans="1:18" x14ac:dyDescent="0.3">
      <c r="A308" s="2">
        <v>46079</v>
      </c>
      <c r="B308" t="s">
        <v>550</v>
      </c>
      <c r="C308" t="s">
        <v>551</v>
      </c>
      <c r="D308" t="s">
        <v>20</v>
      </c>
      <c r="E308" t="s">
        <v>0</v>
      </c>
      <c r="F308" t="s">
        <v>22</v>
      </c>
      <c r="G308" t="s">
        <v>71</v>
      </c>
      <c r="H308" t="s">
        <v>537</v>
      </c>
      <c r="I308" t="s">
        <v>88</v>
      </c>
      <c r="J308">
        <v>5</v>
      </c>
      <c r="K308">
        <v>630</v>
      </c>
      <c r="L308">
        <v>0.04</v>
      </c>
      <c r="M308">
        <v>3150</v>
      </c>
      <c r="N308">
        <v>2616.77</v>
      </c>
      <c r="O308">
        <v>533.23</v>
      </c>
      <c r="P308" s="19">
        <f>Tabuľka4[[#This Row],[Zisk]]/Tabuľka4[[#This Row],[Trzba]]</f>
        <v>0.16927936507936509</v>
      </c>
      <c r="Q308">
        <v>2026</v>
      </c>
      <c r="R308" t="str">
        <f>TEXT(Tabuľka4[[#This Row],[Datum]],"MMMM")</f>
        <v>február</v>
      </c>
    </row>
    <row r="309" spans="1:18" x14ac:dyDescent="0.3">
      <c r="A309" s="2">
        <v>46153</v>
      </c>
      <c r="B309" t="s">
        <v>552</v>
      </c>
      <c r="C309" t="s">
        <v>553</v>
      </c>
      <c r="D309" t="s">
        <v>20</v>
      </c>
      <c r="E309" t="s">
        <v>0</v>
      </c>
      <c r="F309" t="s">
        <v>43</v>
      </c>
      <c r="G309" t="s">
        <v>71</v>
      </c>
      <c r="H309" t="s">
        <v>537</v>
      </c>
      <c r="I309" t="s">
        <v>88</v>
      </c>
      <c r="J309">
        <v>1</v>
      </c>
      <c r="K309">
        <v>795</v>
      </c>
      <c r="L309">
        <v>0.05</v>
      </c>
      <c r="M309">
        <v>795</v>
      </c>
      <c r="N309">
        <v>654.02</v>
      </c>
      <c r="O309">
        <v>140.98000000000002</v>
      </c>
      <c r="P309" s="19">
        <f>Tabuľka4[[#This Row],[Zisk]]/Tabuľka4[[#This Row],[Trzba]]</f>
        <v>0.17733333333333334</v>
      </c>
      <c r="Q309">
        <v>2026</v>
      </c>
      <c r="R309" t="str">
        <f>TEXT(Tabuľka4[[#This Row],[Datum]],"MMMM")</f>
        <v>máj</v>
      </c>
    </row>
    <row r="310" spans="1:18" x14ac:dyDescent="0.3">
      <c r="A310" s="2">
        <v>46164</v>
      </c>
      <c r="B310" t="s">
        <v>554</v>
      </c>
      <c r="C310" t="s">
        <v>555</v>
      </c>
      <c r="D310" t="s">
        <v>20</v>
      </c>
      <c r="E310" t="s">
        <v>0</v>
      </c>
      <c r="F310" t="s">
        <v>43</v>
      </c>
      <c r="G310" t="s">
        <v>71</v>
      </c>
      <c r="H310" t="s">
        <v>537</v>
      </c>
      <c r="I310" t="s">
        <v>46</v>
      </c>
      <c r="J310">
        <v>3</v>
      </c>
      <c r="K310">
        <v>869</v>
      </c>
      <c r="L310">
        <v>0.11</v>
      </c>
      <c r="M310">
        <v>2607</v>
      </c>
      <c r="N310">
        <v>1787.96</v>
      </c>
      <c r="O310">
        <v>819.04</v>
      </c>
      <c r="P310" s="19">
        <f>Tabuľka4[[#This Row],[Zisk]]/Tabuľka4[[#This Row],[Trzba]]</f>
        <v>0.31416954353663212</v>
      </c>
      <c r="Q310">
        <v>2026</v>
      </c>
      <c r="R310" t="str">
        <f>TEXT(Tabuľka4[[#This Row],[Datum]],"MMMM")</f>
        <v>máj</v>
      </c>
    </row>
    <row r="311" spans="1:18" x14ac:dyDescent="0.3">
      <c r="A311" s="2">
        <v>46164</v>
      </c>
      <c r="B311" t="s">
        <v>556</v>
      </c>
      <c r="C311" t="s">
        <v>389</v>
      </c>
      <c r="D311" t="s">
        <v>20</v>
      </c>
      <c r="E311" t="s">
        <v>68</v>
      </c>
      <c r="F311" t="s">
        <v>43</v>
      </c>
      <c r="G311" t="s">
        <v>71</v>
      </c>
      <c r="H311" t="s">
        <v>537</v>
      </c>
      <c r="I311" t="s">
        <v>30</v>
      </c>
      <c r="J311">
        <v>4</v>
      </c>
      <c r="K311">
        <v>710</v>
      </c>
      <c r="L311">
        <v>0.1</v>
      </c>
      <c r="M311">
        <v>2840</v>
      </c>
      <c r="N311">
        <v>2127.52</v>
      </c>
      <c r="O311">
        <v>712.48</v>
      </c>
      <c r="P311" s="19">
        <f>Tabuľka4[[#This Row],[Zisk]]/Tabuľka4[[#This Row],[Trzba]]</f>
        <v>0.25087323943661971</v>
      </c>
      <c r="Q311">
        <v>2026</v>
      </c>
      <c r="R311" t="str">
        <f>TEXT(Tabuľka4[[#This Row],[Datum]],"MMMM")</f>
        <v>máj</v>
      </c>
    </row>
    <row r="312" spans="1:18" x14ac:dyDescent="0.3">
      <c r="A312" s="2">
        <v>45323</v>
      </c>
      <c r="B312" t="s">
        <v>557</v>
      </c>
      <c r="C312" t="s">
        <v>74</v>
      </c>
      <c r="D312" t="s">
        <v>49</v>
      </c>
      <c r="E312" t="s">
        <v>68</v>
      </c>
      <c r="F312" t="s">
        <v>43</v>
      </c>
      <c r="G312" t="s">
        <v>71</v>
      </c>
      <c r="H312" t="s">
        <v>558</v>
      </c>
      <c r="I312" t="s">
        <v>30</v>
      </c>
      <c r="J312">
        <v>6</v>
      </c>
      <c r="K312">
        <v>5928</v>
      </c>
      <c r="L312">
        <v>0.08</v>
      </c>
      <c r="M312">
        <v>35568</v>
      </c>
      <c r="N312">
        <v>27076.93</v>
      </c>
      <c r="O312">
        <v>8491.07</v>
      </c>
      <c r="P312" s="19">
        <f>Tabuľka4[[#This Row],[Zisk]]/Tabuľka4[[#This Row],[Trzba]]</f>
        <v>0.23872778902384165</v>
      </c>
      <c r="Q312">
        <v>2024</v>
      </c>
      <c r="R312" t="str">
        <f>TEXT(Tabuľka4[[#This Row],[Datum]],"MMMM")</f>
        <v>február</v>
      </c>
    </row>
    <row r="313" spans="1:18" x14ac:dyDescent="0.3">
      <c r="A313" s="2">
        <v>45325</v>
      </c>
      <c r="B313" t="s">
        <v>559</v>
      </c>
      <c r="C313" t="s">
        <v>422</v>
      </c>
      <c r="D313" t="s">
        <v>20</v>
      </c>
      <c r="E313" t="s">
        <v>50</v>
      </c>
      <c r="F313" t="s">
        <v>22</v>
      </c>
      <c r="G313" t="s">
        <v>71</v>
      </c>
      <c r="H313" t="s">
        <v>558</v>
      </c>
      <c r="I313" t="s">
        <v>63</v>
      </c>
      <c r="J313">
        <v>3</v>
      </c>
      <c r="K313">
        <v>4119</v>
      </c>
      <c r="L313">
        <v>0</v>
      </c>
      <c r="M313">
        <v>12357</v>
      </c>
      <c r="N313">
        <v>10570.79</v>
      </c>
      <c r="O313">
        <v>1786.2099999999991</v>
      </c>
      <c r="P313" s="19">
        <f>Tabuľka4[[#This Row],[Zisk]]/Tabuľka4[[#This Row],[Trzba]]</f>
        <v>0.14455045723071935</v>
      </c>
      <c r="Q313">
        <v>2024</v>
      </c>
      <c r="R313" t="str">
        <f>TEXT(Tabuľka4[[#This Row],[Datum]],"MMMM")</f>
        <v>február</v>
      </c>
    </row>
    <row r="314" spans="1:18" x14ac:dyDescent="0.3">
      <c r="A314" s="2">
        <v>45362</v>
      </c>
      <c r="B314" t="s">
        <v>560</v>
      </c>
      <c r="C314" t="s">
        <v>561</v>
      </c>
      <c r="D314" t="s">
        <v>20</v>
      </c>
      <c r="E314" t="s">
        <v>21</v>
      </c>
      <c r="F314" t="s">
        <v>22</v>
      </c>
      <c r="G314" t="s">
        <v>71</v>
      </c>
      <c r="H314" t="s">
        <v>558</v>
      </c>
      <c r="I314" t="s">
        <v>51</v>
      </c>
      <c r="J314">
        <v>1</v>
      </c>
      <c r="K314">
        <v>5357</v>
      </c>
      <c r="L314">
        <v>0.04</v>
      </c>
      <c r="M314">
        <v>5357</v>
      </c>
      <c r="N314">
        <v>3905.39</v>
      </c>
      <c r="O314">
        <v>1451.6100000000001</v>
      </c>
      <c r="P314" s="19">
        <f>Tabuľka4[[#This Row],[Zisk]]/Tabuľka4[[#This Row],[Trzba]]</f>
        <v>0.27097442598469296</v>
      </c>
      <c r="Q314">
        <v>2024</v>
      </c>
      <c r="R314" t="str">
        <f>TEXT(Tabuľka4[[#This Row],[Datum]],"MMMM")</f>
        <v>marec</v>
      </c>
    </row>
    <row r="315" spans="1:18" x14ac:dyDescent="0.3">
      <c r="A315" s="2">
        <v>45465</v>
      </c>
      <c r="B315" t="s">
        <v>562</v>
      </c>
      <c r="C315" t="s">
        <v>563</v>
      </c>
      <c r="D315" t="s">
        <v>20</v>
      </c>
      <c r="E315" t="s">
        <v>68</v>
      </c>
      <c r="F315" t="s">
        <v>43</v>
      </c>
      <c r="G315" t="s">
        <v>71</v>
      </c>
      <c r="H315" t="s">
        <v>558</v>
      </c>
      <c r="I315" t="s">
        <v>25</v>
      </c>
      <c r="J315">
        <v>1</v>
      </c>
      <c r="K315">
        <v>4748</v>
      </c>
      <c r="L315">
        <v>0.04</v>
      </c>
      <c r="M315">
        <v>4748</v>
      </c>
      <c r="N315">
        <v>3331.37</v>
      </c>
      <c r="O315">
        <v>1416.63</v>
      </c>
      <c r="P315" s="19">
        <f>Tabuľka4[[#This Row],[Zisk]]/Tabuľka4[[#This Row],[Trzba]]</f>
        <v>0.2983635214827296</v>
      </c>
      <c r="Q315">
        <v>2024</v>
      </c>
      <c r="R315" t="str">
        <f>TEXT(Tabuľka4[[#This Row],[Datum]],"MMMM")</f>
        <v>jún</v>
      </c>
    </row>
    <row r="316" spans="1:18" x14ac:dyDescent="0.3">
      <c r="A316" s="2">
        <v>45578</v>
      </c>
      <c r="B316" t="s">
        <v>564</v>
      </c>
      <c r="C316" t="s">
        <v>170</v>
      </c>
      <c r="D316" t="s">
        <v>20</v>
      </c>
      <c r="E316" t="s">
        <v>0</v>
      </c>
      <c r="F316" t="s">
        <v>22</v>
      </c>
      <c r="G316" t="s">
        <v>71</v>
      </c>
      <c r="H316" t="s">
        <v>558</v>
      </c>
      <c r="I316" t="s">
        <v>30</v>
      </c>
      <c r="J316">
        <v>3</v>
      </c>
      <c r="K316">
        <v>6312</v>
      </c>
      <c r="L316">
        <v>0.12</v>
      </c>
      <c r="M316">
        <v>18936</v>
      </c>
      <c r="N316">
        <v>14628.53</v>
      </c>
      <c r="O316">
        <v>4307.4699999999993</v>
      </c>
      <c r="P316" s="19">
        <f>Tabuľka4[[#This Row],[Zisk]]/Tabuľka4[[#This Row],[Trzba]]</f>
        <v>0.22747517955217572</v>
      </c>
      <c r="Q316">
        <v>2024</v>
      </c>
      <c r="R316" t="str">
        <f>TEXT(Tabuľka4[[#This Row],[Datum]],"MMMM")</f>
        <v>október</v>
      </c>
    </row>
    <row r="317" spans="1:18" x14ac:dyDescent="0.3">
      <c r="A317" s="2">
        <v>45630</v>
      </c>
      <c r="B317" t="s">
        <v>565</v>
      </c>
      <c r="C317" t="s">
        <v>80</v>
      </c>
      <c r="D317" t="s">
        <v>20</v>
      </c>
      <c r="E317" t="s">
        <v>0</v>
      </c>
      <c r="F317" t="s">
        <v>22</v>
      </c>
      <c r="G317" t="s">
        <v>71</v>
      </c>
      <c r="H317" t="s">
        <v>558</v>
      </c>
      <c r="I317" t="s">
        <v>51</v>
      </c>
      <c r="J317">
        <v>3</v>
      </c>
      <c r="K317">
        <v>6577</v>
      </c>
      <c r="L317">
        <v>0.1</v>
      </c>
      <c r="M317">
        <v>19731</v>
      </c>
      <c r="N317">
        <v>13414.88</v>
      </c>
      <c r="O317">
        <v>6316.1200000000008</v>
      </c>
      <c r="P317" s="19">
        <f>Tabuľka4[[#This Row],[Zisk]]/Tabuľka4[[#This Row],[Trzba]]</f>
        <v>0.32011149967056918</v>
      </c>
      <c r="Q317">
        <v>2024</v>
      </c>
      <c r="R317" t="str">
        <f>TEXT(Tabuľka4[[#This Row],[Datum]],"MMMM")</f>
        <v>december</v>
      </c>
    </row>
    <row r="318" spans="1:18" x14ac:dyDescent="0.3">
      <c r="A318" s="2">
        <v>45635</v>
      </c>
      <c r="B318" t="s">
        <v>566</v>
      </c>
      <c r="C318" t="s">
        <v>37</v>
      </c>
      <c r="D318" t="s">
        <v>20</v>
      </c>
      <c r="E318" t="s">
        <v>21</v>
      </c>
      <c r="F318" t="s">
        <v>22</v>
      </c>
      <c r="G318" t="s">
        <v>71</v>
      </c>
      <c r="H318" t="s">
        <v>558</v>
      </c>
      <c r="I318" t="s">
        <v>25</v>
      </c>
      <c r="J318">
        <v>2</v>
      </c>
      <c r="K318">
        <v>5443</v>
      </c>
      <c r="L318">
        <v>0.03</v>
      </c>
      <c r="M318">
        <v>10886</v>
      </c>
      <c r="N318">
        <v>8583.64</v>
      </c>
      <c r="O318">
        <v>2302.3600000000006</v>
      </c>
      <c r="P318" s="19">
        <f>Tabuľka4[[#This Row],[Zisk]]/Tabuľka4[[#This Row],[Trzba]]</f>
        <v>0.21149733602792584</v>
      </c>
      <c r="Q318">
        <v>2024</v>
      </c>
      <c r="R318" t="str">
        <f>TEXT(Tabuľka4[[#This Row],[Datum]],"MMMM")</f>
        <v>december</v>
      </c>
    </row>
    <row r="319" spans="1:18" x14ac:dyDescent="0.3">
      <c r="A319" s="2">
        <v>45679</v>
      </c>
      <c r="B319" t="s">
        <v>567</v>
      </c>
      <c r="C319" t="s">
        <v>57</v>
      </c>
      <c r="D319" t="s">
        <v>49</v>
      </c>
      <c r="E319" t="s">
        <v>0</v>
      </c>
      <c r="F319" t="s">
        <v>58</v>
      </c>
      <c r="G319" t="s">
        <v>71</v>
      </c>
      <c r="H319" t="s">
        <v>558</v>
      </c>
      <c r="I319" t="s">
        <v>38</v>
      </c>
      <c r="J319">
        <v>5</v>
      </c>
      <c r="K319">
        <v>4547</v>
      </c>
      <c r="L319">
        <v>7.0000000000000007E-2</v>
      </c>
      <c r="M319">
        <v>22735</v>
      </c>
      <c r="N319">
        <v>17347.34</v>
      </c>
      <c r="O319">
        <v>5387.66</v>
      </c>
      <c r="P319" s="19">
        <f>Tabuľka4[[#This Row],[Zisk]]/Tabuľka4[[#This Row],[Trzba]]</f>
        <v>0.23697646800087968</v>
      </c>
      <c r="Q319">
        <v>2025</v>
      </c>
      <c r="R319" t="str">
        <f>TEXT(Tabuľka4[[#This Row],[Datum]],"MMMM")</f>
        <v>január</v>
      </c>
    </row>
    <row r="320" spans="1:18" x14ac:dyDescent="0.3">
      <c r="A320" s="2">
        <v>45689</v>
      </c>
      <c r="B320" t="s">
        <v>568</v>
      </c>
      <c r="C320" t="s">
        <v>569</v>
      </c>
      <c r="D320" t="s">
        <v>20</v>
      </c>
      <c r="E320" t="s">
        <v>0</v>
      </c>
      <c r="F320" t="s">
        <v>22</v>
      </c>
      <c r="G320" t="s">
        <v>71</v>
      </c>
      <c r="H320" t="s">
        <v>558</v>
      </c>
      <c r="I320" t="s">
        <v>25</v>
      </c>
      <c r="J320">
        <v>3</v>
      </c>
      <c r="K320">
        <v>5639</v>
      </c>
      <c r="L320">
        <v>0.12</v>
      </c>
      <c r="M320">
        <v>16917</v>
      </c>
      <c r="N320">
        <v>10655.5</v>
      </c>
      <c r="O320">
        <v>6261.5</v>
      </c>
      <c r="P320" s="19">
        <f>Tabuľka4[[#This Row],[Zisk]]/Tabuľka4[[#This Row],[Trzba]]</f>
        <v>0.37013063781994443</v>
      </c>
      <c r="Q320">
        <v>2025</v>
      </c>
      <c r="R320" t="str">
        <f>TEXT(Tabuľka4[[#This Row],[Datum]],"MMMM")</f>
        <v>február</v>
      </c>
    </row>
    <row r="321" spans="1:18" x14ac:dyDescent="0.3">
      <c r="A321" s="2">
        <v>45712</v>
      </c>
      <c r="B321" t="s">
        <v>570</v>
      </c>
      <c r="C321" t="s">
        <v>571</v>
      </c>
      <c r="D321" t="s">
        <v>20</v>
      </c>
      <c r="E321" t="s">
        <v>0</v>
      </c>
      <c r="F321" t="s">
        <v>43</v>
      </c>
      <c r="G321" t="s">
        <v>71</v>
      </c>
      <c r="H321" t="s">
        <v>558</v>
      </c>
      <c r="I321" t="s">
        <v>25</v>
      </c>
      <c r="J321">
        <v>3</v>
      </c>
      <c r="K321">
        <v>4853</v>
      </c>
      <c r="L321">
        <v>0.04</v>
      </c>
      <c r="M321">
        <v>14559</v>
      </c>
      <c r="N321">
        <v>10552.15</v>
      </c>
      <c r="O321">
        <v>4006.8500000000004</v>
      </c>
      <c r="P321" s="19">
        <f>Tabuľka4[[#This Row],[Zisk]]/Tabuľka4[[#This Row],[Trzba]]</f>
        <v>0.27521464386290267</v>
      </c>
      <c r="Q321">
        <v>2025</v>
      </c>
      <c r="R321" t="str">
        <f>TEXT(Tabuľka4[[#This Row],[Datum]],"MMMM")</f>
        <v>február</v>
      </c>
    </row>
    <row r="322" spans="1:18" x14ac:dyDescent="0.3">
      <c r="A322" s="2">
        <v>45734</v>
      </c>
      <c r="B322" t="s">
        <v>572</v>
      </c>
      <c r="C322" t="s">
        <v>573</v>
      </c>
      <c r="D322" t="s">
        <v>20</v>
      </c>
      <c r="E322" t="s">
        <v>50</v>
      </c>
      <c r="F322" t="s">
        <v>43</v>
      </c>
      <c r="G322" t="s">
        <v>71</v>
      </c>
      <c r="H322" t="s">
        <v>558</v>
      </c>
      <c r="I322" t="s">
        <v>63</v>
      </c>
      <c r="J322">
        <v>3</v>
      </c>
      <c r="K322">
        <v>4540</v>
      </c>
      <c r="L322">
        <v>0</v>
      </c>
      <c r="M322">
        <v>13620</v>
      </c>
      <c r="N322">
        <v>11082</v>
      </c>
      <c r="O322">
        <v>2538</v>
      </c>
      <c r="P322" s="19">
        <f>Tabuľka4[[#This Row],[Zisk]]/Tabuľka4[[#This Row],[Trzba]]</f>
        <v>0.18634361233480176</v>
      </c>
      <c r="Q322">
        <v>2025</v>
      </c>
      <c r="R322" t="str">
        <f>TEXT(Tabuľka4[[#This Row],[Datum]],"MMMM")</f>
        <v>marec</v>
      </c>
    </row>
    <row r="323" spans="1:18" x14ac:dyDescent="0.3">
      <c r="A323" s="2">
        <v>45779</v>
      </c>
      <c r="B323" t="s">
        <v>574</v>
      </c>
      <c r="C323" t="s">
        <v>345</v>
      </c>
      <c r="D323" t="s">
        <v>20</v>
      </c>
      <c r="E323" t="s">
        <v>21</v>
      </c>
      <c r="F323" t="s">
        <v>22</v>
      </c>
      <c r="G323" t="s">
        <v>71</v>
      </c>
      <c r="H323" t="s">
        <v>558</v>
      </c>
      <c r="I323" t="s">
        <v>33</v>
      </c>
      <c r="J323">
        <v>4</v>
      </c>
      <c r="K323">
        <v>4622</v>
      </c>
      <c r="L323">
        <v>0.04</v>
      </c>
      <c r="M323">
        <v>18488</v>
      </c>
      <c r="N323">
        <v>13300.08</v>
      </c>
      <c r="O323">
        <v>5187.92</v>
      </c>
      <c r="P323" s="19">
        <f>Tabuľka4[[#This Row],[Zisk]]/Tabuľka4[[#This Row],[Trzba]]</f>
        <v>0.28061012548680225</v>
      </c>
      <c r="Q323">
        <v>2025</v>
      </c>
      <c r="R323" t="str">
        <f>TEXT(Tabuľka4[[#This Row],[Datum]],"MMMM")</f>
        <v>máj</v>
      </c>
    </row>
    <row r="324" spans="1:18" x14ac:dyDescent="0.3">
      <c r="A324" s="2">
        <v>45826</v>
      </c>
      <c r="B324" t="s">
        <v>575</v>
      </c>
      <c r="C324" t="s">
        <v>546</v>
      </c>
      <c r="D324" t="s">
        <v>20</v>
      </c>
      <c r="E324" t="s">
        <v>0</v>
      </c>
      <c r="F324" t="s">
        <v>22</v>
      </c>
      <c r="G324" t="s">
        <v>71</v>
      </c>
      <c r="H324" t="s">
        <v>558</v>
      </c>
      <c r="I324" t="s">
        <v>63</v>
      </c>
      <c r="J324">
        <v>3</v>
      </c>
      <c r="K324">
        <v>6870</v>
      </c>
      <c r="L324">
        <v>0.1</v>
      </c>
      <c r="M324">
        <v>20610</v>
      </c>
      <c r="N324">
        <v>14089.95</v>
      </c>
      <c r="O324">
        <v>6520.0499999999993</v>
      </c>
      <c r="P324" s="19">
        <f>Tabuľka4[[#This Row],[Zisk]]/Tabuľka4[[#This Row],[Trzba]]</f>
        <v>0.31635371179039296</v>
      </c>
      <c r="Q324">
        <v>2025</v>
      </c>
      <c r="R324" t="str">
        <f>TEXT(Tabuľka4[[#This Row],[Datum]],"MMMM")</f>
        <v>jún</v>
      </c>
    </row>
    <row r="325" spans="1:18" x14ac:dyDescent="0.3">
      <c r="A325" s="2">
        <v>45970</v>
      </c>
      <c r="B325" t="s">
        <v>576</v>
      </c>
      <c r="C325" t="s">
        <v>577</v>
      </c>
      <c r="D325" t="s">
        <v>20</v>
      </c>
      <c r="E325" t="s">
        <v>68</v>
      </c>
      <c r="F325" t="s">
        <v>22</v>
      </c>
      <c r="G325" t="s">
        <v>71</v>
      </c>
      <c r="H325" t="s">
        <v>558</v>
      </c>
      <c r="I325" t="s">
        <v>51</v>
      </c>
      <c r="J325">
        <v>5</v>
      </c>
      <c r="K325">
        <v>6071</v>
      </c>
      <c r="L325">
        <v>7.0000000000000007E-2</v>
      </c>
      <c r="M325">
        <v>30355</v>
      </c>
      <c r="N325">
        <v>25934.67</v>
      </c>
      <c r="O325">
        <v>4420.3300000000017</v>
      </c>
      <c r="P325" s="19">
        <f>Tabuľka4[[#This Row],[Zisk]]/Tabuľka4[[#This Row],[Trzba]]</f>
        <v>0.14562114972821616</v>
      </c>
      <c r="Q325">
        <v>2025</v>
      </c>
      <c r="R325" t="str">
        <f>TEXT(Tabuľka4[[#This Row],[Datum]],"MMMM")</f>
        <v>november</v>
      </c>
    </row>
    <row r="326" spans="1:18" x14ac:dyDescent="0.3">
      <c r="A326" s="2">
        <v>46018</v>
      </c>
      <c r="B326" t="s">
        <v>578</v>
      </c>
      <c r="C326" t="s">
        <v>579</v>
      </c>
      <c r="D326" t="s">
        <v>20</v>
      </c>
      <c r="E326" t="s">
        <v>68</v>
      </c>
      <c r="F326" t="s">
        <v>43</v>
      </c>
      <c r="G326" t="s">
        <v>71</v>
      </c>
      <c r="H326" t="s">
        <v>558</v>
      </c>
      <c r="I326" t="s">
        <v>88</v>
      </c>
      <c r="J326">
        <v>2</v>
      </c>
      <c r="K326">
        <v>4482</v>
      </c>
      <c r="L326">
        <v>0.18</v>
      </c>
      <c r="M326">
        <v>8964</v>
      </c>
      <c r="N326">
        <v>5820.98</v>
      </c>
      <c r="O326">
        <v>3143.0200000000004</v>
      </c>
      <c r="P326" s="19">
        <f>Tabuľka4[[#This Row],[Zisk]]/Tabuľka4[[#This Row],[Trzba]]</f>
        <v>0.3506269522534583</v>
      </c>
      <c r="Q326">
        <v>2025</v>
      </c>
      <c r="R326" t="str">
        <f>TEXT(Tabuľka4[[#This Row],[Datum]],"MMMM")</f>
        <v>december</v>
      </c>
    </row>
    <row r="327" spans="1:18" x14ac:dyDescent="0.3">
      <c r="A327" s="2">
        <v>46035</v>
      </c>
      <c r="B327" t="s">
        <v>580</v>
      </c>
      <c r="C327" t="s">
        <v>581</v>
      </c>
      <c r="D327" t="s">
        <v>20</v>
      </c>
      <c r="E327" t="s">
        <v>0</v>
      </c>
      <c r="F327" t="s">
        <v>22</v>
      </c>
      <c r="G327" t="s">
        <v>71</v>
      </c>
      <c r="H327" t="s">
        <v>558</v>
      </c>
      <c r="I327" t="s">
        <v>38</v>
      </c>
      <c r="J327">
        <v>1</v>
      </c>
      <c r="K327">
        <v>5173</v>
      </c>
      <c r="L327">
        <v>0.06</v>
      </c>
      <c r="M327">
        <v>5173</v>
      </c>
      <c r="N327">
        <v>3584.28</v>
      </c>
      <c r="O327">
        <v>1588.7199999999998</v>
      </c>
      <c r="P327" s="19">
        <f>Tabuľka4[[#This Row],[Zisk]]/Tabuľka4[[#This Row],[Trzba]]</f>
        <v>0.30711772665764542</v>
      </c>
      <c r="Q327">
        <v>2026</v>
      </c>
      <c r="R327" t="str">
        <f>TEXT(Tabuľka4[[#This Row],[Datum]],"MMMM")</f>
        <v>január</v>
      </c>
    </row>
    <row r="328" spans="1:18" x14ac:dyDescent="0.3">
      <c r="A328" s="2">
        <v>46073</v>
      </c>
      <c r="B328" t="s">
        <v>582</v>
      </c>
      <c r="C328" t="s">
        <v>180</v>
      </c>
      <c r="D328" t="s">
        <v>20</v>
      </c>
      <c r="E328" t="s">
        <v>21</v>
      </c>
      <c r="F328" t="s">
        <v>22</v>
      </c>
      <c r="G328" t="s">
        <v>71</v>
      </c>
      <c r="H328" t="s">
        <v>558</v>
      </c>
      <c r="I328" t="s">
        <v>51</v>
      </c>
      <c r="J328">
        <v>1</v>
      </c>
      <c r="K328">
        <v>5451</v>
      </c>
      <c r="L328">
        <v>0.09</v>
      </c>
      <c r="M328">
        <v>5451</v>
      </c>
      <c r="N328">
        <v>4045.68</v>
      </c>
      <c r="O328">
        <v>1405.3200000000002</v>
      </c>
      <c r="P328" s="19">
        <f>Tabuľka4[[#This Row],[Zisk]]/Tabuľka4[[#This Row],[Trzba]]</f>
        <v>0.25780957622454598</v>
      </c>
      <c r="Q328">
        <v>2026</v>
      </c>
      <c r="R328" t="str">
        <f>TEXT(Tabuľka4[[#This Row],[Datum]],"MMMM")</f>
        <v>február</v>
      </c>
    </row>
    <row r="329" spans="1:18" x14ac:dyDescent="0.3">
      <c r="A329" s="2">
        <v>46103</v>
      </c>
      <c r="B329" t="s">
        <v>583</v>
      </c>
      <c r="C329" t="s">
        <v>261</v>
      </c>
      <c r="D329" t="s">
        <v>20</v>
      </c>
      <c r="E329" t="s">
        <v>68</v>
      </c>
      <c r="F329" t="s">
        <v>43</v>
      </c>
      <c r="G329" t="s">
        <v>71</v>
      </c>
      <c r="H329" t="s">
        <v>558</v>
      </c>
      <c r="I329" t="s">
        <v>63</v>
      </c>
      <c r="J329">
        <v>2</v>
      </c>
      <c r="K329">
        <v>5483</v>
      </c>
      <c r="L329">
        <v>0.1</v>
      </c>
      <c r="M329">
        <v>10966</v>
      </c>
      <c r="N329">
        <v>8052.5</v>
      </c>
      <c r="O329">
        <v>2913.5</v>
      </c>
      <c r="P329" s="19">
        <f>Tabuľka4[[#This Row],[Zisk]]/Tabuľka4[[#This Row],[Trzba]]</f>
        <v>0.26568484406346893</v>
      </c>
      <c r="Q329">
        <v>2026</v>
      </c>
      <c r="R329" t="str">
        <f>TEXT(Tabuľka4[[#This Row],[Datum]],"MMMM")</f>
        <v>marec</v>
      </c>
    </row>
    <row r="330" spans="1:18" x14ac:dyDescent="0.3">
      <c r="A330" s="2">
        <v>45309</v>
      </c>
      <c r="B330" t="s">
        <v>584</v>
      </c>
      <c r="C330" t="s">
        <v>585</v>
      </c>
      <c r="D330" t="s">
        <v>20</v>
      </c>
      <c r="E330" t="s">
        <v>0</v>
      </c>
      <c r="F330" t="s">
        <v>22</v>
      </c>
      <c r="G330" t="s">
        <v>86</v>
      </c>
      <c r="H330" t="s">
        <v>586</v>
      </c>
      <c r="I330" t="s">
        <v>63</v>
      </c>
      <c r="J330">
        <v>3</v>
      </c>
      <c r="K330">
        <v>1172</v>
      </c>
      <c r="L330">
        <v>0.14000000000000001</v>
      </c>
      <c r="M330">
        <v>3516</v>
      </c>
      <c r="N330">
        <v>2225.37</v>
      </c>
      <c r="O330">
        <v>1290.6300000000001</v>
      </c>
      <c r="P330" s="19">
        <f>Tabuľka4[[#This Row],[Zisk]]/Tabuľka4[[#This Row],[Trzba]]</f>
        <v>0.36707337883959046</v>
      </c>
      <c r="Q330">
        <v>2024</v>
      </c>
      <c r="R330" t="str">
        <f>TEXT(Tabuľka4[[#This Row],[Datum]],"MMMM")</f>
        <v>január</v>
      </c>
    </row>
    <row r="331" spans="1:18" x14ac:dyDescent="0.3">
      <c r="A331" s="2">
        <v>45318</v>
      </c>
      <c r="B331" t="s">
        <v>587</v>
      </c>
      <c r="C331" t="s">
        <v>588</v>
      </c>
      <c r="D331" t="s">
        <v>20</v>
      </c>
      <c r="E331" t="s">
        <v>50</v>
      </c>
      <c r="F331" t="s">
        <v>43</v>
      </c>
      <c r="G331" t="s">
        <v>86</v>
      </c>
      <c r="H331" t="s">
        <v>586</v>
      </c>
      <c r="I331" t="s">
        <v>63</v>
      </c>
      <c r="J331">
        <v>3</v>
      </c>
      <c r="K331">
        <v>1494</v>
      </c>
      <c r="L331">
        <v>0.18</v>
      </c>
      <c r="M331">
        <v>4482</v>
      </c>
      <c r="N331">
        <v>2775.06</v>
      </c>
      <c r="O331">
        <v>1706.94</v>
      </c>
      <c r="P331" s="19">
        <f>Tabuľka4[[#This Row],[Zisk]]/Tabuľka4[[#This Row],[Trzba]]</f>
        <v>0.3808433734939759</v>
      </c>
      <c r="Q331">
        <v>2024</v>
      </c>
      <c r="R331" t="str">
        <f>TEXT(Tabuľka4[[#This Row],[Datum]],"MMMM")</f>
        <v>január</v>
      </c>
    </row>
    <row r="332" spans="1:18" x14ac:dyDescent="0.3">
      <c r="A332" s="2">
        <v>45360</v>
      </c>
      <c r="B332" t="s">
        <v>589</v>
      </c>
      <c r="C332" t="s">
        <v>590</v>
      </c>
      <c r="D332" t="s">
        <v>20</v>
      </c>
      <c r="E332" t="s">
        <v>68</v>
      </c>
      <c r="F332" t="s">
        <v>43</v>
      </c>
      <c r="G332" t="s">
        <v>86</v>
      </c>
      <c r="H332" t="s">
        <v>586</v>
      </c>
      <c r="I332" t="s">
        <v>51</v>
      </c>
      <c r="J332">
        <v>4</v>
      </c>
      <c r="K332">
        <v>1037</v>
      </c>
      <c r="L332">
        <v>0.09</v>
      </c>
      <c r="M332">
        <v>4148</v>
      </c>
      <c r="N332">
        <v>2180.83</v>
      </c>
      <c r="O332">
        <v>1967.17</v>
      </c>
      <c r="P332" s="19">
        <f>Tabuľka4[[#This Row],[Zisk]]/Tabuľka4[[#This Row],[Trzba]]</f>
        <v>0.47424541947926713</v>
      </c>
      <c r="Q332">
        <v>2024</v>
      </c>
      <c r="R332" t="str">
        <f>TEXT(Tabuľka4[[#This Row],[Datum]],"MMMM")</f>
        <v>marec</v>
      </c>
    </row>
    <row r="333" spans="1:18" x14ac:dyDescent="0.3">
      <c r="A333" s="2">
        <v>45533</v>
      </c>
      <c r="B333" t="s">
        <v>591</v>
      </c>
      <c r="C333" t="s">
        <v>546</v>
      </c>
      <c r="D333" t="s">
        <v>20</v>
      </c>
      <c r="E333" t="s">
        <v>50</v>
      </c>
      <c r="F333" t="s">
        <v>22</v>
      </c>
      <c r="G333" t="s">
        <v>86</v>
      </c>
      <c r="H333" t="s">
        <v>586</v>
      </c>
      <c r="I333" t="s">
        <v>63</v>
      </c>
      <c r="J333">
        <v>2</v>
      </c>
      <c r="K333">
        <v>1549</v>
      </c>
      <c r="L333">
        <v>0.01</v>
      </c>
      <c r="M333">
        <v>3098</v>
      </c>
      <c r="N333">
        <v>2088.02</v>
      </c>
      <c r="O333">
        <v>1009.98</v>
      </c>
      <c r="P333" s="19">
        <f>Tabuľka4[[#This Row],[Zisk]]/Tabuľka4[[#This Row],[Trzba]]</f>
        <v>0.32601032924467399</v>
      </c>
      <c r="Q333">
        <v>2024</v>
      </c>
      <c r="R333" t="str">
        <f>TEXT(Tabuľka4[[#This Row],[Datum]],"MMMM")</f>
        <v>august</v>
      </c>
    </row>
    <row r="334" spans="1:18" x14ac:dyDescent="0.3">
      <c r="A334" s="2">
        <v>45559</v>
      </c>
      <c r="B334" t="s">
        <v>592</v>
      </c>
      <c r="C334" t="s">
        <v>593</v>
      </c>
      <c r="D334" t="s">
        <v>20</v>
      </c>
      <c r="E334" t="s">
        <v>0</v>
      </c>
      <c r="F334" t="s">
        <v>22</v>
      </c>
      <c r="G334" t="s">
        <v>86</v>
      </c>
      <c r="H334" t="s">
        <v>586</v>
      </c>
      <c r="I334" t="s">
        <v>63</v>
      </c>
      <c r="J334">
        <v>1</v>
      </c>
      <c r="K334">
        <v>2281</v>
      </c>
      <c r="L334">
        <v>0.01</v>
      </c>
      <c r="M334">
        <v>2281</v>
      </c>
      <c r="N334">
        <v>1831.37</v>
      </c>
      <c r="O334">
        <v>449.63000000000011</v>
      </c>
      <c r="P334" s="19">
        <f>Tabuľka4[[#This Row],[Zisk]]/Tabuľka4[[#This Row],[Trzba]]</f>
        <v>0.19711968434896979</v>
      </c>
      <c r="Q334">
        <v>2024</v>
      </c>
      <c r="R334" t="str">
        <f>TEXT(Tabuľka4[[#This Row],[Datum]],"MMMM")</f>
        <v>september</v>
      </c>
    </row>
    <row r="335" spans="1:18" x14ac:dyDescent="0.3">
      <c r="A335" s="2">
        <v>45575</v>
      </c>
      <c r="B335" t="s">
        <v>594</v>
      </c>
      <c r="C335" t="s">
        <v>427</v>
      </c>
      <c r="D335" t="s">
        <v>20</v>
      </c>
      <c r="E335" t="s">
        <v>0</v>
      </c>
      <c r="F335" t="s">
        <v>22</v>
      </c>
      <c r="G335" t="s">
        <v>86</v>
      </c>
      <c r="H335" t="s">
        <v>586</v>
      </c>
      <c r="I335" t="s">
        <v>25</v>
      </c>
      <c r="J335">
        <v>3</v>
      </c>
      <c r="K335">
        <v>1294</v>
      </c>
      <c r="L335">
        <v>0.14000000000000001</v>
      </c>
      <c r="M335">
        <v>3882</v>
      </c>
      <c r="N335">
        <v>2785.48</v>
      </c>
      <c r="O335">
        <v>1096.52</v>
      </c>
      <c r="P335" s="19">
        <f>Tabuľka4[[#This Row],[Zisk]]/Tabuľka4[[#This Row],[Trzba]]</f>
        <v>0.28246264811952604</v>
      </c>
      <c r="Q335">
        <v>2024</v>
      </c>
      <c r="R335" t="str">
        <f>TEXT(Tabuľka4[[#This Row],[Datum]],"MMMM")</f>
        <v>október</v>
      </c>
    </row>
    <row r="336" spans="1:18" x14ac:dyDescent="0.3">
      <c r="A336" s="2">
        <v>45580</v>
      </c>
      <c r="B336" t="s">
        <v>595</v>
      </c>
      <c r="C336" t="s">
        <v>596</v>
      </c>
      <c r="D336" t="s">
        <v>20</v>
      </c>
      <c r="E336" t="s">
        <v>21</v>
      </c>
      <c r="F336" t="s">
        <v>22</v>
      </c>
      <c r="G336" t="s">
        <v>86</v>
      </c>
      <c r="H336" t="s">
        <v>586</v>
      </c>
      <c r="I336" t="s">
        <v>25</v>
      </c>
      <c r="J336">
        <v>2</v>
      </c>
      <c r="K336">
        <v>2302</v>
      </c>
      <c r="L336">
        <v>0.13</v>
      </c>
      <c r="M336">
        <v>4604</v>
      </c>
      <c r="N336">
        <v>2868.59</v>
      </c>
      <c r="O336">
        <v>1735.4099999999999</v>
      </c>
      <c r="P336" s="19">
        <f>Tabuľka4[[#This Row],[Zisk]]/Tabuľka4[[#This Row],[Trzba]]</f>
        <v>0.37693527367506513</v>
      </c>
      <c r="Q336">
        <v>2024</v>
      </c>
      <c r="R336" t="str">
        <f>TEXT(Tabuľka4[[#This Row],[Datum]],"MMMM")</f>
        <v>október</v>
      </c>
    </row>
    <row r="337" spans="1:18" x14ac:dyDescent="0.3">
      <c r="A337" s="2">
        <v>45714</v>
      </c>
      <c r="B337" t="s">
        <v>597</v>
      </c>
      <c r="C337" t="s">
        <v>598</v>
      </c>
      <c r="D337" t="s">
        <v>20</v>
      </c>
      <c r="E337" t="s">
        <v>21</v>
      </c>
      <c r="F337" t="s">
        <v>58</v>
      </c>
      <c r="G337" t="s">
        <v>86</v>
      </c>
      <c r="H337" t="s">
        <v>586</v>
      </c>
      <c r="I337" t="s">
        <v>46</v>
      </c>
      <c r="J337">
        <v>1</v>
      </c>
      <c r="K337">
        <v>987</v>
      </c>
      <c r="L337">
        <v>0.11</v>
      </c>
      <c r="M337">
        <v>987</v>
      </c>
      <c r="N337">
        <v>701.87</v>
      </c>
      <c r="O337">
        <v>285.13</v>
      </c>
      <c r="P337" s="19">
        <f>Tabuľka4[[#This Row],[Zisk]]/Tabuľka4[[#This Row],[Trzba]]</f>
        <v>0.28888551165146908</v>
      </c>
      <c r="Q337">
        <v>2025</v>
      </c>
      <c r="R337" t="str">
        <f>TEXT(Tabuľka4[[#This Row],[Datum]],"MMMM")</f>
        <v>február</v>
      </c>
    </row>
    <row r="338" spans="1:18" x14ac:dyDescent="0.3">
      <c r="A338" s="2">
        <v>45748</v>
      </c>
      <c r="B338" t="s">
        <v>599</v>
      </c>
      <c r="C338" t="s">
        <v>132</v>
      </c>
      <c r="D338" t="s">
        <v>49</v>
      </c>
      <c r="E338" t="s">
        <v>50</v>
      </c>
      <c r="F338" t="s">
        <v>58</v>
      </c>
      <c r="G338" t="s">
        <v>86</v>
      </c>
      <c r="H338" t="s">
        <v>586</v>
      </c>
      <c r="I338" t="s">
        <v>88</v>
      </c>
      <c r="J338">
        <v>8</v>
      </c>
      <c r="K338">
        <v>1556</v>
      </c>
      <c r="L338">
        <v>0</v>
      </c>
      <c r="M338">
        <v>12448</v>
      </c>
      <c r="N338">
        <v>9989.4500000000007</v>
      </c>
      <c r="O338">
        <v>2458.5499999999993</v>
      </c>
      <c r="P338" s="19">
        <f>Tabuľka4[[#This Row],[Zisk]]/Tabuľka4[[#This Row],[Trzba]]</f>
        <v>0.19750562339331615</v>
      </c>
      <c r="Q338">
        <v>2025</v>
      </c>
      <c r="R338" t="str">
        <f>TEXT(Tabuľka4[[#This Row],[Datum]],"MMMM")</f>
        <v>apríl</v>
      </c>
    </row>
    <row r="339" spans="1:18" x14ac:dyDescent="0.3">
      <c r="A339" s="2">
        <v>45996</v>
      </c>
      <c r="B339" t="s">
        <v>600</v>
      </c>
      <c r="C339" t="s">
        <v>457</v>
      </c>
      <c r="D339" t="s">
        <v>20</v>
      </c>
      <c r="E339" t="s">
        <v>68</v>
      </c>
      <c r="F339" t="s">
        <v>43</v>
      </c>
      <c r="G339" t="s">
        <v>86</v>
      </c>
      <c r="H339" t="s">
        <v>586</v>
      </c>
      <c r="I339" t="s">
        <v>30</v>
      </c>
      <c r="J339">
        <v>2</v>
      </c>
      <c r="K339">
        <v>1951</v>
      </c>
      <c r="L339">
        <v>0.12</v>
      </c>
      <c r="M339">
        <v>3902</v>
      </c>
      <c r="N339">
        <v>2770.53</v>
      </c>
      <c r="O339">
        <v>1131.4699999999998</v>
      </c>
      <c r="P339" s="19">
        <f>Tabuľka4[[#This Row],[Zisk]]/Tabuľka4[[#This Row],[Trzba]]</f>
        <v>0.28997180932854943</v>
      </c>
      <c r="Q339">
        <v>2025</v>
      </c>
      <c r="R339" t="str">
        <f>TEXT(Tabuľka4[[#This Row],[Datum]],"MMMM")</f>
        <v>december</v>
      </c>
    </row>
    <row r="340" spans="1:18" x14ac:dyDescent="0.3">
      <c r="A340" s="2">
        <v>46025</v>
      </c>
      <c r="B340" t="s">
        <v>601</v>
      </c>
      <c r="C340" t="s">
        <v>352</v>
      </c>
      <c r="D340" t="s">
        <v>20</v>
      </c>
      <c r="E340" t="s">
        <v>68</v>
      </c>
      <c r="F340" t="s">
        <v>43</v>
      </c>
      <c r="G340" t="s">
        <v>86</v>
      </c>
      <c r="H340" t="s">
        <v>586</v>
      </c>
      <c r="I340" t="s">
        <v>30</v>
      </c>
      <c r="J340">
        <v>3</v>
      </c>
      <c r="K340">
        <v>1088</v>
      </c>
      <c r="L340">
        <v>0.08</v>
      </c>
      <c r="M340">
        <v>3264</v>
      </c>
      <c r="N340">
        <v>2064.4499999999998</v>
      </c>
      <c r="O340">
        <v>1199.5500000000002</v>
      </c>
      <c r="P340" s="19">
        <f>Tabuľka4[[#This Row],[Zisk]]/Tabuľka4[[#This Row],[Trzba]]</f>
        <v>0.36750919117647063</v>
      </c>
      <c r="Q340">
        <v>2026</v>
      </c>
      <c r="R340" t="str">
        <f>TEXT(Tabuľka4[[#This Row],[Datum]],"MMMM")</f>
        <v>január</v>
      </c>
    </row>
    <row r="341" spans="1:18" x14ac:dyDescent="0.3">
      <c r="A341" s="2">
        <v>46116</v>
      </c>
      <c r="B341" t="s">
        <v>602</v>
      </c>
      <c r="C341" t="s">
        <v>257</v>
      </c>
      <c r="D341" t="s">
        <v>20</v>
      </c>
      <c r="E341" t="s">
        <v>68</v>
      </c>
      <c r="F341" t="s">
        <v>22</v>
      </c>
      <c r="G341" t="s">
        <v>86</v>
      </c>
      <c r="H341" t="s">
        <v>586</v>
      </c>
      <c r="I341" t="s">
        <v>51</v>
      </c>
      <c r="J341">
        <v>3</v>
      </c>
      <c r="K341">
        <v>1435</v>
      </c>
      <c r="L341">
        <v>0.09</v>
      </c>
      <c r="M341">
        <v>4305</v>
      </c>
      <c r="N341">
        <v>2900.01</v>
      </c>
      <c r="O341">
        <v>1404.9899999999998</v>
      </c>
      <c r="P341" s="19">
        <f>Tabuľka4[[#This Row],[Zisk]]/Tabuľka4[[#This Row],[Trzba]]</f>
        <v>0.32636236933797902</v>
      </c>
      <c r="Q341">
        <v>2026</v>
      </c>
      <c r="R341" t="str">
        <f>TEXT(Tabuľka4[[#This Row],[Datum]],"MMMM")</f>
        <v>apríl</v>
      </c>
    </row>
    <row r="342" spans="1:18" x14ac:dyDescent="0.3">
      <c r="A342" s="2">
        <v>45465</v>
      </c>
      <c r="B342" t="s">
        <v>603</v>
      </c>
      <c r="C342" t="s">
        <v>308</v>
      </c>
      <c r="D342" t="s">
        <v>20</v>
      </c>
      <c r="E342" t="s">
        <v>0</v>
      </c>
      <c r="F342" t="s">
        <v>22</v>
      </c>
      <c r="G342" t="s">
        <v>86</v>
      </c>
      <c r="H342" t="s">
        <v>604</v>
      </c>
      <c r="I342" t="s">
        <v>63</v>
      </c>
      <c r="J342">
        <v>2</v>
      </c>
      <c r="K342">
        <v>81</v>
      </c>
      <c r="L342">
        <v>0.1</v>
      </c>
      <c r="M342">
        <v>162</v>
      </c>
      <c r="N342">
        <v>108.28</v>
      </c>
      <c r="O342">
        <v>53.72</v>
      </c>
      <c r="P342" s="19">
        <f>Tabuľka4[[#This Row],[Zisk]]/Tabuľka4[[#This Row],[Trzba]]</f>
        <v>0.33160493827160492</v>
      </c>
      <c r="Q342">
        <v>2024</v>
      </c>
      <c r="R342" t="str">
        <f>TEXT(Tabuľka4[[#This Row],[Datum]],"MMMM")</f>
        <v>jún</v>
      </c>
    </row>
    <row r="343" spans="1:18" x14ac:dyDescent="0.3">
      <c r="A343" s="2">
        <v>45515</v>
      </c>
      <c r="B343" t="s">
        <v>605</v>
      </c>
      <c r="C343" t="s">
        <v>235</v>
      </c>
      <c r="D343" t="s">
        <v>49</v>
      </c>
      <c r="E343" t="s">
        <v>0</v>
      </c>
      <c r="F343" t="s">
        <v>22</v>
      </c>
      <c r="G343" t="s">
        <v>86</v>
      </c>
      <c r="H343" t="s">
        <v>604</v>
      </c>
      <c r="I343" t="s">
        <v>25</v>
      </c>
      <c r="J343">
        <v>9</v>
      </c>
      <c r="K343">
        <v>65</v>
      </c>
      <c r="L343">
        <v>0.06</v>
      </c>
      <c r="M343">
        <v>585</v>
      </c>
      <c r="N343">
        <v>358.99</v>
      </c>
      <c r="O343">
        <v>226.01</v>
      </c>
      <c r="P343" s="19">
        <f>Tabuľka4[[#This Row],[Zisk]]/Tabuľka4[[#This Row],[Trzba]]</f>
        <v>0.38634188034188033</v>
      </c>
      <c r="Q343">
        <v>2024</v>
      </c>
      <c r="R343" t="str">
        <f>TEXT(Tabuľka4[[#This Row],[Datum]],"MMMM")</f>
        <v>august</v>
      </c>
    </row>
    <row r="344" spans="1:18" x14ac:dyDescent="0.3">
      <c r="A344" s="2">
        <v>45529</v>
      </c>
      <c r="B344" t="s">
        <v>606</v>
      </c>
      <c r="C344" t="s">
        <v>420</v>
      </c>
      <c r="D344" t="s">
        <v>20</v>
      </c>
      <c r="E344" t="s">
        <v>21</v>
      </c>
      <c r="F344" t="s">
        <v>22</v>
      </c>
      <c r="G344" t="s">
        <v>86</v>
      </c>
      <c r="H344" t="s">
        <v>604</v>
      </c>
      <c r="I344" t="s">
        <v>38</v>
      </c>
      <c r="J344">
        <v>4</v>
      </c>
      <c r="K344">
        <v>96</v>
      </c>
      <c r="L344">
        <v>0.12</v>
      </c>
      <c r="M344">
        <v>384</v>
      </c>
      <c r="N344">
        <v>229.83</v>
      </c>
      <c r="O344">
        <v>154.16999999999999</v>
      </c>
      <c r="P344" s="19">
        <f>Tabuľka4[[#This Row],[Zisk]]/Tabuľka4[[#This Row],[Trzba]]</f>
        <v>0.40148437499999995</v>
      </c>
      <c r="Q344">
        <v>2024</v>
      </c>
      <c r="R344" t="str">
        <f>TEXT(Tabuľka4[[#This Row],[Datum]],"MMMM")</f>
        <v>august</v>
      </c>
    </row>
    <row r="345" spans="1:18" x14ac:dyDescent="0.3">
      <c r="A345" s="2">
        <v>45579</v>
      </c>
      <c r="B345" t="s">
        <v>607</v>
      </c>
      <c r="C345" t="s">
        <v>608</v>
      </c>
      <c r="D345" t="s">
        <v>20</v>
      </c>
      <c r="E345" t="s">
        <v>21</v>
      </c>
      <c r="F345" t="s">
        <v>43</v>
      </c>
      <c r="G345" t="s">
        <v>86</v>
      </c>
      <c r="H345" t="s">
        <v>604</v>
      </c>
      <c r="I345" t="s">
        <v>30</v>
      </c>
      <c r="J345">
        <v>5</v>
      </c>
      <c r="K345">
        <v>82</v>
      </c>
      <c r="L345">
        <v>0</v>
      </c>
      <c r="M345">
        <v>410</v>
      </c>
      <c r="N345">
        <v>314.22000000000003</v>
      </c>
      <c r="O345">
        <v>95.779999999999973</v>
      </c>
      <c r="P345" s="19">
        <f>Tabuľka4[[#This Row],[Zisk]]/Tabuľka4[[#This Row],[Trzba]]</f>
        <v>0.23360975609756091</v>
      </c>
      <c r="Q345">
        <v>2024</v>
      </c>
      <c r="R345" t="str">
        <f>TEXT(Tabuľka4[[#This Row],[Datum]],"MMMM")</f>
        <v>október</v>
      </c>
    </row>
    <row r="346" spans="1:18" x14ac:dyDescent="0.3">
      <c r="A346" s="2">
        <v>45630</v>
      </c>
      <c r="B346" t="s">
        <v>609</v>
      </c>
      <c r="C346" t="s">
        <v>96</v>
      </c>
      <c r="D346" t="s">
        <v>49</v>
      </c>
      <c r="E346" t="s">
        <v>68</v>
      </c>
      <c r="F346" t="s">
        <v>58</v>
      </c>
      <c r="G346" t="s">
        <v>86</v>
      </c>
      <c r="H346" t="s">
        <v>604</v>
      </c>
      <c r="I346" t="s">
        <v>63</v>
      </c>
      <c r="J346">
        <v>6</v>
      </c>
      <c r="K346">
        <v>54</v>
      </c>
      <c r="L346">
        <v>0.3</v>
      </c>
      <c r="M346">
        <v>324</v>
      </c>
      <c r="N346">
        <v>189.98</v>
      </c>
      <c r="O346">
        <v>134.02000000000001</v>
      </c>
      <c r="P346" s="19">
        <f>Tabuľka4[[#This Row],[Zisk]]/Tabuľka4[[#This Row],[Trzba]]</f>
        <v>0.413641975308642</v>
      </c>
      <c r="Q346">
        <v>2024</v>
      </c>
      <c r="R346" t="str">
        <f>TEXT(Tabuľka4[[#This Row],[Datum]],"MMMM")</f>
        <v>december</v>
      </c>
    </row>
    <row r="347" spans="1:18" x14ac:dyDescent="0.3">
      <c r="A347" s="2">
        <v>45638</v>
      </c>
      <c r="B347" t="s">
        <v>610</v>
      </c>
      <c r="C347" t="s">
        <v>611</v>
      </c>
      <c r="D347" t="s">
        <v>20</v>
      </c>
      <c r="E347" t="s">
        <v>21</v>
      </c>
      <c r="F347" t="s">
        <v>22</v>
      </c>
      <c r="G347" t="s">
        <v>86</v>
      </c>
      <c r="H347" t="s">
        <v>604</v>
      </c>
      <c r="I347" t="s">
        <v>33</v>
      </c>
      <c r="J347">
        <v>3</v>
      </c>
      <c r="K347">
        <v>76</v>
      </c>
      <c r="L347">
        <v>0.23</v>
      </c>
      <c r="M347">
        <v>228</v>
      </c>
      <c r="N347">
        <v>113.48</v>
      </c>
      <c r="O347">
        <v>114.52</v>
      </c>
      <c r="P347" s="19">
        <f>Tabuľka4[[#This Row],[Zisk]]/Tabuľka4[[#This Row],[Trzba]]</f>
        <v>0.50228070175438599</v>
      </c>
      <c r="Q347">
        <v>2024</v>
      </c>
      <c r="R347" t="str">
        <f>TEXT(Tabuľka4[[#This Row],[Datum]],"MMMM")</f>
        <v>december</v>
      </c>
    </row>
    <row r="348" spans="1:18" x14ac:dyDescent="0.3">
      <c r="A348" s="2">
        <v>45651</v>
      </c>
      <c r="B348" t="s">
        <v>612</v>
      </c>
      <c r="C348" t="s">
        <v>613</v>
      </c>
      <c r="D348" t="s">
        <v>20</v>
      </c>
      <c r="E348" t="s">
        <v>21</v>
      </c>
      <c r="F348" t="s">
        <v>22</v>
      </c>
      <c r="G348" t="s">
        <v>86</v>
      </c>
      <c r="H348" t="s">
        <v>604</v>
      </c>
      <c r="I348" t="s">
        <v>63</v>
      </c>
      <c r="J348">
        <v>2</v>
      </c>
      <c r="K348">
        <v>76</v>
      </c>
      <c r="L348">
        <v>0.13</v>
      </c>
      <c r="M348">
        <v>152</v>
      </c>
      <c r="N348">
        <v>85.83</v>
      </c>
      <c r="O348">
        <v>66.17</v>
      </c>
      <c r="P348" s="19">
        <f>Tabuľka4[[#This Row],[Zisk]]/Tabuľka4[[#This Row],[Trzba]]</f>
        <v>0.43532894736842104</v>
      </c>
      <c r="Q348">
        <v>2024</v>
      </c>
      <c r="R348" t="str">
        <f>TEXT(Tabuľka4[[#This Row],[Datum]],"MMMM")</f>
        <v>december</v>
      </c>
    </row>
    <row r="349" spans="1:18" x14ac:dyDescent="0.3">
      <c r="A349" s="2">
        <v>45769</v>
      </c>
      <c r="B349" t="s">
        <v>614</v>
      </c>
      <c r="C349" t="s">
        <v>615</v>
      </c>
      <c r="D349" t="s">
        <v>20</v>
      </c>
      <c r="E349" t="s">
        <v>21</v>
      </c>
      <c r="F349" t="s">
        <v>22</v>
      </c>
      <c r="G349" t="s">
        <v>86</v>
      </c>
      <c r="H349" t="s">
        <v>604</v>
      </c>
      <c r="I349" t="s">
        <v>38</v>
      </c>
      <c r="J349">
        <v>7</v>
      </c>
      <c r="K349">
        <v>71</v>
      </c>
      <c r="L349">
        <v>0.06</v>
      </c>
      <c r="M349">
        <v>497</v>
      </c>
      <c r="N349">
        <v>320.69</v>
      </c>
      <c r="O349">
        <v>176.31</v>
      </c>
      <c r="P349" s="19">
        <f>Tabuľka4[[#This Row],[Zisk]]/Tabuľka4[[#This Row],[Trzba]]</f>
        <v>0.35474849094567407</v>
      </c>
      <c r="Q349">
        <v>2025</v>
      </c>
      <c r="R349" t="str">
        <f>TEXT(Tabuľka4[[#This Row],[Datum]],"MMMM")</f>
        <v>apríl</v>
      </c>
    </row>
    <row r="350" spans="1:18" x14ac:dyDescent="0.3">
      <c r="A350" s="2">
        <v>45802</v>
      </c>
      <c r="B350" t="s">
        <v>616</v>
      </c>
      <c r="C350" t="s">
        <v>617</v>
      </c>
      <c r="D350" t="s">
        <v>20</v>
      </c>
      <c r="E350" t="s">
        <v>68</v>
      </c>
      <c r="F350" t="s">
        <v>22</v>
      </c>
      <c r="G350" t="s">
        <v>86</v>
      </c>
      <c r="H350" t="s">
        <v>604</v>
      </c>
      <c r="I350" t="s">
        <v>38</v>
      </c>
      <c r="J350">
        <v>3</v>
      </c>
      <c r="K350">
        <v>51</v>
      </c>
      <c r="L350">
        <v>0.01</v>
      </c>
      <c r="M350">
        <v>153</v>
      </c>
      <c r="N350">
        <v>106.48</v>
      </c>
      <c r="O350">
        <v>46.519999999999996</v>
      </c>
      <c r="P350" s="19">
        <f>Tabuľka4[[#This Row],[Zisk]]/Tabuľka4[[#This Row],[Trzba]]</f>
        <v>0.30405228758169933</v>
      </c>
      <c r="Q350">
        <v>2025</v>
      </c>
      <c r="R350" t="str">
        <f>TEXT(Tabuľka4[[#This Row],[Datum]],"MMMM")</f>
        <v>máj</v>
      </c>
    </row>
    <row r="351" spans="1:18" x14ac:dyDescent="0.3">
      <c r="A351" s="2">
        <v>45842</v>
      </c>
      <c r="B351" t="s">
        <v>618</v>
      </c>
      <c r="C351" t="s">
        <v>156</v>
      </c>
      <c r="D351" t="s">
        <v>20</v>
      </c>
      <c r="E351" t="s">
        <v>68</v>
      </c>
      <c r="F351" t="s">
        <v>22</v>
      </c>
      <c r="G351" t="s">
        <v>86</v>
      </c>
      <c r="H351" t="s">
        <v>604</v>
      </c>
      <c r="I351" t="s">
        <v>63</v>
      </c>
      <c r="J351">
        <v>5</v>
      </c>
      <c r="K351">
        <v>98</v>
      </c>
      <c r="L351">
        <v>0.01</v>
      </c>
      <c r="M351">
        <v>490</v>
      </c>
      <c r="N351">
        <v>343.85</v>
      </c>
      <c r="O351">
        <v>146.14999999999998</v>
      </c>
      <c r="P351" s="19">
        <f>Tabuľka4[[#This Row],[Zisk]]/Tabuľka4[[#This Row],[Trzba]]</f>
        <v>0.29826530612244895</v>
      </c>
      <c r="Q351">
        <v>2025</v>
      </c>
      <c r="R351" t="str">
        <f>TEXT(Tabuľka4[[#This Row],[Datum]],"MMMM")</f>
        <v>júl</v>
      </c>
    </row>
    <row r="352" spans="1:18" x14ac:dyDescent="0.3">
      <c r="A352" s="2">
        <v>45889</v>
      </c>
      <c r="B352" t="s">
        <v>619</v>
      </c>
      <c r="C352" t="s">
        <v>96</v>
      </c>
      <c r="D352" t="s">
        <v>49</v>
      </c>
      <c r="E352" t="s">
        <v>21</v>
      </c>
      <c r="F352" t="s">
        <v>58</v>
      </c>
      <c r="G352" t="s">
        <v>86</v>
      </c>
      <c r="H352" t="s">
        <v>604</v>
      </c>
      <c r="I352" t="s">
        <v>33</v>
      </c>
      <c r="J352">
        <v>12</v>
      </c>
      <c r="K352">
        <v>99</v>
      </c>
      <c r="L352">
        <v>0.02</v>
      </c>
      <c r="M352">
        <v>1188</v>
      </c>
      <c r="N352">
        <v>916.87</v>
      </c>
      <c r="O352">
        <v>271.13</v>
      </c>
      <c r="P352" s="19">
        <f>Tabuľka4[[#This Row],[Zisk]]/Tabuľka4[[#This Row],[Trzba]]</f>
        <v>0.22822390572390572</v>
      </c>
      <c r="Q352">
        <v>2025</v>
      </c>
      <c r="R352" t="str">
        <f>TEXT(Tabuľka4[[#This Row],[Datum]],"MMMM")</f>
        <v>august</v>
      </c>
    </row>
    <row r="353" spans="1:18" x14ac:dyDescent="0.3">
      <c r="A353" s="2">
        <v>45891</v>
      </c>
      <c r="B353" t="s">
        <v>620</v>
      </c>
      <c r="C353" t="s">
        <v>132</v>
      </c>
      <c r="D353" t="s">
        <v>49</v>
      </c>
      <c r="E353" t="s">
        <v>21</v>
      </c>
      <c r="F353" t="s">
        <v>43</v>
      </c>
      <c r="G353" t="s">
        <v>86</v>
      </c>
      <c r="H353" t="s">
        <v>604</v>
      </c>
      <c r="I353" t="s">
        <v>51</v>
      </c>
      <c r="J353">
        <v>6</v>
      </c>
      <c r="K353">
        <v>97</v>
      </c>
      <c r="L353">
        <v>0.09</v>
      </c>
      <c r="M353">
        <v>582</v>
      </c>
      <c r="N353">
        <v>367.56</v>
      </c>
      <c r="O353">
        <v>214.44</v>
      </c>
      <c r="P353" s="19">
        <f>Tabuľka4[[#This Row],[Zisk]]/Tabuľka4[[#This Row],[Trzba]]</f>
        <v>0.36845360824742268</v>
      </c>
      <c r="Q353">
        <v>2025</v>
      </c>
      <c r="R353" t="str">
        <f>TEXT(Tabuľka4[[#This Row],[Datum]],"MMMM")</f>
        <v>august</v>
      </c>
    </row>
    <row r="354" spans="1:18" x14ac:dyDescent="0.3">
      <c r="A354" s="2">
        <v>45960</v>
      </c>
      <c r="B354" t="s">
        <v>621</v>
      </c>
      <c r="C354" t="s">
        <v>94</v>
      </c>
      <c r="D354" t="s">
        <v>20</v>
      </c>
      <c r="E354" t="s">
        <v>68</v>
      </c>
      <c r="F354" t="s">
        <v>22</v>
      </c>
      <c r="G354" t="s">
        <v>86</v>
      </c>
      <c r="H354" t="s">
        <v>604</v>
      </c>
      <c r="I354" t="s">
        <v>51</v>
      </c>
      <c r="J354">
        <v>3</v>
      </c>
      <c r="K354">
        <v>106</v>
      </c>
      <c r="L354">
        <v>0.05</v>
      </c>
      <c r="M354">
        <v>318</v>
      </c>
      <c r="N354">
        <v>202.06</v>
      </c>
      <c r="O354">
        <v>115.94</v>
      </c>
      <c r="P354" s="19">
        <f>Tabuľka4[[#This Row],[Zisk]]/Tabuľka4[[#This Row],[Trzba]]</f>
        <v>0.36459119496855347</v>
      </c>
      <c r="Q354">
        <v>2025</v>
      </c>
      <c r="R354" t="str">
        <f>TEXT(Tabuľka4[[#This Row],[Datum]],"MMMM")</f>
        <v>október</v>
      </c>
    </row>
    <row r="355" spans="1:18" x14ac:dyDescent="0.3">
      <c r="A355" s="2">
        <v>45977</v>
      </c>
      <c r="B355" t="s">
        <v>622</v>
      </c>
      <c r="C355" t="s">
        <v>111</v>
      </c>
      <c r="D355" t="s">
        <v>20</v>
      </c>
      <c r="E355" t="s">
        <v>21</v>
      </c>
      <c r="F355" t="s">
        <v>43</v>
      </c>
      <c r="G355" t="s">
        <v>86</v>
      </c>
      <c r="H355" t="s">
        <v>604</v>
      </c>
      <c r="I355" t="s">
        <v>25</v>
      </c>
      <c r="J355">
        <v>3</v>
      </c>
      <c r="K355">
        <v>62</v>
      </c>
      <c r="L355">
        <v>0.08</v>
      </c>
      <c r="M355">
        <v>186</v>
      </c>
      <c r="N355">
        <v>135.54</v>
      </c>
      <c r="O355">
        <v>50.460000000000008</v>
      </c>
      <c r="P355" s="19">
        <f>Tabuľka4[[#This Row],[Zisk]]/Tabuľka4[[#This Row],[Trzba]]</f>
        <v>0.27129032258064523</v>
      </c>
      <c r="Q355">
        <v>2025</v>
      </c>
      <c r="R355" t="str">
        <f>TEXT(Tabuľka4[[#This Row],[Datum]],"MMMM")</f>
        <v>november</v>
      </c>
    </row>
    <row r="356" spans="1:18" x14ac:dyDescent="0.3">
      <c r="A356" s="2">
        <v>45982</v>
      </c>
      <c r="B356" t="s">
        <v>623</v>
      </c>
      <c r="C356" t="s">
        <v>237</v>
      </c>
      <c r="D356" t="s">
        <v>20</v>
      </c>
      <c r="E356" t="s">
        <v>0</v>
      </c>
      <c r="F356" t="s">
        <v>22</v>
      </c>
      <c r="G356" t="s">
        <v>86</v>
      </c>
      <c r="H356" t="s">
        <v>604</v>
      </c>
      <c r="I356" t="s">
        <v>38</v>
      </c>
      <c r="J356">
        <v>5</v>
      </c>
      <c r="K356">
        <v>108</v>
      </c>
      <c r="L356">
        <v>0.28000000000000003</v>
      </c>
      <c r="M356">
        <v>540</v>
      </c>
      <c r="N356">
        <v>314.45</v>
      </c>
      <c r="O356">
        <v>225.55</v>
      </c>
      <c r="P356" s="19">
        <f>Tabuľka4[[#This Row],[Zisk]]/Tabuľka4[[#This Row],[Trzba]]</f>
        <v>0.41768518518518521</v>
      </c>
      <c r="Q356">
        <v>2025</v>
      </c>
      <c r="R356" t="str">
        <f>TEXT(Tabuľka4[[#This Row],[Datum]],"MMMM")</f>
        <v>november</v>
      </c>
    </row>
    <row r="357" spans="1:18" x14ac:dyDescent="0.3">
      <c r="A357" s="2">
        <v>46011</v>
      </c>
      <c r="B357" t="s">
        <v>624</v>
      </c>
      <c r="C357" t="s">
        <v>285</v>
      </c>
      <c r="D357" t="s">
        <v>20</v>
      </c>
      <c r="E357" t="s">
        <v>21</v>
      </c>
      <c r="F357" t="s">
        <v>22</v>
      </c>
      <c r="G357" t="s">
        <v>86</v>
      </c>
      <c r="H357" t="s">
        <v>604</v>
      </c>
      <c r="I357" t="s">
        <v>46</v>
      </c>
      <c r="J357">
        <v>3</v>
      </c>
      <c r="K357">
        <v>96</v>
      </c>
      <c r="L357">
        <v>0.14000000000000001</v>
      </c>
      <c r="M357">
        <v>288</v>
      </c>
      <c r="N357">
        <v>207.92</v>
      </c>
      <c r="O357">
        <v>80.080000000000013</v>
      </c>
      <c r="P357" s="19">
        <f>Tabuľka4[[#This Row],[Zisk]]/Tabuľka4[[#This Row],[Trzba]]</f>
        <v>0.27805555555555561</v>
      </c>
      <c r="Q357">
        <v>2025</v>
      </c>
      <c r="R357" t="str">
        <f>TEXT(Tabuľka4[[#This Row],[Datum]],"MMMM")</f>
        <v>december</v>
      </c>
    </row>
    <row r="358" spans="1:18" x14ac:dyDescent="0.3">
      <c r="A358" s="2">
        <v>46063</v>
      </c>
      <c r="B358" t="s">
        <v>625</v>
      </c>
      <c r="C358" t="s">
        <v>626</v>
      </c>
      <c r="D358" t="s">
        <v>20</v>
      </c>
      <c r="E358" t="s">
        <v>21</v>
      </c>
      <c r="F358" t="s">
        <v>22</v>
      </c>
      <c r="G358" t="s">
        <v>86</v>
      </c>
      <c r="H358" t="s">
        <v>604</v>
      </c>
      <c r="I358" t="s">
        <v>25</v>
      </c>
      <c r="J358">
        <v>5</v>
      </c>
      <c r="K358">
        <v>80</v>
      </c>
      <c r="L358">
        <v>0.1</v>
      </c>
      <c r="M358">
        <v>400</v>
      </c>
      <c r="N358">
        <v>298.14</v>
      </c>
      <c r="O358">
        <v>101.86000000000001</v>
      </c>
      <c r="P358" s="19">
        <f>Tabuľka4[[#This Row],[Zisk]]/Tabuľka4[[#This Row],[Trzba]]</f>
        <v>0.25465000000000004</v>
      </c>
      <c r="Q358">
        <v>2026</v>
      </c>
      <c r="R358" t="str">
        <f>TEXT(Tabuľka4[[#This Row],[Datum]],"MMMM")</f>
        <v>február</v>
      </c>
    </row>
    <row r="359" spans="1:18" x14ac:dyDescent="0.3">
      <c r="A359" s="2">
        <v>46100</v>
      </c>
      <c r="B359" t="s">
        <v>627</v>
      </c>
      <c r="C359" t="s">
        <v>608</v>
      </c>
      <c r="D359" t="s">
        <v>20</v>
      </c>
      <c r="E359" t="s">
        <v>21</v>
      </c>
      <c r="F359" t="s">
        <v>22</v>
      </c>
      <c r="G359" t="s">
        <v>86</v>
      </c>
      <c r="H359" t="s">
        <v>604</v>
      </c>
      <c r="I359" t="s">
        <v>38</v>
      </c>
      <c r="J359">
        <v>2</v>
      </c>
      <c r="K359">
        <v>97</v>
      </c>
      <c r="L359">
        <v>0.08</v>
      </c>
      <c r="M359">
        <v>194</v>
      </c>
      <c r="N359">
        <v>130.63999999999999</v>
      </c>
      <c r="O359">
        <v>63.360000000000014</v>
      </c>
      <c r="P359" s="19">
        <f>Tabuľka4[[#This Row],[Zisk]]/Tabuľka4[[#This Row],[Trzba]]</f>
        <v>0.32659793814432997</v>
      </c>
      <c r="Q359">
        <v>2026</v>
      </c>
      <c r="R359" t="str">
        <f>TEXT(Tabuľka4[[#This Row],[Datum]],"MMMM")</f>
        <v>marec</v>
      </c>
    </row>
    <row r="360" spans="1:18" x14ac:dyDescent="0.3">
      <c r="A360" s="2">
        <v>46129</v>
      </c>
      <c r="B360" t="s">
        <v>628</v>
      </c>
      <c r="C360" t="s">
        <v>320</v>
      </c>
      <c r="D360" t="s">
        <v>20</v>
      </c>
      <c r="E360" t="s">
        <v>21</v>
      </c>
      <c r="F360" t="s">
        <v>22</v>
      </c>
      <c r="G360" t="s">
        <v>86</v>
      </c>
      <c r="H360" t="s">
        <v>604</v>
      </c>
      <c r="I360" t="s">
        <v>38</v>
      </c>
      <c r="J360">
        <v>2</v>
      </c>
      <c r="K360">
        <v>95</v>
      </c>
      <c r="L360">
        <v>0.08</v>
      </c>
      <c r="M360">
        <v>190</v>
      </c>
      <c r="N360">
        <v>109.82</v>
      </c>
      <c r="O360">
        <v>80.180000000000007</v>
      </c>
      <c r="P360" s="19">
        <f>Tabuľka4[[#This Row],[Zisk]]/Tabuľka4[[#This Row],[Trzba]]</f>
        <v>0.42200000000000004</v>
      </c>
      <c r="Q360">
        <v>2026</v>
      </c>
      <c r="R360" t="str">
        <f>TEXT(Tabuľka4[[#This Row],[Datum]],"MMMM")</f>
        <v>apríl</v>
      </c>
    </row>
    <row r="361" spans="1:18" x14ac:dyDescent="0.3">
      <c r="A361" s="2">
        <v>46140</v>
      </c>
      <c r="B361" t="s">
        <v>629</v>
      </c>
      <c r="C361" t="s">
        <v>630</v>
      </c>
      <c r="D361" t="s">
        <v>20</v>
      </c>
      <c r="E361" t="s">
        <v>68</v>
      </c>
      <c r="F361" t="s">
        <v>43</v>
      </c>
      <c r="G361" t="s">
        <v>86</v>
      </c>
      <c r="H361" t="s">
        <v>604</v>
      </c>
      <c r="I361" t="s">
        <v>33</v>
      </c>
      <c r="J361">
        <v>4</v>
      </c>
      <c r="K361">
        <v>101</v>
      </c>
      <c r="L361">
        <v>7.0000000000000007E-2</v>
      </c>
      <c r="M361">
        <v>404</v>
      </c>
      <c r="N361">
        <v>287.38</v>
      </c>
      <c r="O361">
        <v>116.62</v>
      </c>
      <c r="P361" s="19">
        <f>Tabuľka4[[#This Row],[Zisk]]/Tabuľka4[[#This Row],[Trzba]]</f>
        <v>0.2886633663366337</v>
      </c>
      <c r="Q361">
        <v>2026</v>
      </c>
      <c r="R361" t="str">
        <f>TEXT(Tabuľka4[[#This Row],[Datum]],"MMMM")</f>
        <v>apríl</v>
      </c>
    </row>
    <row r="362" spans="1:18" x14ac:dyDescent="0.3">
      <c r="A362" s="2">
        <v>45390</v>
      </c>
      <c r="B362" t="s">
        <v>631</v>
      </c>
      <c r="C362" t="s">
        <v>74</v>
      </c>
      <c r="D362" t="s">
        <v>49</v>
      </c>
      <c r="E362" t="s">
        <v>68</v>
      </c>
      <c r="F362" t="s">
        <v>58</v>
      </c>
      <c r="G362" t="s">
        <v>23</v>
      </c>
      <c r="H362" t="s">
        <v>632</v>
      </c>
      <c r="I362" t="s">
        <v>33</v>
      </c>
      <c r="J362">
        <v>7</v>
      </c>
      <c r="K362">
        <v>180</v>
      </c>
      <c r="L362">
        <v>0.14000000000000001</v>
      </c>
      <c r="M362">
        <v>1260</v>
      </c>
      <c r="N362">
        <v>828.37</v>
      </c>
      <c r="O362">
        <v>431.63</v>
      </c>
      <c r="P362" s="19">
        <f>Tabuľka4[[#This Row],[Zisk]]/Tabuľka4[[#This Row],[Trzba]]</f>
        <v>0.34256349206349207</v>
      </c>
      <c r="Q362">
        <v>2024</v>
      </c>
      <c r="R362" t="str">
        <f>TEXT(Tabuľka4[[#This Row],[Datum]],"MMMM")</f>
        <v>apríl</v>
      </c>
    </row>
    <row r="363" spans="1:18" x14ac:dyDescent="0.3">
      <c r="A363" s="2">
        <v>45437</v>
      </c>
      <c r="B363" t="s">
        <v>633</v>
      </c>
      <c r="C363" t="s">
        <v>413</v>
      </c>
      <c r="D363" t="s">
        <v>20</v>
      </c>
      <c r="E363" t="s">
        <v>0</v>
      </c>
      <c r="F363" t="s">
        <v>22</v>
      </c>
      <c r="G363" t="s">
        <v>23</v>
      </c>
      <c r="H363" t="s">
        <v>632</v>
      </c>
      <c r="I363" t="s">
        <v>25</v>
      </c>
      <c r="J363">
        <v>1</v>
      </c>
      <c r="K363">
        <v>240</v>
      </c>
      <c r="L363">
        <v>0.05</v>
      </c>
      <c r="M363">
        <v>240</v>
      </c>
      <c r="N363">
        <v>160.86000000000001</v>
      </c>
      <c r="O363">
        <v>79.139999999999986</v>
      </c>
      <c r="P363" s="19">
        <f>Tabuľka4[[#This Row],[Zisk]]/Tabuľka4[[#This Row],[Trzba]]</f>
        <v>0.32974999999999993</v>
      </c>
      <c r="Q363">
        <v>2024</v>
      </c>
      <c r="R363" t="str">
        <f>TEXT(Tabuľka4[[#This Row],[Datum]],"MMMM")</f>
        <v>máj</v>
      </c>
    </row>
    <row r="364" spans="1:18" x14ac:dyDescent="0.3">
      <c r="A364" s="2">
        <v>45445</v>
      </c>
      <c r="B364" t="s">
        <v>634</v>
      </c>
      <c r="C364" t="s">
        <v>124</v>
      </c>
      <c r="D364" t="s">
        <v>49</v>
      </c>
      <c r="E364" t="s">
        <v>0</v>
      </c>
      <c r="F364" t="s">
        <v>43</v>
      </c>
      <c r="G364" t="s">
        <v>23</v>
      </c>
      <c r="H364" t="s">
        <v>632</v>
      </c>
      <c r="I364" t="s">
        <v>51</v>
      </c>
      <c r="J364">
        <v>6</v>
      </c>
      <c r="K364">
        <v>219</v>
      </c>
      <c r="L364">
        <v>0.22</v>
      </c>
      <c r="M364">
        <v>1314</v>
      </c>
      <c r="N364">
        <v>795.3</v>
      </c>
      <c r="O364">
        <v>518.70000000000005</v>
      </c>
      <c r="P364" s="19">
        <f>Tabuľka4[[#This Row],[Zisk]]/Tabuľka4[[#This Row],[Trzba]]</f>
        <v>0.39474885844748864</v>
      </c>
      <c r="Q364">
        <v>2024</v>
      </c>
      <c r="R364" t="str">
        <f>TEXT(Tabuľka4[[#This Row],[Datum]],"MMMM")</f>
        <v>jún</v>
      </c>
    </row>
    <row r="365" spans="1:18" x14ac:dyDescent="0.3">
      <c r="A365" s="2">
        <v>45514</v>
      </c>
      <c r="B365" t="s">
        <v>635</v>
      </c>
      <c r="C365" t="s">
        <v>636</v>
      </c>
      <c r="D365" t="s">
        <v>20</v>
      </c>
      <c r="E365" t="s">
        <v>68</v>
      </c>
      <c r="F365" t="s">
        <v>22</v>
      </c>
      <c r="G365" t="s">
        <v>23</v>
      </c>
      <c r="H365" t="s">
        <v>632</v>
      </c>
      <c r="I365" t="s">
        <v>63</v>
      </c>
      <c r="J365">
        <v>2</v>
      </c>
      <c r="K365">
        <v>223</v>
      </c>
      <c r="L365">
        <v>0.03</v>
      </c>
      <c r="M365">
        <v>446</v>
      </c>
      <c r="N365">
        <v>347.68</v>
      </c>
      <c r="O365">
        <v>98.32</v>
      </c>
      <c r="P365" s="19">
        <f>Tabuľka4[[#This Row],[Zisk]]/Tabuľka4[[#This Row],[Trzba]]</f>
        <v>0.22044843049327353</v>
      </c>
      <c r="Q365">
        <v>2024</v>
      </c>
      <c r="R365" t="str">
        <f>TEXT(Tabuľka4[[#This Row],[Datum]],"MMMM")</f>
        <v>august</v>
      </c>
    </row>
    <row r="366" spans="1:18" x14ac:dyDescent="0.3">
      <c r="A366" s="2">
        <v>45540</v>
      </c>
      <c r="B366" t="s">
        <v>637</v>
      </c>
      <c r="C366" t="s">
        <v>185</v>
      </c>
      <c r="D366" t="s">
        <v>49</v>
      </c>
      <c r="E366" t="s">
        <v>50</v>
      </c>
      <c r="F366" t="s">
        <v>58</v>
      </c>
      <c r="G366" t="s">
        <v>23</v>
      </c>
      <c r="H366" t="s">
        <v>632</v>
      </c>
      <c r="I366" t="s">
        <v>51</v>
      </c>
      <c r="J366">
        <v>10</v>
      </c>
      <c r="K366">
        <v>153</v>
      </c>
      <c r="L366">
        <v>0.15</v>
      </c>
      <c r="M366">
        <v>1530</v>
      </c>
      <c r="N366">
        <v>982.89</v>
      </c>
      <c r="O366">
        <v>547.11</v>
      </c>
      <c r="P366" s="19">
        <f>Tabuľka4[[#This Row],[Zisk]]/Tabuľka4[[#This Row],[Trzba]]</f>
        <v>0.35758823529411765</v>
      </c>
      <c r="Q366">
        <v>2024</v>
      </c>
      <c r="R366" t="str">
        <f>TEXT(Tabuľka4[[#This Row],[Datum]],"MMMM")</f>
        <v>september</v>
      </c>
    </row>
    <row r="367" spans="1:18" x14ac:dyDescent="0.3">
      <c r="A367" s="2">
        <v>45545</v>
      </c>
      <c r="B367" t="s">
        <v>638</v>
      </c>
      <c r="C367" t="s">
        <v>74</v>
      </c>
      <c r="D367" t="s">
        <v>49</v>
      </c>
      <c r="E367" t="s">
        <v>0</v>
      </c>
      <c r="F367" t="s">
        <v>58</v>
      </c>
      <c r="G367" t="s">
        <v>23</v>
      </c>
      <c r="H367" t="s">
        <v>632</v>
      </c>
      <c r="I367" t="s">
        <v>25</v>
      </c>
      <c r="J367">
        <v>9</v>
      </c>
      <c r="K367">
        <v>280</v>
      </c>
      <c r="L367">
        <v>0</v>
      </c>
      <c r="M367">
        <v>2520</v>
      </c>
      <c r="N367">
        <v>1536.3</v>
      </c>
      <c r="O367">
        <v>983.7</v>
      </c>
      <c r="P367" s="19">
        <f>Tabuľka4[[#This Row],[Zisk]]/Tabuľka4[[#This Row],[Trzba]]</f>
        <v>0.3903571428571429</v>
      </c>
      <c r="Q367">
        <v>2024</v>
      </c>
      <c r="R367" t="str">
        <f>TEXT(Tabuľka4[[#This Row],[Datum]],"MMMM")</f>
        <v>september</v>
      </c>
    </row>
    <row r="368" spans="1:18" x14ac:dyDescent="0.3">
      <c r="A368" s="2">
        <v>45608</v>
      </c>
      <c r="B368" t="s">
        <v>639</v>
      </c>
      <c r="C368" t="s">
        <v>640</v>
      </c>
      <c r="D368" t="s">
        <v>20</v>
      </c>
      <c r="E368" t="s">
        <v>21</v>
      </c>
      <c r="F368" t="s">
        <v>43</v>
      </c>
      <c r="G368" t="s">
        <v>23</v>
      </c>
      <c r="H368" t="s">
        <v>632</v>
      </c>
      <c r="I368" t="s">
        <v>88</v>
      </c>
      <c r="J368">
        <v>1</v>
      </c>
      <c r="K368">
        <v>128</v>
      </c>
      <c r="L368">
        <v>7.0000000000000007E-2</v>
      </c>
      <c r="M368">
        <v>128</v>
      </c>
      <c r="N368">
        <v>91.97</v>
      </c>
      <c r="O368">
        <v>36.03</v>
      </c>
      <c r="P368" s="19">
        <f>Tabuľka4[[#This Row],[Zisk]]/Tabuľka4[[#This Row],[Trzba]]</f>
        <v>0.28148437500000001</v>
      </c>
      <c r="Q368">
        <v>2024</v>
      </c>
      <c r="R368" t="str">
        <f>TEXT(Tabuľka4[[#This Row],[Datum]],"MMMM")</f>
        <v>november</v>
      </c>
    </row>
    <row r="369" spans="1:18" x14ac:dyDescent="0.3">
      <c r="A369" s="2">
        <v>45711</v>
      </c>
      <c r="B369" t="s">
        <v>641</v>
      </c>
      <c r="C369" t="s">
        <v>642</v>
      </c>
      <c r="D369" t="s">
        <v>20</v>
      </c>
      <c r="E369" t="s">
        <v>21</v>
      </c>
      <c r="F369" t="s">
        <v>22</v>
      </c>
      <c r="G369" t="s">
        <v>23</v>
      </c>
      <c r="H369" t="s">
        <v>632</v>
      </c>
      <c r="I369" t="s">
        <v>88</v>
      </c>
      <c r="J369">
        <v>2</v>
      </c>
      <c r="K369">
        <v>115</v>
      </c>
      <c r="L369">
        <v>0.12</v>
      </c>
      <c r="M369">
        <v>230</v>
      </c>
      <c r="N369">
        <v>117.86</v>
      </c>
      <c r="O369">
        <v>112.14</v>
      </c>
      <c r="P369" s="19">
        <f>Tabuľka4[[#This Row],[Zisk]]/Tabuľka4[[#This Row],[Trzba]]</f>
        <v>0.48756521739130437</v>
      </c>
      <c r="Q369">
        <v>2025</v>
      </c>
      <c r="R369" t="str">
        <f>TEXT(Tabuľka4[[#This Row],[Datum]],"MMMM")</f>
        <v>február</v>
      </c>
    </row>
    <row r="370" spans="1:18" x14ac:dyDescent="0.3">
      <c r="A370" s="2">
        <v>45765</v>
      </c>
      <c r="B370" t="s">
        <v>643</v>
      </c>
      <c r="C370" t="s">
        <v>145</v>
      </c>
      <c r="D370" t="s">
        <v>20</v>
      </c>
      <c r="E370" t="s">
        <v>21</v>
      </c>
      <c r="F370" t="s">
        <v>22</v>
      </c>
      <c r="G370" t="s">
        <v>23</v>
      </c>
      <c r="H370" t="s">
        <v>632</v>
      </c>
      <c r="I370" t="s">
        <v>46</v>
      </c>
      <c r="J370">
        <v>3</v>
      </c>
      <c r="K370">
        <v>141</v>
      </c>
      <c r="L370">
        <v>0.1</v>
      </c>
      <c r="M370">
        <v>423</v>
      </c>
      <c r="N370">
        <v>270.13</v>
      </c>
      <c r="O370">
        <v>152.87</v>
      </c>
      <c r="P370" s="19">
        <f>Tabuľka4[[#This Row],[Zisk]]/Tabuľka4[[#This Row],[Trzba]]</f>
        <v>0.36139479905437355</v>
      </c>
      <c r="Q370">
        <v>2025</v>
      </c>
      <c r="R370" t="str">
        <f>TEXT(Tabuľka4[[#This Row],[Datum]],"MMMM")</f>
        <v>apríl</v>
      </c>
    </row>
    <row r="371" spans="1:18" x14ac:dyDescent="0.3">
      <c r="A371" s="2">
        <v>45775</v>
      </c>
      <c r="B371" t="s">
        <v>644</v>
      </c>
      <c r="C371" t="s">
        <v>257</v>
      </c>
      <c r="D371" t="s">
        <v>20</v>
      </c>
      <c r="E371" t="s">
        <v>68</v>
      </c>
      <c r="F371" t="s">
        <v>43</v>
      </c>
      <c r="G371" t="s">
        <v>23</v>
      </c>
      <c r="H371" t="s">
        <v>632</v>
      </c>
      <c r="I371" t="s">
        <v>88</v>
      </c>
      <c r="J371">
        <v>3</v>
      </c>
      <c r="K371">
        <v>251</v>
      </c>
      <c r="L371">
        <v>0.03</v>
      </c>
      <c r="M371">
        <v>753</v>
      </c>
      <c r="N371">
        <v>516.21</v>
      </c>
      <c r="O371">
        <v>236.78999999999996</v>
      </c>
      <c r="P371" s="19">
        <f>Tabuľka4[[#This Row],[Zisk]]/Tabuľka4[[#This Row],[Trzba]]</f>
        <v>0.31446215139442224</v>
      </c>
      <c r="Q371">
        <v>2025</v>
      </c>
      <c r="R371" t="str">
        <f>TEXT(Tabuľka4[[#This Row],[Datum]],"MMMM")</f>
        <v>apríl</v>
      </c>
    </row>
    <row r="372" spans="1:18" x14ac:dyDescent="0.3">
      <c r="A372" s="2">
        <v>45778</v>
      </c>
      <c r="B372" t="s">
        <v>645</v>
      </c>
      <c r="C372" t="s">
        <v>314</v>
      </c>
      <c r="D372" t="s">
        <v>20</v>
      </c>
      <c r="E372" t="s">
        <v>21</v>
      </c>
      <c r="F372" t="s">
        <v>43</v>
      </c>
      <c r="G372" t="s">
        <v>23</v>
      </c>
      <c r="H372" t="s">
        <v>632</v>
      </c>
      <c r="I372" t="s">
        <v>25</v>
      </c>
      <c r="J372">
        <v>3</v>
      </c>
      <c r="K372">
        <v>194</v>
      </c>
      <c r="L372">
        <v>0.01</v>
      </c>
      <c r="M372">
        <v>582</v>
      </c>
      <c r="N372">
        <v>312.8</v>
      </c>
      <c r="O372">
        <v>269.2</v>
      </c>
      <c r="P372" s="19">
        <f>Tabuľka4[[#This Row],[Zisk]]/Tabuľka4[[#This Row],[Trzba]]</f>
        <v>0.46254295532646045</v>
      </c>
      <c r="Q372">
        <v>2025</v>
      </c>
      <c r="R372" t="str">
        <f>TEXT(Tabuľka4[[#This Row],[Datum]],"MMMM")</f>
        <v>máj</v>
      </c>
    </row>
    <row r="373" spans="1:18" x14ac:dyDescent="0.3">
      <c r="A373" s="2">
        <v>45880</v>
      </c>
      <c r="B373" t="s">
        <v>646</v>
      </c>
      <c r="C373" t="s">
        <v>647</v>
      </c>
      <c r="D373" t="s">
        <v>20</v>
      </c>
      <c r="E373" t="s">
        <v>0</v>
      </c>
      <c r="F373" t="s">
        <v>43</v>
      </c>
      <c r="G373" t="s">
        <v>23</v>
      </c>
      <c r="H373" t="s">
        <v>632</v>
      </c>
      <c r="I373" t="s">
        <v>63</v>
      </c>
      <c r="J373">
        <v>2</v>
      </c>
      <c r="K373">
        <v>236</v>
      </c>
      <c r="L373">
        <v>0.05</v>
      </c>
      <c r="M373">
        <v>472</v>
      </c>
      <c r="N373">
        <v>326.91000000000003</v>
      </c>
      <c r="O373">
        <v>145.08999999999997</v>
      </c>
      <c r="P373" s="19">
        <f>Tabuľka4[[#This Row],[Zisk]]/Tabuľka4[[#This Row],[Trzba]]</f>
        <v>0.3073940677966101</v>
      </c>
      <c r="Q373">
        <v>2025</v>
      </c>
      <c r="R373" t="str">
        <f>TEXT(Tabuľka4[[#This Row],[Datum]],"MMMM")</f>
        <v>august</v>
      </c>
    </row>
    <row r="374" spans="1:18" x14ac:dyDescent="0.3">
      <c r="A374" s="2">
        <v>45908</v>
      </c>
      <c r="B374" t="s">
        <v>648</v>
      </c>
      <c r="C374" t="s">
        <v>649</v>
      </c>
      <c r="D374" t="s">
        <v>20</v>
      </c>
      <c r="E374" t="s">
        <v>68</v>
      </c>
      <c r="F374" t="s">
        <v>43</v>
      </c>
      <c r="G374" t="s">
        <v>23</v>
      </c>
      <c r="H374" t="s">
        <v>632</v>
      </c>
      <c r="I374" t="s">
        <v>25</v>
      </c>
      <c r="J374">
        <v>4</v>
      </c>
      <c r="K374">
        <v>289</v>
      </c>
      <c r="L374">
        <v>0.02</v>
      </c>
      <c r="M374">
        <v>1156</v>
      </c>
      <c r="N374">
        <v>753.43</v>
      </c>
      <c r="O374">
        <v>402.57000000000005</v>
      </c>
      <c r="P374" s="19">
        <f>Tabuľka4[[#This Row],[Zisk]]/Tabuľka4[[#This Row],[Trzba]]</f>
        <v>0.34824394463667824</v>
      </c>
      <c r="Q374">
        <v>2025</v>
      </c>
      <c r="R374" t="str">
        <f>TEXT(Tabuľka4[[#This Row],[Datum]],"MMMM")</f>
        <v>september</v>
      </c>
    </row>
    <row r="375" spans="1:18" x14ac:dyDescent="0.3">
      <c r="A375" s="2">
        <v>45943</v>
      </c>
      <c r="B375" t="s">
        <v>650</v>
      </c>
      <c r="C375" t="s">
        <v>48</v>
      </c>
      <c r="D375" t="s">
        <v>49</v>
      </c>
      <c r="E375" t="s">
        <v>0</v>
      </c>
      <c r="F375" t="s">
        <v>22</v>
      </c>
      <c r="G375" t="s">
        <v>23</v>
      </c>
      <c r="H375" t="s">
        <v>632</v>
      </c>
      <c r="I375" t="s">
        <v>51</v>
      </c>
      <c r="J375">
        <v>10</v>
      </c>
      <c r="K375">
        <v>306</v>
      </c>
      <c r="L375">
        <v>0.05</v>
      </c>
      <c r="M375">
        <v>3060</v>
      </c>
      <c r="N375">
        <v>2182.48</v>
      </c>
      <c r="O375">
        <v>877.52</v>
      </c>
      <c r="P375" s="19">
        <f>Tabuľka4[[#This Row],[Zisk]]/Tabuľka4[[#This Row],[Trzba]]</f>
        <v>0.28677124183006536</v>
      </c>
      <c r="Q375">
        <v>2025</v>
      </c>
      <c r="R375" t="str">
        <f>TEXT(Tabuľka4[[#This Row],[Datum]],"MMMM")</f>
        <v>október</v>
      </c>
    </row>
    <row r="376" spans="1:18" x14ac:dyDescent="0.3">
      <c r="A376" s="2">
        <v>45981</v>
      </c>
      <c r="B376" t="s">
        <v>651</v>
      </c>
      <c r="C376" t="s">
        <v>652</v>
      </c>
      <c r="D376" t="s">
        <v>20</v>
      </c>
      <c r="E376" t="s">
        <v>68</v>
      </c>
      <c r="F376" t="s">
        <v>22</v>
      </c>
      <c r="G376" t="s">
        <v>23</v>
      </c>
      <c r="H376" t="s">
        <v>632</v>
      </c>
      <c r="I376" t="s">
        <v>38</v>
      </c>
      <c r="J376">
        <v>5</v>
      </c>
      <c r="K376">
        <v>215</v>
      </c>
      <c r="L376">
        <v>0</v>
      </c>
      <c r="M376">
        <v>1075</v>
      </c>
      <c r="N376">
        <v>587.26</v>
      </c>
      <c r="O376">
        <v>487.74</v>
      </c>
      <c r="P376" s="19">
        <f>Tabuľka4[[#This Row],[Zisk]]/Tabuľka4[[#This Row],[Trzba]]</f>
        <v>0.45371162790697678</v>
      </c>
      <c r="Q376">
        <v>2025</v>
      </c>
      <c r="R376" t="str">
        <f>TEXT(Tabuľka4[[#This Row],[Datum]],"MMMM")</f>
        <v>november</v>
      </c>
    </row>
    <row r="377" spans="1:18" x14ac:dyDescent="0.3">
      <c r="A377" s="2">
        <v>46036</v>
      </c>
      <c r="B377" t="s">
        <v>653</v>
      </c>
      <c r="C377" t="s">
        <v>280</v>
      </c>
      <c r="D377" t="s">
        <v>20</v>
      </c>
      <c r="E377" t="s">
        <v>68</v>
      </c>
      <c r="F377" t="s">
        <v>43</v>
      </c>
      <c r="G377" t="s">
        <v>23</v>
      </c>
      <c r="H377" t="s">
        <v>632</v>
      </c>
      <c r="I377" t="s">
        <v>88</v>
      </c>
      <c r="J377">
        <v>1</v>
      </c>
      <c r="K377">
        <v>211</v>
      </c>
      <c r="L377">
        <v>0.14000000000000001</v>
      </c>
      <c r="M377">
        <v>211</v>
      </c>
      <c r="N377">
        <v>158.21</v>
      </c>
      <c r="O377">
        <v>52.789999999999992</v>
      </c>
      <c r="P377" s="19">
        <f>Tabuľka4[[#This Row],[Zisk]]/Tabuľka4[[#This Row],[Trzba]]</f>
        <v>0.2501895734597156</v>
      </c>
      <c r="Q377">
        <v>2026</v>
      </c>
      <c r="R377" t="str">
        <f>TEXT(Tabuľka4[[#This Row],[Datum]],"MMMM")</f>
        <v>január</v>
      </c>
    </row>
    <row r="378" spans="1:18" x14ac:dyDescent="0.3">
      <c r="A378" s="2">
        <v>46044</v>
      </c>
      <c r="B378" t="s">
        <v>654</v>
      </c>
      <c r="C378" t="s">
        <v>655</v>
      </c>
      <c r="D378" t="s">
        <v>20</v>
      </c>
      <c r="E378" t="s">
        <v>0</v>
      </c>
      <c r="F378" t="s">
        <v>43</v>
      </c>
      <c r="G378" t="s">
        <v>23</v>
      </c>
      <c r="H378" t="s">
        <v>632</v>
      </c>
      <c r="I378" t="s">
        <v>38</v>
      </c>
      <c r="J378">
        <v>1</v>
      </c>
      <c r="K378">
        <v>135</v>
      </c>
      <c r="L378">
        <v>0.04</v>
      </c>
      <c r="M378">
        <v>135</v>
      </c>
      <c r="N378">
        <v>99.82</v>
      </c>
      <c r="O378">
        <v>35.180000000000007</v>
      </c>
      <c r="P378" s="19">
        <f>Tabuľka4[[#This Row],[Zisk]]/Tabuľka4[[#This Row],[Trzba]]</f>
        <v>0.26059259259259265</v>
      </c>
      <c r="Q378">
        <v>2026</v>
      </c>
      <c r="R378" t="str">
        <f>TEXT(Tabuľka4[[#This Row],[Datum]],"MMMM")</f>
        <v>január</v>
      </c>
    </row>
    <row r="379" spans="1:18" x14ac:dyDescent="0.3">
      <c r="A379" s="2">
        <v>46054</v>
      </c>
      <c r="B379" t="s">
        <v>656</v>
      </c>
      <c r="C379" t="s">
        <v>115</v>
      </c>
      <c r="D379" t="s">
        <v>20</v>
      </c>
      <c r="E379" t="s">
        <v>68</v>
      </c>
      <c r="F379" t="s">
        <v>43</v>
      </c>
      <c r="G379" t="s">
        <v>23</v>
      </c>
      <c r="H379" t="s">
        <v>632</v>
      </c>
      <c r="I379" t="s">
        <v>51</v>
      </c>
      <c r="J379">
        <v>2</v>
      </c>
      <c r="K379">
        <v>185</v>
      </c>
      <c r="L379">
        <v>0.03</v>
      </c>
      <c r="M379">
        <v>370</v>
      </c>
      <c r="N379">
        <v>267.63</v>
      </c>
      <c r="O379">
        <v>102.37</v>
      </c>
      <c r="P379" s="19">
        <f>Tabuľka4[[#This Row],[Zisk]]/Tabuľka4[[#This Row],[Trzba]]</f>
        <v>0.27667567567567569</v>
      </c>
      <c r="Q379">
        <v>2026</v>
      </c>
      <c r="R379" t="str">
        <f>TEXT(Tabuľka4[[#This Row],[Datum]],"MMMM")</f>
        <v>február</v>
      </c>
    </row>
    <row r="380" spans="1:18" x14ac:dyDescent="0.3">
      <c r="A380" s="2">
        <v>46064</v>
      </c>
      <c r="B380" t="s">
        <v>657</v>
      </c>
      <c r="C380" t="s">
        <v>185</v>
      </c>
      <c r="D380" t="s">
        <v>49</v>
      </c>
      <c r="E380" t="s">
        <v>21</v>
      </c>
      <c r="F380" t="s">
        <v>58</v>
      </c>
      <c r="G380" t="s">
        <v>23</v>
      </c>
      <c r="H380" t="s">
        <v>632</v>
      </c>
      <c r="I380" t="s">
        <v>33</v>
      </c>
      <c r="J380">
        <v>8</v>
      </c>
      <c r="K380">
        <v>228</v>
      </c>
      <c r="L380">
        <v>0.02</v>
      </c>
      <c r="M380">
        <v>1824</v>
      </c>
      <c r="N380">
        <v>1274.77</v>
      </c>
      <c r="O380">
        <v>549.23</v>
      </c>
      <c r="P380" s="19">
        <f>Tabuľka4[[#This Row],[Zisk]]/Tabuľka4[[#This Row],[Trzba]]</f>
        <v>0.30111293859649124</v>
      </c>
      <c r="Q380">
        <v>2026</v>
      </c>
      <c r="R380" t="str">
        <f>TEXT(Tabuľka4[[#This Row],[Datum]],"MMMM")</f>
        <v>február</v>
      </c>
    </row>
    <row r="381" spans="1:18" x14ac:dyDescent="0.3">
      <c r="A381" s="2">
        <v>46156</v>
      </c>
      <c r="B381" t="s">
        <v>658</v>
      </c>
      <c r="C381" t="s">
        <v>48</v>
      </c>
      <c r="D381" t="s">
        <v>49</v>
      </c>
      <c r="E381" t="s">
        <v>0</v>
      </c>
      <c r="F381" t="s">
        <v>22</v>
      </c>
      <c r="G381" t="s">
        <v>23</v>
      </c>
      <c r="H381" t="s">
        <v>632</v>
      </c>
      <c r="I381" t="s">
        <v>63</v>
      </c>
      <c r="J381">
        <v>6</v>
      </c>
      <c r="K381">
        <v>145</v>
      </c>
      <c r="L381">
        <v>0.14000000000000001</v>
      </c>
      <c r="M381">
        <v>870</v>
      </c>
      <c r="N381">
        <v>573.34</v>
      </c>
      <c r="O381">
        <v>296.65999999999997</v>
      </c>
      <c r="P381" s="19">
        <f>Tabuľka4[[#This Row],[Zisk]]/Tabuľka4[[#This Row],[Trzba]]</f>
        <v>0.34098850574712641</v>
      </c>
      <c r="Q381">
        <v>2026</v>
      </c>
      <c r="R381" t="str">
        <f>TEXT(Tabuľka4[[#This Row],[Datum]],"MMMM")</f>
        <v>máj</v>
      </c>
    </row>
    <row r="382" spans="1:18" x14ac:dyDescent="0.3">
      <c r="A382" s="2">
        <v>46158</v>
      </c>
      <c r="B382" t="s">
        <v>659</v>
      </c>
      <c r="C382" t="s">
        <v>660</v>
      </c>
      <c r="D382" t="s">
        <v>20</v>
      </c>
      <c r="E382" t="s">
        <v>0</v>
      </c>
      <c r="F382" t="s">
        <v>43</v>
      </c>
      <c r="G382" t="s">
        <v>23</v>
      </c>
      <c r="H382" t="s">
        <v>632</v>
      </c>
      <c r="I382" t="s">
        <v>38</v>
      </c>
      <c r="J382">
        <v>2</v>
      </c>
      <c r="K382">
        <v>135</v>
      </c>
      <c r="L382">
        <v>0.11</v>
      </c>
      <c r="M382">
        <v>270</v>
      </c>
      <c r="N382">
        <v>167.48</v>
      </c>
      <c r="O382">
        <v>102.52000000000001</v>
      </c>
      <c r="P382" s="19">
        <f>Tabuľka4[[#This Row],[Zisk]]/Tabuľka4[[#This Row],[Trzba]]</f>
        <v>0.37970370370370377</v>
      </c>
      <c r="Q382">
        <v>2026</v>
      </c>
      <c r="R382" t="str">
        <f>TEXT(Tabuľka4[[#This Row],[Datum]],"MMMM")</f>
        <v>máj</v>
      </c>
    </row>
    <row r="383" spans="1:18" x14ac:dyDescent="0.3">
      <c r="A383" s="2">
        <v>46161</v>
      </c>
      <c r="B383" t="s">
        <v>661</v>
      </c>
      <c r="C383" t="s">
        <v>128</v>
      </c>
      <c r="D383" t="s">
        <v>20</v>
      </c>
      <c r="E383" t="s">
        <v>50</v>
      </c>
      <c r="F383" t="s">
        <v>22</v>
      </c>
      <c r="G383" t="s">
        <v>23</v>
      </c>
      <c r="H383" t="s">
        <v>632</v>
      </c>
      <c r="I383" t="s">
        <v>38</v>
      </c>
      <c r="J383">
        <v>2</v>
      </c>
      <c r="K383">
        <v>152</v>
      </c>
      <c r="L383">
        <v>7.0000000000000007E-2</v>
      </c>
      <c r="M383">
        <v>304</v>
      </c>
      <c r="N383">
        <v>216.62</v>
      </c>
      <c r="O383">
        <v>87.38</v>
      </c>
      <c r="P383" s="19">
        <f>Tabuľka4[[#This Row],[Zisk]]/Tabuľka4[[#This Row],[Trzba]]</f>
        <v>0.28743421052631579</v>
      </c>
      <c r="Q383">
        <v>2026</v>
      </c>
      <c r="R383" t="str">
        <f>TEXT(Tabuľka4[[#This Row],[Datum]],"MMMM")</f>
        <v>máj</v>
      </c>
    </row>
    <row r="384" spans="1:18" x14ac:dyDescent="0.3">
      <c r="A384" s="2">
        <v>45315</v>
      </c>
      <c r="B384" t="s">
        <v>662</v>
      </c>
      <c r="C384" t="s">
        <v>167</v>
      </c>
      <c r="D384" t="s">
        <v>20</v>
      </c>
      <c r="E384" t="s">
        <v>50</v>
      </c>
      <c r="F384" t="s">
        <v>22</v>
      </c>
      <c r="G384" t="s">
        <v>188</v>
      </c>
      <c r="H384" t="s">
        <v>663</v>
      </c>
      <c r="I384" t="s">
        <v>46</v>
      </c>
      <c r="J384">
        <v>3</v>
      </c>
      <c r="K384">
        <v>265</v>
      </c>
      <c r="L384">
        <v>0.04</v>
      </c>
      <c r="M384">
        <v>795</v>
      </c>
      <c r="N384">
        <v>557.92999999999995</v>
      </c>
      <c r="O384">
        <v>237.07000000000005</v>
      </c>
      <c r="P384" s="19">
        <f>Tabuľka4[[#This Row],[Zisk]]/Tabuľka4[[#This Row],[Trzba]]</f>
        <v>0.29820125786163526</v>
      </c>
      <c r="Q384">
        <v>2024</v>
      </c>
      <c r="R384" t="str">
        <f>TEXT(Tabuľka4[[#This Row],[Datum]],"MMMM")</f>
        <v>január</v>
      </c>
    </row>
    <row r="385" spans="1:18" x14ac:dyDescent="0.3">
      <c r="A385" s="2">
        <v>45466</v>
      </c>
      <c r="B385" t="s">
        <v>664</v>
      </c>
      <c r="C385" t="s">
        <v>210</v>
      </c>
      <c r="D385" t="s">
        <v>20</v>
      </c>
      <c r="E385" t="s">
        <v>0</v>
      </c>
      <c r="F385" t="s">
        <v>22</v>
      </c>
      <c r="G385" t="s">
        <v>188</v>
      </c>
      <c r="H385" t="s">
        <v>663</v>
      </c>
      <c r="I385" t="s">
        <v>88</v>
      </c>
      <c r="J385">
        <v>3</v>
      </c>
      <c r="K385">
        <v>291</v>
      </c>
      <c r="L385">
        <v>0.1</v>
      </c>
      <c r="M385">
        <v>873</v>
      </c>
      <c r="N385">
        <v>510.45</v>
      </c>
      <c r="O385">
        <v>362.55</v>
      </c>
      <c r="P385" s="19">
        <f>Tabuľka4[[#This Row],[Zisk]]/Tabuľka4[[#This Row],[Trzba]]</f>
        <v>0.41529209621993129</v>
      </c>
      <c r="Q385">
        <v>2024</v>
      </c>
      <c r="R385" t="str">
        <f>TEXT(Tabuľka4[[#This Row],[Datum]],"MMMM")</f>
        <v>jún</v>
      </c>
    </row>
    <row r="386" spans="1:18" x14ac:dyDescent="0.3">
      <c r="A386" s="2">
        <v>45472</v>
      </c>
      <c r="B386" t="s">
        <v>665</v>
      </c>
      <c r="C386" t="s">
        <v>666</v>
      </c>
      <c r="D386" t="s">
        <v>20</v>
      </c>
      <c r="E386" t="s">
        <v>0</v>
      </c>
      <c r="F386" t="s">
        <v>22</v>
      </c>
      <c r="G386" t="s">
        <v>188</v>
      </c>
      <c r="H386" t="s">
        <v>663</v>
      </c>
      <c r="I386" t="s">
        <v>25</v>
      </c>
      <c r="J386">
        <v>5</v>
      </c>
      <c r="K386">
        <v>303</v>
      </c>
      <c r="L386">
        <v>0.02</v>
      </c>
      <c r="M386">
        <v>1515</v>
      </c>
      <c r="N386">
        <v>1000.46</v>
      </c>
      <c r="O386">
        <v>514.54</v>
      </c>
      <c r="P386" s="19">
        <f>Tabuľka4[[#This Row],[Zisk]]/Tabuľka4[[#This Row],[Trzba]]</f>
        <v>0.33963036303630362</v>
      </c>
      <c r="Q386">
        <v>2024</v>
      </c>
      <c r="R386" t="str">
        <f>TEXT(Tabuľka4[[#This Row],[Datum]],"MMMM")</f>
        <v>jún</v>
      </c>
    </row>
    <row r="387" spans="1:18" x14ac:dyDescent="0.3">
      <c r="A387" s="2">
        <v>45496</v>
      </c>
      <c r="B387" t="s">
        <v>667</v>
      </c>
      <c r="C387" t="s">
        <v>371</v>
      </c>
      <c r="D387" t="s">
        <v>20</v>
      </c>
      <c r="E387" t="s">
        <v>68</v>
      </c>
      <c r="F387" t="s">
        <v>22</v>
      </c>
      <c r="G387" t="s">
        <v>188</v>
      </c>
      <c r="H387" t="s">
        <v>663</v>
      </c>
      <c r="I387" t="s">
        <v>25</v>
      </c>
      <c r="J387">
        <v>2</v>
      </c>
      <c r="K387">
        <v>424</v>
      </c>
      <c r="L387">
        <v>0</v>
      </c>
      <c r="M387">
        <v>848</v>
      </c>
      <c r="N387">
        <v>550.76</v>
      </c>
      <c r="O387">
        <v>297.24</v>
      </c>
      <c r="P387" s="19">
        <f>Tabuľka4[[#This Row],[Zisk]]/Tabuľka4[[#This Row],[Trzba]]</f>
        <v>0.3505188679245283</v>
      </c>
      <c r="Q387">
        <v>2024</v>
      </c>
      <c r="R387" t="str">
        <f>TEXT(Tabuľka4[[#This Row],[Datum]],"MMMM")</f>
        <v>júl</v>
      </c>
    </row>
    <row r="388" spans="1:18" x14ac:dyDescent="0.3">
      <c r="A388" s="2">
        <v>45562</v>
      </c>
      <c r="B388" t="s">
        <v>668</v>
      </c>
      <c r="C388" t="s">
        <v>124</v>
      </c>
      <c r="D388" t="s">
        <v>49</v>
      </c>
      <c r="E388" t="s">
        <v>0</v>
      </c>
      <c r="F388" t="s">
        <v>43</v>
      </c>
      <c r="G388" t="s">
        <v>188</v>
      </c>
      <c r="H388" t="s">
        <v>663</v>
      </c>
      <c r="I388" t="s">
        <v>46</v>
      </c>
      <c r="J388">
        <v>9</v>
      </c>
      <c r="K388">
        <v>268</v>
      </c>
      <c r="L388">
        <v>0.09</v>
      </c>
      <c r="M388">
        <v>2412</v>
      </c>
      <c r="N388">
        <v>1093.48</v>
      </c>
      <c r="O388">
        <v>1318.52</v>
      </c>
      <c r="P388" s="19">
        <f>Tabuľka4[[#This Row],[Zisk]]/Tabuľka4[[#This Row],[Trzba]]</f>
        <v>0.54665008291873962</v>
      </c>
      <c r="Q388">
        <v>2024</v>
      </c>
      <c r="R388" t="str">
        <f>TEXT(Tabuľka4[[#This Row],[Datum]],"MMMM")</f>
        <v>september</v>
      </c>
    </row>
    <row r="389" spans="1:18" x14ac:dyDescent="0.3">
      <c r="A389" s="2">
        <v>45633</v>
      </c>
      <c r="B389" t="s">
        <v>669</v>
      </c>
      <c r="C389" t="s">
        <v>670</v>
      </c>
      <c r="D389" t="s">
        <v>20</v>
      </c>
      <c r="E389" t="s">
        <v>68</v>
      </c>
      <c r="F389" t="s">
        <v>43</v>
      </c>
      <c r="G389" t="s">
        <v>188</v>
      </c>
      <c r="H389" t="s">
        <v>663</v>
      </c>
      <c r="I389" t="s">
        <v>30</v>
      </c>
      <c r="J389">
        <v>2</v>
      </c>
      <c r="K389">
        <v>243</v>
      </c>
      <c r="L389">
        <v>0.09</v>
      </c>
      <c r="M389">
        <v>486</v>
      </c>
      <c r="N389">
        <v>333.3</v>
      </c>
      <c r="O389">
        <v>152.69999999999999</v>
      </c>
      <c r="P389" s="19">
        <f>Tabuľka4[[#This Row],[Zisk]]/Tabuľka4[[#This Row],[Trzba]]</f>
        <v>0.31419753086419749</v>
      </c>
      <c r="Q389">
        <v>2024</v>
      </c>
      <c r="R389" t="str">
        <f>TEXT(Tabuľka4[[#This Row],[Datum]],"MMMM")</f>
        <v>december</v>
      </c>
    </row>
    <row r="390" spans="1:18" x14ac:dyDescent="0.3">
      <c r="A390" s="2">
        <v>45650</v>
      </c>
      <c r="B390" t="s">
        <v>671</v>
      </c>
      <c r="C390" t="s">
        <v>48</v>
      </c>
      <c r="D390" t="s">
        <v>49</v>
      </c>
      <c r="E390" t="s">
        <v>21</v>
      </c>
      <c r="F390" t="s">
        <v>58</v>
      </c>
      <c r="G390" t="s">
        <v>188</v>
      </c>
      <c r="H390" t="s">
        <v>663</v>
      </c>
      <c r="I390" t="s">
        <v>46</v>
      </c>
      <c r="J390">
        <v>11</v>
      </c>
      <c r="K390">
        <v>221</v>
      </c>
      <c r="L390">
        <v>0.19</v>
      </c>
      <c r="M390">
        <v>2431</v>
      </c>
      <c r="N390">
        <v>1527.49</v>
      </c>
      <c r="O390">
        <v>903.51</v>
      </c>
      <c r="P390" s="19">
        <f>Tabuľka4[[#This Row],[Zisk]]/Tabuľka4[[#This Row],[Trzba]]</f>
        <v>0.37166186754422048</v>
      </c>
      <c r="Q390">
        <v>2024</v>
      </c>
      <c r="R390" t="str">
        <f>TEXT(Tabuľka4[[#This Row],[Datum]],"MMMM")</f>
        <v>december</v>
      </c>
    </row>
    <row r="391" spans="1:18" x14ac:dyDescent="0.3">
      <c r="A391" s="2">
        <v>45875</v>
      </c>
      <c r="B391" t="s">
        <v>672</v>
      </c>
      <c r="C391" t="s">
        <v>134</v>
      </c>
      <c r="D391" t="s">
        <v>20</v>
      </c>
      <c r="E391" t="s">
        <v>0</v>
      </c>
      <c r="F391" t="s">
        <v>22</v>
      </c>
      <c r="G391" t="s">
        <v>188</v>
      </c>
      <c r="H391" t="s">
        <v>663</v>
      </c>
      <c r="I391" t="s">
        <v>25</v>
      </c>
      <c r="J391">
        <v>2</v>
      </c>
      <c r="K391">
        <v>320</v>
      </c>
      <c r="L391">
        <v>0.13</v>
      </c>
      <c r="M391">
        <v>640</v>
      </c>
      <c r="N391">
        <v>451.84</v>
      </c>
      <c r="O391">
        <v>188.16000000000003</v>
      </c>
      <c r="P391" s="19">
        <f>Tabuľka4[[#This Row],[Zisk]]/Tabuľka4[[#This Row],[Trzba]]</f>
        <v>0.29400000000000004</v>
      </c>
      <c r="Q391">
        <v>2025</v>
      </c>
      <c r="R391" t="str">
        <f>TEXT(Tabuľka4[[#This Row],[Datum]],"MMMM")</f>
        <v>august</v>
      </c>
    </row>
    <row r="392" spans="1:18" x14ac:dyDescent="0.3">
      <c r="A392" s="2">
        <v>46009</v>
      </c>
      <c r="B392" t="s">
        <v>673</v>
      </c>
      <c r="C392" t="s">
        <v>48</v>
      </c>
      <c r="D392" t="s">
        <v>49</v>
      </c>
      <c r="E392" t="s">
        <v>50</v>
      </c>
      <c r="F392" t="s">
        <v>58</v>
      </c>
      <c r="G392" t="s">
        <v>188</v>
      </c>
      <c r="H392" t="s">
        <v>663</v>
      </c>
      <c r="I392" t="s">
        <v>63</v>
      </c>
      <c r="J392">
        <v>9</v>
      </c>
      <c r="K392">
        <v>212</v>
      </c>
      <c r="L392">
        <v>0.12</v>
      </c>
      <c r="M392">
        <v>1908</v>
      </c>
      <c r="N392">
        <v>1121.44</v>
      </c>
      <c r="O392">
        <v>786.56</v>
      </c>
      <c r="P392" s="19">
        <f>Tabuľka4[[#This Row],[Zisk]]/Tabuľka4[[#This Row],[Trzba]]</f>
        <v>0.41224318658280917</v>
      </c>
      <c r="Q392">
        <v>2025</v>
      </c>
      <c r="R392" t="str">
        <f>TEXT(Tabuľka4[[#This Row],[Datum]],"MMMM")</f>
        <v>december</v>
      </c>
    </row>
    <row r="393" spans="1:18" x14ac:dyDescent="0.3">
      <c r="A393" s="2">
        <v>45392</v>
      </c>
      <c r="B393" t="s">
        <v>674</v>
      </c>
      <c r="C393" t="s">
        <v>147</v>
      </c>
      <c r="D393" t="s">
        <v>20</v>
      </c>
      <c r="E393" t="s">
        <v>68</v>
      </c>
      <c r="F393" t="s">
        <v>22</v>
      </c>
      <c r="G393" t="s">
        <v>71</v>
      </c>
      <c r="H393" t="s">
        <v>675</v>
      </c>
      <c r="I393" t="s">
        <v>30</v>
      </c>
      <c r="J393">
        <v>2</v>
      </c>
      <c r="K393">
        <v>2014</v>
      </c>
      <c r="L393">
        <v>7.0000000000000007E-2</v>
      </c>
      <c r="M393">
        <v>4028</v>
      </c>
      <c r="N393">
        <v>3051.75</v>
      </c>
      <c r="O393">
        <v>976.25</v>
      </c>
      <c r="P393" s="19">
        <f>Tabuľka4[[#This Row],[Zisk]]/Tabuľka4[[#This Row],[Trzba]]</f>
        <v>0.24236593843098311</v>
      </c>
      <c r="Q393">
        <v>2024</v>
      </c>
      <c r="R393" t="str">
        <f>TEXT(Tabuľka4[[#This Row],[Datum]],"MMMM")</f>
        <v>apríl</v>
      </c>
    </row>
    <row r="394" spans="1:18" x14ac:dyDescent="0.3">
      <c r="A394" s="2">
        <v>45444</v>
      </c>
      <c r="B394" t="s">
        <v>676</v>
      </c>
      <c r="C394" t="s">
        <v>48</v>
      </c>
      <c r="D394" t="s">
        <v>49</v>
      </c>
      <c r="E394" t="s">
        <v>21</v>
      </c>
      <c r="F394" t="s">
        <v>58</v>
      </c>
      <c r="G394" t="s">
        <v>71</v>
      </c>
      <c r="H394" t="s">
        <v>675</v>
      </c>
      <c r="I394" t="s">
        <v>30</v>
      </c>
      <c r="J394">
        <v>8</v>
      </c>
      <c r="K394">
        <v>1962</v>
      </c>
      <c r="L394">
        <v>0.03</v>
      </c>
      <c r="M394">
        <v>15696</v>
      </c>
      <c r="N394">
        <v>12356.63</v>
      </c>
      <c r="O394">
        <v>3339.3700000000008</v>
      </c>
      <c r="P394" s="19">
        <f>Tabuľka4[[#This Row],[Zisk]]/Tabuľka4[[#This Row],[Trzba]]</f>
        <v>0.2127529306829766</v>
      </c>
      <c r="Q394">
        <v>2024</v>
      </c>
      <c r="R394" t="str">
        <f>TEXT(Tabuľka4[[#This Row],[Datum]],"MMMM")</f>
        <v>jún</v>
      </c>
    </row>
    <row r="395" spans="1:18" x14ac:dyDescent="0.3">
      <c r="A395" s="2">
        <v>45531</v>
      </c>
      <c r="B395" t="s">
        <v>677</v>
      </c>
      <c r="C395" t="s">
        <v>57</v>
      </c>
      <c r="D395" t="s">
        <v>49</v>
      </c>
      <c r="E395" t="s">
        <v>0</v>
      </c>
      <c r="F395" t="s">
        <v>58</v>
      </c>
      <c r="G395" t="s">
        <v>71</v>
      </c>
      <c r="H395" t="s">
        <v>675</v>
      </c>
      <c r="I395" t="s">
        <v>30</v>
      </c>
      <c r="J395">
        <v>8</v>
      </c>
      <c r="K395">
        <v>1415</v>
      </c>
      <c r="L395">
        <v>0.06</v>
      </c>
      <c r="M395">
        <v>11320</v>
      </c>
      <c r="N395">
        <v>8192.58</v>
      </c>
      <c r="O395">
        <v>3127.42</v>
      </c>
      <c r="P395" s="19">
        <f>Tabuľka4[[#This Row],[Zisk]]/Tabuľka4[[#This Row],[Trzba]]</f>
        <v>0.27627385159010603</v>
      </c>
      <c r="Q395">
        <v>2024</v>
      </c>
      <c r="R395" t="str">
        <f>TEXT(Tabuľka4[[#This Row],[Datum]],"MMMM")</f>
        <v>august</v>
      </c>
    </row>
    <row r="396" spans="1:18" x14ac:dyDescent="0.3">
      <c r="A396" s="2">
        <v>45828</v>
      </c>
      <c r="B396" t="s">
        <v>678</v>
      </c>
      <c r="C396" t="s">
        <v>679</v>
      </c>
      <c r="D396" t="s">
        <v>20</v>
      </c>
      <c r="E396" t="s">
        <v>68</v>
      </c>
      <c r="F396" t="s">
        <v>43</v>
      </c>
      <c r="G396" t="s">
        <v>71</v>
      </c>
      <c r="H396" t="s">
        <v>675</v>
      </c>
      <c r="I396" t="s">
        <v>38</v>
      </c>
      <c r="J396">
        <v>1</v>
      </c>
      <c r="K396">
        <v>2780</v>
      </c>
      <c r="L396">
        <v>0.13</v>
      </c>
      <c r="M396">
        <v>2780</v>
      </c>
      <c r="N396">
        <v>2020.76</v>
      </c>
      <c r="O396">
        <v>759.24</v>
      </c>
      <c r="P396" s="19">
        <f>Tabuľka4[[#This Row],[Zisk]]/Tabuľka4[[#This Row],[Trzba]]</f>
        <v>0.27310791366906473</v>
      </c>
      <c r="Q396">
        <v>2025</v>
      </c>
      <c r="R396" t="str">
        <f>TEXT(Tabuľka4[[#This Row],[Datum]],"MMMM")</f>
        <v>jún</v>
      </c>
    </row>
    <row r="397" spans="1:18" x14ac:dyDescent="0.3">
      <c r="A397" s="2">
        <v>45866</v>
      </c>
      <c r="B397" t="s">
        <v>680</v>
      </c>
      <c r="C397" t="s">
        <v>48</v>
      </c>
      <c r="D397" t="s">
        <v>49</v>
      </c>
      <c r="E397" t="s">
        <v>21</v>
      </c>
      <c r="F397" t="s">
        <v>58</v>
      </c>
      <c r="G397" t="s">
        <v>71</v>
      </c>
      <c r="H397" t="s">
        <v>675</v>
      </c>
      <c r="I397" t="s">
        <v>46</v>
      </c>
      <c r="J397">
        <v>6</v>
      </c>
      <c r="K397">
        <v>1733</v>
      </c>
      <c r="L397">
        <v>0.22</v>
      </c>
      <c r="M397">
        <v>10398</v>
      </c>
      <c r="N397">
        <v>6363.74</v>
      </c>
      <c r="O397">
        <v>4034.26</v>
      </c>
      <c r="P397" s="19">
        <f>Tabuľka4[[#This Row],[Zisk]]/Tabuľka4[[#This Row],[Trzba]]</f>
        <v>0.38798422773610314</v>
      </c>
      <c r="Q397">
        <v>2025</v>
      </c>
      <c r="R397" t="str">
        <f>TEXT(Tabuľka4[[#This Row],[Datum]],"MMMM")</f>
        <v>júl</v>
      </c>
    </row>
    <row r="398" spans="1:18" x14ac:dyDescent="0.3">
      <c r="A398" s="2">
        <v>45946</v>
      </c>
      <c r="B398" t="s">
        <v>681</v>
      </c>
      <c r="C398" t="s">
        <v>287</v>
      </c>
      <c r="D398" t="s">
        <v>20</v>
      </c>
      <c r="E398" t="s">
        <v>68</v>
      </c>
      <c r="F398" t="s">
        <v>22</v>
      </c>
      <c r="G398" t="s">
        <v>71</v>
      </c>
      <c r="H398" t="s">
        <v>675</v>
      </c>
      <c r="I398" t="s">
        <v>46</v>
      </c>
      <c r="J398">
        <v>3</v>
      </c>
      <c r="K398">
        <v>2644</v>
      </c>
      <c r="L398">
        <v>0.02</v>
      </c>
      <c r="M398">
        <v>7932</v>
      </c>
      <c r="N398">
        <v>6199.73</v>
      </c>
      <c r="O398">
        <v>1732.2700000000004</v>
      </c>
      <c r="P398" s="19">
        <f>Tabuľka4[[#This Row],[Zisk]]/Tabuľka4[[#This Row],[Trzba]]</f>
        <v>0.21839006555723656</v>
      </c>
      <c r="Q398">
        <v>2025</v>
      </c>
      <c r="R398" t="str">
        <f>TEXT(Tabuľka4[[#This Row],[Datum]],"MMMM")</f>
        <v>október</v>
      </c>
    </row>
    <row r="399" spans="1:18" x14ac:dyDescent="0.3">
      <c r="A399" s="2">
        <v>45995</v>
      </c>
      <c r="B399" t="s">
        <v>682</v>
      </c>
      <c r="C399" t="s">
        <v>683</v>
      </c>
      <c r="D399" t="s">
        <v>20</v>
      </c>
      <c r="E399" t="s">
        <v>0</v>
      </c>
      <c r="F399" t="s">
        <v>22</v>
      </c>
      <c r="G399" t="s">
        <v>71</v>
      </c>
      <c r="H399" t="s">
        <v>675</v>
      </c>
      <c r="I399" t="s">
        <v>51</v>
      </c>
      <c r="J399">
        <v>1</v>
      </c>
      <c r="K399">
        <v>1476</v>
      </c>
      <c r="L399">
        <v>0.09</v>
      </c>
      <c r="M399">
        <v>1476</v>
      </c>
      <c r="N399">
        <v>1077.4100000000001</v>
      </c>
      <c r="O399">
        <v>398.58999999999992</v>
      </c>
      <c r="P399" s="19">
        <f>Tabuľka4[[#This Row],[Zisk]]/Tabuľka4[[#This Row],[Trzba]]</f>
        <v>0.2700474254742547</v>
      </c>
      <c r="Q399">
        <v>2025</v>
      </c>
      <c r="R399" t="str">
        <f>TEXT(Tabuľka4[[#This Row],[Datum]],"MMMM")</f>
        <v>december</v>
      </c>
    </row>
    <row r="400" spans="1:18" x14ac:dyDescent="0.3">
      <c r="A400" s="2">
        <v>46018</v>
      </c>
      <c r="B400" t="s">
        <v>684</v>
      </c>
      <c r="C400" t="s">
        <v>521</v>
      </c>
      <c r="D400" t="s">
        <v>20</v>
      </c>
      <c r="E400" t="s">
        <v>0</v>
      </c>
      <c r="F400" t="s">
        <v>22</v>
      </c>
      <c r="G400" t="s">
        <v>71</v>
      </c>
      <c r="H400" t="s">
        <v>675</v>
      </c>
      <c r="I400" t="s">
        <v>88</v>
      </c>
      <c r="J400">
        <v>3</v>
      </c>
      <c r="K400">
        <v>3183</v>
      </c>
      <c r="L400">
        <v>0.18</v>
      </c>
      <c r="M400">
        <v>9549</v>
      </c>
      <c r="N400">
        <v>6114.65</v>
      </c>
      <c r="O400">
        <v>3434.3500000000004</v>
      </c>
      <c r="P400" s="19">
        <f>Tabuľka4[[#This Row],[Zisk]]/Tabuľka4[[#This Row],[Trzba]]</f>
        <v>0.35965546130484871</v>
      </c>
      <c r="Q400">
        <v>2025</v>
      </c>
      <c r="R400" t="str">
        <f>TEXT(Tabuľka4[[#This Row],[Datum]],"MMMM")</f>
        <v>december</v>
      </c>
    </row>
    <row r="401" spans="1:18" x14ac:dyDescent="0.3">
      <c r="A401" s="2">
        <v>46080</v>
      </c>
      <c r="B401" t="s">
        <v>685</v>
      </c>
      <c r="C401" t="s">
        <v>185</v>
      </c>
      <c r="D401" t="s">
        <v>49</v>
      </c>
      <c r="E401" t="s">
        <v>21</v>
      </c>
      <c r="F401" t="s">
        <v>43</v>
      </c>
      <c r="G401" t="s">
        <v>71</v>
      </c>
      <c r="H401" t="s">
        <v>675</v>
      </c>
      <c r="I401" t="s">
        <v>88</v>
      </c>
      <c r="J401">
        <v>7</v>
      </c>
      <c r="K401">
        <v>3162</v>
      </c>
      <c r="L401">
        <v>0.11</v>
      </c>
      <c r="M401">
        <v>22134</v>
      </c>
      <c r="N401">
        <v>15998.66</v>
      </c>
      <c r="O401">
        <v>6135.34</v>
      </c>
      <c r="P401" s="19">
        <f>Tabuľka4[[#This Row],[Zisk]]/Tabuľka4[[#This Row],[Trzba]]</f>
        <v>0.27719074726664861</v>
      </c>
      <c r="Q401">
        <v>2026</v>
      </c>
      <c r="R401" t="str">
        <f>TEXT(Tabuľka4[[#This Row],[Datum]],"MMMM")</f>
        <v>február</v>
      </c>
    </row>
    <row r="402" spans="1:18" x14ac:dyDescent="0.3">
      <c r="A402" s="2">
        <v>45435</v>
      </c>
      <c r="B402" t="s">
        <v>686</v>
      </c>
      <c r="C402" t="s">
        <v>687</v>
      </c>
      <c r="D402" t="s">
        <v>20</v>
      </c>
      <c r="E402" t="s">
        <v>0</v>
      </c>
      <c r="F402" t="s">
        <v>43</v>
      </c>
      <c r="G402" t="s">
        <v>188</v>
      </c>
      <c r="H402" t="s">
        <v>688</v>
      </c>
      <c r="I402" t="s">
        <v>33</v>
      </c>
      <c r="J402">
        <v>4</v>
      </c>
      <c r="K402">
        <v>750</v>
      </c>
      <c r="L402">
        <v>0.02</v>
      </c>
      <c r="M402">
        <v>3000</v>
      </c>
      <c r="N402">
        <v>2310.12</v>
      </c>
      <c r="O402">
        <v>689.88000000000011</v>
      </c>
      <c r="P402" s="19">
        <f>Tabuľka4[[#This Row],[Zisk]]/Tabuľka4[[#This Row],[Trzba]]</f>
        <v>0.22996000000000003</v>
      </c>
      <c r="Q402">
        <v>2024</v>
      </c>
      <c r="R402" t="str">
        <f>TEXT(Tabuľka4[[#This Row],[Datum]],"MMMM")</f>
        <v>máj</v>
      </c>
    </row>
    <row r="403" spans="1:18" x14ac:dyDescent="0.3">
      <c r="A403" s="2">
        <v>45525</v>
      </c>
      <c r="B403" t="s">
        <v>689</v>
      </c>
      <c r="C403" t="s">
        <v>176</v>
      </c>
      <c r="D403" t="s">
        <v>20</v>
      </c>
      <c r="E403" t="s">
        <v>68</v>
      </c>
      <c r="F403" t="s">
        <v>43</v>
      </c>
      <c r="G403" t="s">
        <v>188</v>
      </c>
      <c r="H403" t="s">
        <v>688</v>
      </c>
      <c r="I403" t="s">
        <v>46</v>
      </c>
      <c r="J403">
        <v>3</v>
      </c>
      <c r="K403">
        <v>1272</v>
      </c>
      <c r="L403">
        <v>0.05</v>
      </c>
      <c r="M403">
        <v>3816</v>
      </c>
      <c r="N403">
        <v>2705.45</v>
      </c>
      <c r="O403">
        <v>1110.5500000000002</v>
      </c>
      <c r="P403" s="19">
        <f>Tabuľka4[[#This Row],[Zisk]]/Tabuľka4[[#This Row],[Trzba]]</f>
        <v>0.29102463312368976</v>
      </c>
      <c r="Q403">
        <v>2024</v>
      </c>
      <c r="R403" t="str">
        <f>TEXT(Tabuľka4[[#This Row],[Datum]],"MMMM")</f>
        <v>august</v>
      </c>
    </row>
    <row r="404" spans="1:18" x14ac:dyDescent="0.3">
      <c r="A404" s="2">
        <v>45614</v>
      </c>
      <c r="B404" t="s">
        <v>690</v>
      </c>
      <c r="C404" t="s">
        <v>292</v>
      </c>
      <c r="D404" t="s">
        <v>20</v>
      </c>
      <c r="E404" t="s">
        <v>21</v>
      </c>
      <c r="F404" t="s">
        <v>22</v>
      </c>
      <c r="G404" t="s">
        <v>188</v>
      </c>
      <c r="H404" t="s">
        <v>688</v>
      </c>
      <c r="I404" t="s">
        <v>88</v>
      </c>
      <c r="J404">
        <v>1</v>
      </c>
      <c r="K404">
        <v>1423</v>
      </c>
      <c r="L404">
        <v>0.16</v>
      </c>
      <c r="M404">
        <v>1423</v>
      </c>
      <c r="N404">
        <v>831.36</v>
      </c>
      <c r="O404">
        <v>591.64</v>
      </c>
      <c r="P404" s="19">
        <f>Tabuľka4[[#This Row],[Zisk]]/Tabuľka4[[#This Row],[Trzba]]</f>
        <v>0.41576950105411103</v>
      </c>
      <c r="Q404">
        <v>2024</v>
      </c>
      <c r="R404" t="str">
        <f>TEXT(Tabuľka4[[#This Row],[Datum]],"MMMM")</f>
        <v>november</v>
      </c>
    </row>
    <row r="405" spans="1:18" x14ac:dyDescent="0.3">
      <c r="A405" s="2">
        <v>45632</v>
      </c>
      <c r="B405" t="s">
        <v>691</v>
      </c>
      <c r="C405" t="s">
        <v>57</v>
      </c>
      <c r="D405" t="s">
        <v>49</v>
      </c>
      <c r="E405" t="s">
        <v>0</v>
      </c>
      <c r="F405" t="s">
        <v>58</v>
      </c>
      <c r="G405" t="s">
        <v>188</v>
      </c>
      <c r="H405" t="s">
        <v>688</v>
      </c>
      <c r="I405" t="s">
        <v>63</v>
      </c>
      <c r="J405">
        <v>14</v>
      </c>
      <c r="K405">
        <v>1364</v>
      </c>
      <c r="L405">
        <v>0.09</v>
      </c>
      <c r="M405">
        <v>19096</v>
      </c>
      <c r="N405">
        <v>10908.56</v>
      </c>
      <c r="O405">
        <v>8187.4400000000005</v>
      </c>
      <c r="P405" s="19">
        <f>Tabuľka4[[#This Row],[Zisk]]/Tabuľka4[[#This Row],[Trzba]]</f>
        <v>0.42875157100963557</v>
      </c>
      <c r="Q405">
        <v>2024</v>
      </c>
      <c r="R405" t="str">
        <f>TEXT(Tabuľka4[[#This Row],[Datum]],"MMMM")</f>
        <v>december</v>
      </c>
    </row>
    <row r="406" spans="1:18" x14ac:dyDescent="0.3">
      <c r="A406" s="2">
        <v>45653</v>
      </c>
      <c r="B406" t="s">
        <v>692</v>
      </c>
      <c r="C406" t="s">
        <v>693</v>
      </c>
      <c r="D406" t="s">
        <v>20</v>
      </c>
      <c r="E406" t="s">
        <v>68</v>
      </c>
      <c r="F406" t="s">
        <v>22</v>
      </c>
      <c r="G406" t="s">
        <v>188</v>
      </c>
      <c r="H406" t="s">
        <v>688</v>
      </c>
      <c r="I406" t="s">
        <v>51</v>
      </c>
      <c r="J406">
        <v>4</v>
      </c>
      <c r="K406">
        <v>1066</v>
      </c>
      <c r="L406">
        <v>0.06</v>
      </c>
      <c r="M406">
        <v>4264</v>
      </c>
      <c r="N406">
        <v>2872.27</v>
      </c>
      <c r="O406">
        <v>1391.73</v>
      </c>
      <c r="P406" s="19">
        <f>Tabuľka4[[#This Row],[Zisk]]/Tabuľka4[[#This Row],[Trzba]]</f>
        <v>0.32639071294559102</v>
      </c>
      <c r="Q406">
        <v>2024</v>
      </c>
      <c r="R406" t="str">
        <f>TEXT(Tabuľka4[[#This Row],[Datum]],"MMMM")</f>
        <v>december</v>
      </c>
    </row>
    <row r="407" spans="1:18" x14ac:dyDescent="0.3">
      <c r="A407" s="2">
        <v>45673</v>
      </c>
      <c r="B407" t="s">
        <v>694</v>
      </c>
      <c r="C407" t="s">
        <v>695</v>
      </c>
      <c r="D407" t="s">
        <v>20</v>
      </c>
      <c r="E407" t="s">
        <v>0</v>
      </c>
      <c r="F407" t="s">
        <v>22</v>
      </c>
      <c r="G407" t="s">
        <v>188</v>
      </c>
      <c r="H407" t="s">
        <v>688</v>
      </c>
      <c r="I407" t="s">
        <v>38</v>
      </c>
      <c r="J407">
        <v>2</v>
      </c>
      <c r="K407">
        <v>903</v>
      </c>
      <c r="L407">
        <v>0.14000000000000001</v>
      </c>
      <c r="M407">
        <v>1806</v>
      </c>
      <c r="N407">
        <v>933.77</v>
      </c>
      <c r="O407">
        <v>872.23</v>
      </c>
      <c r="P407" s="19">
        <f>Tabuľka4[[#This Row],[Zisk]]/Tabuľka4[[#This Row],[Trzba]]</f>
        <v>0.48296234772978958</v>
      </c>
      <c r="Q407">
        <v>2025</v>
      </c>
      <c r="R407" t="str">
        <f>TEXT(Tabuľka4[[#This Row],[Datum]],"MMMM")</f>
        <v>január</v>
      </c>
    </row>
    <row r="408" spans="1:18" x14ac:dyDescent="0.3">
      <c r="A408" s="2">
        <v>45756</v>
      </c>
      <c r="B408" t="s">
        <v>696</v>
      </c>
      <c r="C408" t="s">
        <v>132</v>
      </c>
      <c r="D408" t="s">
        <v>49</v>
      </c>
      <c r="E408" t="s">
        <v>21</v>
      </c>
      <c r="F408" t="s">
        <v>58</v>
      </c>
      <c r="G408" t="s">
        <v>188</v>
      </c>
      <c r="H408" t="s">
        <v>688</v>
      </c>
      <c r="I408" t="s">
        <v>38</v>
      </c>
      <c r="J408">
        <v>9</v>
      </c>
      <c r="K408">
        <v>1092</v>
      </c>
      <c r="L408">
        <v>7.0000000000000007E-2</v>
      </c>
      <c r="M408">
        <v>9828</v>
      </c>
      <c r="N408">
        <v>5672.05</v>
      </c>
      <c r="O408">
        <v>4155.95</v>
      </c>
      <c r="P408" s="19">
        <f>Tabuľka4[[#This Row],[Zisk]]/Tabuľka4[[#This Row],[Trzba]]</f>
        <v>0.42286833536833535</v>
      </c>
      <c r="Q408">
        <v>2025</v>
      </c>
      <c r="R408" t="str">
        <f>TEXT(Tabuľka4[[#This Row],[Datum]],"MMMM")</f>
        <v>apríl</v>
      </c>
    </row>
    <row r="409" spans="1:18" x14ac:dyDescent="0.3">
      <c r="A409" s="2">
        <v>45786</v>
      </c>
      <c r="B409" t="s">
        <v>697</v>
      </c>
      <c r="C409" t="s">
        <v>235</v>
      </c>
      <c r="D409" t="s">
        <v>49</v>
      </c>
      <c r="E409" t="s">
        <v>21</v>
      </c>
      <c r="F409" t="s">
        <v>58</v>
      </c>
      <c r="G409" t="s">
        <v>188</v>
      </c>
      <c r="H409" t="s">
        <v>688</v>
      </c>
      <c r="I409" t="s">
        <v>63</v>
      </c>
      <c r="J409">
        <v>9</v>
      </c>
      <c r="K409">
        <v>944</v>
      </c>
      <c r="L409">
        <v>0.08</v>
      </c>
      <c r="M409">
        <v>8496</v>
      </c>
      <c r="N409">
        <v>5299.28</v>
      </c>
      <c r="O409">
        <v>3196.7200000000003</v>
      </c>
      <c r="P409" s="19">
        <f>Tabuľka4[[#This Row],[Zisk]]/Tabuľka4[[#This Row],[Trzba]]</f>
        <v>0.3762617702448211</v>
      </c>
      <c r="Q409">
        <v>2025</v>
      </c>
      <c r="R409" t="str">
        <f>TEXT(Tabuľka4[[#This Row],[Datum]],"MMMM")</f>
        <v>máj</v>
      </c>
    </row>
    <row r="410" spans="1:18" x14ac:dyDescent="0.3">
      <c r="A410" s="2">
        <v>45860</v>
      </c>
      <c r="B410" t="s">
        <v>698</v>
      </c>
      <c r="C410" t="s">
        <v>699</v>
      </c>
      <c r="D410" t="s">
        <v>20</v>
      </c>
      <c r="E410" t="s">
        <v>21</v>
      </c>
      <c r="F410" t="s">
        <v>22</v>
      </c>
      <c r="G410" t="s">
        <v>188</v>
      </c>
      <c r="H410" t="s">
        <v>688</v>
      </c>
      <c r="I410" t="s">
        <v>30</v>
      </c>
      <c r="J410">
        <v>3</v>
      </c>
      <c r="K410">
        <v>1184</v>
      </c>
      <c r="L410">
        <v>0.13</v>
      </c>
      <c r="M410">
        <v>3552</v>
      </c>
      <c r="N410">
        <v>2467.4</v>
      </c>
      <c r="O410">
        <v>1084.5999999999999</v>
      </c>
      <c r="P410" s="19">
        <f>Tabuľka4[[#This Row],[Zisk]]/Tabuľka4[[#This Row],[Trzba]]</f>
        <v>0.30534909909909907</v>
      </c>
      <c r="Q410">
        <v>2025</v>
      </c>
      <c r="R410" t="str">
        <f>TEXT(Tabuľka4[[#This Row],[Datum]],"MMMM")</f>
        <v>júl</v>
      </c>
    </row>
    <row r="411" spans="1:18" x14ac:dyDescent="0.3">
      <c r="A411" s="2">
        <v>45884</v>
      </c>
      <c r="B411" t="s">
        <v>700</v>
      </c>
      <c r="C411" t="s">
        <v>701</v>
      </c>
      <c r="D411" t="s">
        <v>20</v>
      </c>
      <c r="E411" t="s">
        <v>21</v>
      </c>
      <c r="F411" t="s">
        <v>22</v>
      </c>
      <c r="G411" t="s">
        <v>188</v>
      </c>
      <c r="H411" t="s">
        <v>688</v>
      </c>
      <c r="I411" t="s">
        <v>33</v>
      </c>
      <c r="J411">
        <v>3</v>
      </c>
      <c r="K411">
        <v>1056</v>
      </c>
      <c r="L411">
        <v>0.08</v>
      </c>
      <c r="M411">
        <v>3168</v>
      </c>
      <c r="N411">
        <v>2308.0500000000002</v>
      </c>
      <c r="O411">
        <v>859.94999999999982</v>
      </c>
      <c r="P411" s="19">
        <f>Tabuľka4[[#This Row],[Zisk]]/Tabuľka4[[#This Row],[Trzba]]</f>
        <v>0.27144886363636356</v>
      </c>
      <c r="Q411">
        <v>2025</v>
      </c>
      <c r="R411" t="str">
        <f>TEXT(Tabuľka4[[#This Row],[Datum]],"MMMM")</f>
        <v>august</v>
      </c>
    </row>
    <row r="412" spans="1:18" x14ac:dyDescent="0.3">
      <c r="A412" s="2">
        <v>46003</v>
      </c>
      <c r="B412" t="s">
        <v>702</v>
      </c>
      <c r="C412" t="s">
        <v>703</v>
      </c>
      <c r="D412" t="s">
        <v>20</v>
      </c>
      <c r="E412" t="s">
        <v>0</v>
      </c>
      <c r="F412" t="s">
        <v>43</v>
      </c>
      <c r="G412" t="s">
        <v>188</v>
      </c>
      <c r="H412" t="s">
        <v>688</v>
      </c>
      <c r="I412" t="s">
        <v>46</v>
      </c>
      <c r="J412">
        <v>1</v>
      </c>
      <c r="K412">
        <v>944</v>
      </c>
      <c r="L412">
        <v>0.11</v>
      </c>
      <c r="M412">
        <v>944</v>
      </c>
      <c r="N412">
        <v>531.38</v>
      </c>
      <c r="O412">
        <v>412.62</v>
      </c>
      <c r="P412" s="19">
        <f>Tabuľka4[[#This Row],[Zisk]]/Tabuľka4[[#This Row],[Trzba]]</f>
        <v>0.43709745762711866</v>
      </c>
      <c r="Q412">
        <v>2025</v>
      </c>
      <c r="R412" t="str">
        <f>TEXT(Tabuľka4[[#This Row],[Datum]],"MMMM")</f>
        <v>december</v>
      </c>
    </row>
    <row r="413" spans="1:18" x14ac:dyDescent="0.3">
      <c r="A413" s="2">
        <v>46009</v>
      </c>
      <c r="B413" t="s">
        <v>704</v>
      </c>
      <c r="C413" t="s">
        <v>705</v>
      </c>
      <c r="D413" t="s">
        <v>20</v>
      </c>
      <c r="E413" t="s">
        <v>68</v>
      </c>
      <c r="F413" t="s">
        <v>22</v>
      </c>
      <c r="G413" t="s">
        <v>188</v>
      </c>
      <c r="H413" t="s">
        <v>688</v>
      </c>
      <c r="I413" t="s">
        <v>51</v>
      </c>
      <c r="J413">
        <v>1</v>
      </c>
      <c r="K413">
        <v>1170</v>
      </c>
      <c r="L413">
        <v>0.25</v>
      </c>
      <c r="M413">
        <v>1170</v>
      </c>
      <c r="N413">
        <v>646.69000000000005</v>
      </c>
      <c r="O413">
        <v>523.30999999999995</v>
      </c>
      <c r="P413" s="19">
        <f>Tabuľka4[[#This Row],[Zisk]]/Tabuľka4[[#This Row],[Trzba]]</f>
        <v>0.44727350427350421</v>
      </c>
      <c r="Q413">
        <v>2025</v>
      </c>
      <c r="R413" t="str">
        <f>TEXT(Tabuľka4[[#This Row],[Datum]],"MMMM")</f>
        <v>december</v>
      </c>
    </row>
    <row r="414" spans="1:18" x14ac:dyDescent="0.3">
      <c r="A414" s="2">
        <v>46106</v>
      </c>
      <c r="B414" t="s">
        <v>706</v>
      </c>
      <c r="C414" t="s">
        <v>341</v>
      </c>
      <c r="D414" t="s">
        <v>20</v>
      </c>
      <c r="E414" t="s">
        <v>21</v>
      </c>
      <c r="F414" t="s">
        <v>58</v>
      </c>
      <c r="G414" t="s">
        <v>188</v>
      </c>
      <c r="H414" t="s">
        <v>688</v>
      </c>
      <c r="I414" t="s">
        <v>51</v>
      </c>
      <c r="J414">
        <v>2</v>
      </c>
      <c r="K414">
        <v>871</v>
      </c>
      <c r="L414">
        <v>0.06</v>
      </c>
      <c r="M414">
        <v>1742</v>
      </c>
      <c r="N414">
        <v>1177.33</v>
      </c>
      <c r="O414">
        <v>564.67000000000007</v>
      </c>
      <c r="P414" s="19">
        <f>Tabuľka4[[#This Row],[Zisk]]/Tabuľka4[[#This Row],[Trzba]]</f>
        <v>0.32415040183696903</v>
      </c>
      <c r="Q414">
        <v>2026</v>
      </c>
      <c r="R414" t="str">
        <f>TEXT(Tabuľka4[[#This Row],[Datum]],"MMMM")</f>
        <v>marec</v>
      </c>
    </row>
    <row r="415" spans="1:18" x14ac:dyDescent="0.3">
      <c r="A415" s="2">
        <v>46162</v>
      </c>
      <c r="B415" t="s">
        <v>707</v>
      </c>
      <c r="C415" t="s">
        <v>57</v>
      </c>
      <c r="D415" t="s">
        <v>49</v>
      </c>
      <c r="E415" t="s">
        <v>0</v>
      </c>
      <c r="F415" t="s">
        <v>58</v>
      </c>
      <c r="G415" t="s">
        <v>188</v>
      </c>
      <c r="H415" t="s">
        <v>688</v>
      </c>
      <c r="I415" t="s">
        <v>63</v>
      </c>
      <c r="J415">
        <v>9</v>
      </c>
      <c r="K415">
        <v>1222</v>
      </c>
      <c r="L415">
        <v>0</v>
      </c>
      <c r="M415">
        <v>10998</v>
      </c>
      <c r="N415">
        <v>5656.21</v>
      </c>
      <c r="O415">
        <v>5341.79</v>
      </c>
      <c r="P415" s="19">
        <f>Tabuľka4[[#This Row],[Zisk]]/Tabuľka4[[#This Row],[Trzba]]</f>
        <v>0.48570558283324239</v>
      </c>
      <c r="Q415">
        <v>2026</v>
      </c>
      <c r="R415" t="str">
        <f>TEXT(Tabuľka4[[#This Row],[Datum]],"MMMM")</f>
        <v>máj</v>
      </c>
    </row>
    <row r="416" spans="1:18" x14ac:dyDescent="0.3">
      <c r="A416" s="2">
        <v>45300</v>
      </c>
      <c r="B416" t="s">
        <v>708</v>
      </c>
      <c r="C416" t="s">
        <v>37</v>
      </c>
      <c r="D416" t="s">
        <v>20</v>
      </c>
      <c r="E416" t="s">
        <v>50</v>
      </c>
      <c r="F416" t="s">
        <v>22</v>
      </c>
      <c r="G416" t="s">
        <v>86</v>
      </c>
      <c r="H416" t="s">
        <v>709</v>
      </c>
      <c r="I416" t="s">
        <v>30</v>
      </c>
      <c r="J416">
        <v>5</v>
      </c>
      <c r="K416">
        <v>4067</v>
      </c>
      <c r="L416">
        <v>0.19</v>
      </c>
      <c r="M416">
        <v>20335</v>
      </c>
      <c r="N416">
        <v>10861.68</v>
      </c>
      <c r="O416">
        <v>9473.32</v>
      </c>
      <c r="P416" s="19">
        <f>Tabuľka4[[#This Row],[Zisk]]/Tabuľka4[[#This Row],[Trzba]]</f>
        <v>0.46586279813130071</v>
      </c>
      <c r="Q416">
        <v>2024</v>
      </c>
      <c r="R416" t="str">
        <f>TEXT(Tabuľka4[[#This Row],[Datum]],"MMMM")</f>
        <v>január</v>
      </c>
    </row>
    <row r="417" spans="1:18" x14ac:dyDescent="0.3">
      <c r="A417" s="2">
        <v>45341</v>
      </c>
      <c r="B417" t="s">
        <v>710</v>
      </c>
      <c r="C417" t="s">
        <v>261</v>
      </c>
      <c r="D417" t="s">
        <v>20</v>
      </c>
      <c r="E417" t="s">
        <v>21</v>
      </c>
      <c r="F417" t="s">
        <v>22</v>
      </c>
      <c r="G417" t="s">
        <v>86</v>
      </c>
      <c r="H417" t="s">
        <v>709</v>
      </c>
      <c r="I417" t="s">
        <v>46</v>
      </c>
      <c r="J417">
        <v>2</v>
      </c>
      <c r="K417">
        <v>5281</v>
      </c>
      <c r="L417">
        <v>0.05</v>
      </c>
      <c r="M417">
        <v>10562</v>
      </c>
      <c r="N417">
        <v>6836.96</v>
      </c>
      <c r="O417">
        <v>3725.04</v>
      </c>
      <c r="P417" s="19">
        <f>Tabuľka4[[#This Row],[Zisk]]/Tabuľka4[[#This Row],[Trzba]]</f>
        <v>0.35268320393864799</v>
      </c>
      <c r="Q417">
        <v>2024</v>
      </c>
      <c r="R417" t="str">
        <f>TEXT(Tabuľka4[[#This Row],[Datum]],"MMMM")</f>
        <v>február</v>
      </c>
    </row>
    <row r="418" spans="1:18" x14ac:dyDescent="0.3">
      <c r="A418" s="2">
        <v>45372</v>
      </c>
      <c r="B418" t="s">
        <v>711</v>
      </c>
      <c r="C418" t="s">
        <v>712</v>
      </c>
      <c r="D418" t="s">
        <v>20</v>
      </c>
      <c r="E418" t="s">
        <v>68</v>
      </c>
      <c r="F418" t="s">
        <v>22</v>
      </c>
      <c r="G418" t="s">
        <v>86</v>
      </c>
      <c r="H418" t="s">
        <v>709</v>
      </c>
      <c r="I418" t="s">
        <v>88</v>
      </c>
      <c r="J418">
        <v>1</v>
      </c>
      <c r="K418">
        <v>5123</v>
      </c>
      <c r="L418">
        <v>0.19</v>
      </c>
      <c r="M418">
        <v>5123</v>
      </c>
      <c r="N418">
        <v>2578.48</v>
      </c>
      <c r="O418">
        <v>2544.52</v>
      </c>
      <c r="P418" s="19">
        <f>Tabuľka4[[#This Row],[Zisk]]/Tabuľka4[[#This Row],[Trzba]]</f>
        <v>0.49668553581885616</v>
      </c>
      <c r="Q418">
        <v>2024</v>
      </c>
      <c r="R418" t="str">
        <f>TEXT(Tabuľka4[[#This Row],[Datum]],"MMMM")</f>
        <v>marec</v>
      </c>
    </row>
    <row r="419" spans="1:18" x14ac:dyDescent="0.3">
      <c r="A419" s="2">
        <v>45395</v>
      </c>
      <c r="B419" t="s">
        <v>713</v>
      </c>
      <c r="C419" t="s">
        <v>703</v>
      </c>
      <c r="D419" t="s">
        <v>20</v>
      </c>
      <c r="E419" t="s">
        <v>21</v>
      </c>
      <c r="F419" t="s">
        <v>43</v>
      </c>
      <c r="G419" t="s">
        <v>86</v>
      </c>
      <c r="H419" t="s">
        <v>709</v>
      </c>
      <c r="I419" t="s">
        <v>38</v>
      </c>
      <c r="J419">
        <v>4</v>
      </c>
      <c r="K419">
        <v>5331</v>
      </c>
      <c r="L419">
        <v>0.03</v>
      </c>
      <c r="M419">
        <v>21324</v>
      </c>
      <c r="N419">
        <v>13720.59</v>
      </c>
      <c r="O419">
        <v>7603.41</v>
      </c>
      <c r="P419" s="19">
        <f>Tabuľka4[[#This Row],[Zisk]]/Tabuľka4[[#This Row],[Trzba]]</f>
        <v>0.35656584130557117</v>
      </c>
      <c r="Q419">
        <v>2024</v>
      </c>
      <c r="R419" t="str">
        <f>TEXT(Tabuľka4[[#This Row],[Datum]],"MMMM")</f>
        <v>apríl</v>
      </c>
    </row>
    <row r="420" spans="1:18" x14ac:dyDescent="0.3">
      <c r="A420" s="2">
        <v>45467</v>
      </c>
      <c r="B420" t="s">
        <v>714</v>
      </c>
      <c r="C420" t="s">
        <v>90</v>
      </c>
      <c r="D420" t="s">
        <v>20</v>
      </c>
      <c r="E420" t="s">
        <v>21</v>
      </c>
      <c r="F420" t="s">
        <v>43</v>
      </c>
      <c r="G420" t="s">
        <v>86</v>
      </c>
      <c r="H420" t="s">
        <v>709</v>
      </c>
      <c r="I420" t="s">
        <v>25</v>
      </c>
      <c r="J420">
        <v>5</v>
      </c>
      <c r="K420">
        <v>3260</v>
      </c>
      <c r="L420">
        <v>0.05</v>
      </c>
      <c r="M420">
        <v>16300</v>
      </c>
      <c r="N420">
        <v>12136.26</v>
      </c>
      <c r="O420">
        <v>4163.74</v>
      </c>
      <c r="P420" s="19">
        <f>Tabuľka4[[#This Row],[Zisk]]/Tabuľka4[[#This Row],[Trzba]]</f>
        <v>0.25544417177914108</v>
      </c>
      <c r="Q420">
        <v>2024</v>
      </c>
      <c r="R420" t="str">
        <f>TEXT(Tabuľka4[[#This Row],[Datum]],"MMMM")</f>
        <v>jún</v>
      </c>
    </row>
    <row r="421" spans="1:18" x14ac:dyDescent="0.3">
      <c r="A421" s="2">
        <v>45488</v>
      </c>
      <c r="B421" t="s">
        <v>715</v>
      </c>
      <c r="C421" t="s">
        <v>74</v>
      </c>
      <c r="D421" t="s">
        <v>49</v>
      </c>
      <c r="E421" t="s">
        <v>68</v>
      </c>
      <c r="F421" t="s">
        <v>58</v>
      </c>
      <c r="G421" t="s">
        <v>86</v>
      </c>
      <c r="H421" t="s">
        <v>709</v>
      </c>
      <c r="I421" t="s">
        <v>38</v>
      </c>
      <c r="J421">
        <v>11</v>
      </c>
      <c r="K421">
        <v>6031</v>
      </c>
      <c r="L421">
        <v>7.0000000000000007E-2</v>
      </c>
      <c r="M421">
        <v>66341</v>
      </c>
      <c r="N421">
        <v>49583.16</v>
      </c>
      <c r="O421">
        <v>16757.839999999997</v>
      </c>
      <c r="P421" s="19">
        <f>Tabuľka4[[#This Row],[Zisk]]/Tabuľka4[[#This Row],[Trzba]]</f>
        <v>0.25260155861382849</v>
      </c>
      <c r="Q421">
        <v>2024</v>
      </c>
      <c r="R421" t="str">
        <f>TEXT(Tabuľka4[[#This Row],[Datum]],"MMMM")</f>
        <v>júl</v>
      </c>
    </row>
    <row r="422" spans="1:18" x14ac:dyDescent="0.3">
      <c r="A422" s="2">
        <v>45504</v>
      </c>
      <c r="B422" t="s">
        <v>716</v>
      </c>
      <c r="C422" t="s">
        <v>717</v>
      </c>
      <c r="D422" t="s">
        <v>20</v>
      </c>
      <c r="E422" t="s">
        <v>21</v>
      </c>
      <c r="F422" t="s">
        <v>22</v>
      </c>
      <c r="G422" t="s">
        <v>86</v>
      </c>
      <c r="H422" t="s">
        <v>709</v>
      </c>
      <c r="I422" t="s">
        <v>38</v>
      </c>
      <c r="J422">
        <v>2</v>
      </c>
      <c r="K422">
        <v>4827</v>
      </c>
      <c r="L422">
        <v>0.01</v>
      </c>
      <c r="M422">
        <v>9654</v>
      </c>
      <c r="N422">
        <v>6572.32</v>
      </c>
      <c r="O422">
        <v>3081.6800000000003</v>
      </c>
      <c r="P422" s="19">
        <f>Tabuľka4[[#This Row],[Zisk]]/Tabuľka4[[#This Row],[Trzba]]</f>
        <v>0.31921276154961675</v>
      </c>
      <c r="Q422">
        <v>2024</v>
      </c>
      <c r="R422" t="str">
        <f>TEXT(Tabuľka4[[#This Row],[Datum]],"MMMM")</f>
        <v>júl</v>
      </c>
    </row>
    <row r="423" spans="1:18" x14ac:dyDescent="0.3">
      <c r="A423" s="2">
        <v>45556</v>
      </c>
      <c r="B423" t="s">
        <v>718</v>
      </c>
      <c r="C423" t="s">
        <v>124</v>
      </c>
      <c r="D423" t="s">
        <v>49</v>
      </c>
      <c r="E423" t="s">
        <v>21</v>
      </c>
      <c r="F423" t="s">
        <v>22</v>
      </c>
      <c r="G423" t="s">
        <v>86</v>
      </c>
      <c r="H423" t="s">
        <v>709</v>
      </c>
      <c r="I423" t="s">
        <v>51</v>
      </c>
      <c r="J423">
        <v>9</v>
      </c>
      <c r="K423">
        <v>4376</v>
      </c>
      <c r="L423">
        <v>0</v>
      </c>
      <c r="M423">
        <v>39384</v>
      </c>
      <c r="N423">
        <v>30586.02</v>
      </c>
      <c r="O423">
        <v>8797.98</v>
      </c>
      <c r="P423" s="19">
        <f>Tabuľka4[[#This Row],[Zisk]]/Tabuľka4[[#This Row],[Trzba]]</f>
        <v>0.2233897014015844</v>
      </c>
      <c r="Q423">
        <v>2024</v>
      </c>
      <c r="R423" t="str">
        <f>TEXT(Tabuľka4[[#This Row],[Datum]],"MMMM")</f>
        <v>september</v>
      </c>
    </row>
    <row r="424" spans="1:18" x14ac:dyDescent="0.3">
      <c r="A424" s="2">
        <v>45572</v>
      </c>
      <c r="B424" t="s">
        <v>719</v>
      </c>
      <c r="C424" t="s">
        <v>48</v>
      </c>
      <c r="D424" t="s">
        <v>49</v>
      </c>
      <c r="E424" t="s">
        <v>21</v>
      </c>
      <c r="F424" t="s">
        <v>43</v>
      </c>
      <c r="G424" t="s">
        <v>86</v>
      </c>
      <c r="H424" t="s">
        <v>709</v>
      </c>
      <c r="I424" t="s">
        <v>63</v>
      </c>
      <c r="J424">
        <v>9</v>
      </c>
      <c r="K424">
        <v>6373</v>
      </c>
      <c r="L424">
        <v>7.0000000000000007E-2</v>
      </c>
      <c r="M424">
        <v>57357</v>
      </c>
      <c r="N424">
        <v>38599.9</v>
      </c>
      <c r="O424">
        <v>18757.099999999999</v>
      </c>
      <c r="P424" s="19">
        <f>Tabuľka4[[#This Row],[Zisk]]/Tabuľka4[[#This Row],[Trzba]]</f>
        <v>0.32702372857715706</v>
      </c>
      <c r="Q424">
        <v>2024</v>
      </c>
      <c r="R424" t="str">
        <f>TEXT(Tabuľka4[[#This Row],[Datum]],"MMMM")</f>
        <v>október</v>
      </c>
    </row>
    <row r="425" spans="1:18" x14ac:dyDescent="0.3">
      <c r="A425" s="2">
        <v>45577</v>
      </c>
      <c r="B425" t="s">
        <v>720</v>
      </c>
      <c r="C425" t="s">
        <v>721</v>
      </c>
      <c r="D425" t="s">
        <v>20</v>
      </c>
      <c r="E425" t="s">
        <v>21</v>
      </c>
      <c r="F425" t="s">
        <v>43</v>
      </c>
      <c r="G425" t="s">
        <v>86</v>
      </c>
      <c r="H425" t="s">
        <v>709</v>
      </c>
      <c r="I425" t="s">
        <v>30</v>
      </c>
      <c r="J425">
        <v>2</v>
      </c>
      <c r="K425">
        <v>4031</v>
      </c>
      <c r="L425">
        <v>0</v>
      </c>
      <c r="M425">
        <v>8062</v>
      </c>
      <c r="N425">
        <v>5896.26</v>
      </c>
      <c r="O425">
        <v>2165.7399999999998</v>
      </c>
      <c r="P425" s="19">
        <f>Tabuľka4[[#This Row],[Zisk]]/Tabuľka4[[#This Row],[Trzba]]</f>
        <v>0.26863557429918133</v>
      </c>
      <c r="Q425">
        <v>2024</v>
      </c>
      <c r="R425" t="str">
        <f>TEXT(Tabuľka4[[#This Row],[Datum]],"MMMM")</f>
        <v>október</v>
      </c>
    </row>
    <row r="426" spans="1:18" x14ac:dyDescent="0.3">
      <c r="A426" s="2">
        <v>45595</v>
      </c>
      <c r="B426" t="s">
        <v>722</v>
      </c>
      <c r="C426" t="s">
        <v>147</v>
      </c>
      <c r="D426" t="s">
        <v>20</v>
      </c>
      <c r="E426" t="s">
        <v>21</v>
      </c>
      <c r="F426" t="s">
        <v>43</v>
      </c>
      <c r="G426" t="s">
        <v>86</v>
      </c>
      <c r="H426" t="s">
        <v>709</v>
      </c>
      <c r="I426" t="s">
        <v>88</v>
      </c>
      <c r="J426">
        <v>1</v>
      </c>
      <c r="K426">
        <v>4100</v>
      </c>
      <c r="L426">
        <v>0.11</v>
      </c>
      <c r="M426">
        <v>4100</v>
      </c>
      <c r="N426">
        <v>2745.83</v>
      </c>
      <c r="O426">
        <v>1354.17</v>
      </c>
      <c r="P426" s="19">
        <f>Tabuľka4[[#This Row],[Zisk]]/Tabuľka4[[#This Row],[Trzba]]</f>
        <v>0.33028536585365853</v>
      </c>
      <c r="Q426">
        <v>2024</v>
      </c>
      <c r="R426" t="str">
        <f>TEXT(Tabuľka4[[#This Row],[Datum]],"MMMM")</f>
        <v>október</v>
      </c>
    </row>
    <row r="427" spans="1:18" x14ac:dyDescent="0.3">
      <c r="A427" s="2">
        <v>45636</v>
      </c>
      <c r="B427" t="s">
        <v>723</v>
      </c>
      <c r="C427" t="s">
        <v>396</v>
      </c>
      <c r="D427" t="s">
        <v>20</v>
      </c>
      <c r="E427" t="s">
        <v>68</v>
      </c>
      <c r="F427" t="s">
        <v>22</v>
      </c>
      <c r="G427" t="s">
        <v>86</v>
      </c>
      <c r="H427" t="s">
        <v>709</v>
      </c>
      <c r="I427" t="s">
        <v>25</v>
      </c>
      <c r="J427">
        <v>2</v>
      </c>
      <c r="K427">
        <v>4974</v>
      </c>
      <c r="L427">
        <v>0.17</v>
      </c>
      <c r="M427">
        <v>9948</v>
      </c>
      <c r="N427">
        <v>5544.42</v>
      </c>
      <c r="O427">
        <v>4403.58</v>
      </c>
      <c r="P427" s="19">
        <f>Tabuľka4[[#This Row],[Zisk]]/Tabuľka4[[#This Row],[Trzba]]</f>
        <v>0.44265983112183355</v>
      </c>
      <c r="Q427">
        <v>2024</v>
      </c>
      <c r="R427" t="str">
        <f>TEXT(Tabuľka4[[#This Row],[Datum]],"MMMM")</f>
        <v>december</v>
      </c>
    </row>
    <row r="428" spans="1:18" x14ac:dyDescent="0.3">
      <c r="A428" s="2">
        <v>45645</v>
      </c>
      <c r="B428" t="s">
        <v>724</v>
      </c>
      <c r="C428" t="s">
        <v>725</v>
      </c>
      <c r="D428" t="s">
        <v>20</v>
      </c>
      <c r="E428" t="s">
        <v>0</v>
      </c>
      <c r="F428" t="s">
        <v>58</v>
      </c>
      <c r="G428" t="s">
        <v>86</v>
      </c>
      <c r="H428" t="s">
        <v>709</v>
      </c>
      <c r="I428" t="s">
        <v>63</v>
      </c>
      <c r="J428">
        <v>4</v>
      </c>
      <c r="K428">
        <v>5392</v>
      </c>
      <c r="L428">
        <v>0.2</v>
      </c>
      <c r="M428">
        <v>21568</v>
      </c>
      <c r="N428">
        <v>12039.3</v>
      </c>
      <c r="O428">
        <v>9528.7000000000007</v>
      </c>
      <c r="P428" s="19">
        <f>Tabuľka4[[#This Row],[Zisk]]/Tabuľka4[[#This Row],[Trzba]]</f>
        <v>0.44179803412462909</v>
      </c>
      <c r="Q428">
        <v>2024</v>
      </c>
      <c r="R428" t="str">
        <f>TEXT(Tabuľka4[[#This Row],[Datum]],"MMMM")</f>
        <v>december</v>
      </c>
    </row>
    <row r="429" spans="1:18" x14ac:dyDescent="0.3">
      <c r="A429" s="2">
        <v>45681</v>
      </c>
      <c r="B429" t="s">
        <v>726</v>
      </c>
      <c r="C429" t="s">
        <v>695</v>
      </c>
      <c r="D429" t="s">
        <v>20</v>
      </c>
      <c r="E429" t="s">
        <v>68</v>
      </c>
      <c r="F429" t="s">
        <v>22</v>
      </c>
      <c r="G429" t="s">
        <v>86</v>
      </c>
      <c r="H429" t="s">
        <v>709</v>
      </c>
      <c r="I429" t="s">
        <v>30</v>
      </c>
      <c r="J429">
        <v>3</v>
      </c>
      <c r="K429">
        <v>5037</v>
      </c>
      <c r="L429">
        <v>0.17</v>
      </c>
      <c r="M429">
        <v>15111</v>
      </c>
      <c r="N429">
        <v>10540.7</v>
      </c>
      <c r="O429">
        <v>4570.2999999999993</v>
      </c>
      <c r="P429" s="19">
        <f>Tabuľka4[[#This Row],[Zisk]]/Tabuľka4[[#This Row],[Trzba]]</f>
        <v>0.30244854741578975</v>
      </c>
      <c r="Q429">
        <v>2025</v>
      </c>
      <c r="R429" t="str">
        <f>TEXT(Tabuľka4[[#This Row],[Datum]],"MMMM")</f>
        <v>január</v>
      </c>
    </row>
    <row r="430" spans="1:18" x14ac:dyDescent="0.3">
      <c r="A430" s="2">
        <v>45707</v>
      </c>
      <c r="B430" t="s">
        <v>727</v>
      </c>
      <c r="C430" t="s">
        <v>728</v>
      </c>
      <c r="D430" t="s">
        <v>20</v>
      </c>
      <c r="E430" t="s">
        <v>21</v>
      </c>
      <c r="F430" t="s">
        <v>43</v>
      </c>
      <c r="G430" t="s">
        <v>86</v>
      </c>
      <c r="H430" t="s">
        <v>709</v>
      </c>
      <c r="I430" t="s">
        <v>51</v>
      </c>
      <c r="J430">
        <v>6</v>
      </c>
      <c r="K430">
        <v>3509</v>
      </c>
      <c r="L430">
        <v>0.01</v>
      </c>
      <c r="M430">
        <v>21054</v>
      </c>
      <c r="N430">
        <v>16783.43</v>
      </c>
      <c r="O430">
        <v>4270.57</v>
      </c>
      <c r="P430" s="19">
        <f>Tabuľka4[[#This Row],[Zisk]]/Tabuľka4[[#This Row],[Trzba]]</f>
        <v>0.20283889047211931</v>
      </c>
      <c r="Q430">
        <v>2025</v>
      </c>
      <c r="R430" t="str">
        <f>TEXT(Tabuľka4[[#This Row],[Datum]],"MMMM")</f>
        <v>február</v>
      </c>
    </row>
    <row r="431" spans="1:18" x14ac:dyDescent="0.3">
      <c r="A431" s="2">
        <v>45754</v>
      </c>
      <c r="B431" t="s">
        <v>729</v>
      </c>
      <c r="C431" t="s">
        <v>730</v>
      </c>
      <c r="D431" t="s">
        <v>20</v>
      </c>
      <c r="E431" t="s">
        <v>0</v>
      </c>
      <c r="F431" t="s">
        <v>43</v>
      </c>
      <c r="G431" t="s">
        <v>86</v>
      </c>
      <c r="H431" t="s">
        <v>709</v>
      </c>
      <c r="I431" t="s">
        <v>33</v>
      </c>
      <c r="J431">
        <v>3</v>
      </c>
      <c r="K431">
        <v>4657</v>
      </c>
      <c r="L431">
        <v>0.01</v>
      </c>
      <c r="M431">
        <v>13971</v>
      </c>
      <c r="N431">
        <v>9646.83</v>
      </c>
      <c r="O431">
        <v>4324.17</v>
      </c>
      <c r="P431" s="19">
        <f>Tabuľka4[[#This Row],[Zisk]]/Tabuľka4[[#This Row],[Trzba]]</f>
        <v>0.30951041442989047</v>
      </c>
      <c r="Q431">
        <v>2025</v>
      </c>
      <c r="R431" t="str">
        <f>TEXT(Tabuľka4[[#This Row],[Datum]],"MMMM")</f>
        <v>apríl</v>
      </c>
    </row>
    <row r="432" spans="1:18" x14ac:dyDescent="0.3">
      <c r="A432" s="2">
        <v>45925</v>
      </c>
      <c r="B432" t="s">
        <v>731</v>
      </c>
      <c r="C432" t="s">
        <v>292</v>
      </c>
      <c r="D432" t="s">
        <v>20</v>
      </c>
      <c r="E432" t="s">
        <v>50</v>
      </c>
      <c r="F432" t="s">
        <v>22</v>
      </c>
      <c r="G432" t="s">
        <v>86</v>
      </c>
      <c r="H432" t="s">
        <v>709</v>
      </c>
      <c r="I432" t="s">
        <v>88</v>
      </c>
      <c r="J432">
        <v>3</v>
      </c>
      <c r="K432">
        <v>5490</v>
      </c>
      <c r="L432">
        <v>0.05</v>
      </c>
      <c r="M432">
        <v>16470</v>
      </c>
      <c r="N432">
        <v>10357.370000000001</v>
      </c>
      <c r="O432">
        <v>6112.6299999999992</v>
      </c>
      <c r="P432" s="19">
        <f>Tabuľka4[[#This Row],[Zisk]]/Tabuľka4[[#This Row],[Trzba]]</f>
        <v>0.37113721918639947</v>
      </c>
      <c r="Q432">
        <v>2025</v>
      </c>
      <c r="R432" t="str">
        <f>TEXT(Tabuľka4[[#This Row],[Datum]],"MMMM")</f>
        <v>september</v>
      </c>
    </row>
    <row r="433" spans="1:18" x14ac:dyDescent="0.3">
      <c r="A433" s="2">
        <v>45941</v>
      </c>
      <c r="B433" t="s">
        <v>732</v>
      </c>
      <c r="C433" t="s">
        <v>666</v>
      </c>
      <c r="D433" t="s">
        <v>20</v>
      </c>
      <c r="E433" t="s">
        <v>50</v>
      </c>
      <c r="F433" t="s">
        <v>43</v>
      </c>
      <c r="G433" t="s">
        <v>86</v>
      </c>
      <c r="H433" t="s">
        <v>709</v>
      </c>
      <c r="I433" t="s">
        <v>46</v>
      </c>
      <c r="J433">
        <v>3</v>
      </c>
      <c r="K433">
        <v>6077</v>
      </c>
      <c r="L433">
        <v>0.12</v>
      </c>
      <c r="M433">
        <v>18231</v>
      </c>
      <c r="N433">
        <v>11941.51</v>
      </c>
      <c r="O433">
        <v>6289.49</v>
      </c>
      <c r="P433" s="19">
        <f>Tabuľka4[[#This Row],[Zisk]]/Tabuľka4[[#This Row],[Trzba]]</f>
        <v>0.34498875541659807</v>
      </c>
      <c r="Q433">
        <v>2025</v>
      </c>
      <c r="R433" t="str">
        <f>TEXT(Tabuľka4[[#This Row],[Datum]],"MMMM")</f>
        <v>október</v>
      </c>
    </row>
    <row r="434" spans="1:18" x14ac:dyDescent="0.3">
      <c r="A434" s="2">
        <v>46025</v>
      </c>
      <c r="B434" t="s">
        <v>733</v>
      </c>
      <c r="C434" t="s">
        <v>593</v>
      </c>
      <c r="D434" t="s">
        <v>20</v>
      </c>
      <c r="E434" t="s">
        <v>21</v>
      </c>
      <c r="F434" t="s">
        <v>22</v>
      </c>
      <c r="G434" t="s">
        <v>86</v>
      </c>
      <c r="H434" t="s">
        <v>709</v>
      </c>
      <c r="I434" t="s">
        <v>46</v>
      </c>
      <c r="J434">
        <v>5</v>
      </c>
      <c r="K434">
        <v>7640</v>
      </c>
      <c r="L434">
        <v>0</v>
      </c>
      <c r="M434">
        <v>38200</v>
      </c>
      <c r="N434">
        <v>27559.93</v>
      </c>
      <c r="O434">
        <v>10640.07</v>
      </c>
      <c r="P434" s="19">
        <f>Tabuľka4[[#This Row],[Zisk]]/Tabuľka4[[#This Row],[Trzba]]</f>
        <v>0.27853586387434554</v>
      </c>
      <c r="Q434">
        <v>2026</v>
      </c>
      <c r="R434" t="str">
        <f>TEXT(Tabuľka4[[#This Row],[Datum]],"MMMM")</f>
        <v>január</v>
      </c>
    </row>
    <row r="435" spans="1:18" x14ac:dyDescent="0.3">
      <c r="A435" s="2">
        <v>46096</v>
      </c>
      <c r="B435" t="s">
        <v>734</v>
      </c>
      <c r="C435" t="s">
        <v>735</v>
      </c>
      <c r="D435" t="s">
        <v>20</v>
      </c>
      <c r="E435" t="s">
        <v>0</v>
      </c>
      <c r="F435" t="s">
        <v>58</v>
      </c>
      <c r="G435" t="s">
        <v>86</v>
      </c>
      <c r="H435" t="s">
        <v>709</v>
      </c>
      <c r="I435" t="s">
        <v>30</v>
      </c>
      <c r="J435">
        <v>3</v>
      </c>
      <c r="K435">
        <v>3714</v>
      </c>
      <c r="L435">
        <v>0.06</v>
      </c>
      <c r="M435">
        <v>11142</v>
      </c>
      <c r="N435">
        <v>6557.51</v>
      </c>
      <c r="O435">
        <v>4584.49</v>
      </c>
      <c r="P435" s="19">
        <f>Tabuľka4[[#This Row],[Zisk]]/Tabuľka4[[#This Row],[Trzba]]</f>
        <v>0.41146024053132291</v>
      </c>
      <c r="Q435">
        <v>2026</v>
      </c>
      <c r="R435" t="str">
        <f>TEXT(Tabuľka4[[#This Row],[Datum]],"MMMM")</f>
        <v>marec</v>
      </c>
    </row>
    <row r="436" spans="1:18" x14ac:dyDescent="0.3">
      <c r="A436" s="2">
        <v>46147</v>
      </c>
      <c r="B436" t="s">
        <v>736</v>
      </c>
      <c r="C436" t="s">
        <v>268</v>
      </c>
      <c r="D436" t="s">
        <v>20</v>
      </c>
      <c r="E436" t="s">
        <v>68</v>
      </c>
      <c r="F436" t="s">
        <v>43</v>
      </c>
      <c r="G436" t="s">
        <v>86</v>
      </c>
      <c r="H436" t="s">
        <v>709</v>
      </c>
      <c r="I436" t="s">
        <v>46</v>
      </c>
      <c r="J436">
        <v>2</v>
      </c>
      <c r="K436">
        <v>4444</v>
      </c>
      <c r="L436">
        <v>0.05</v>
      </c>
      <c r="M436">
        <v>8888</v>
      </c>
      <c r="N436">
        <v>6094.32</v>
      </c>
      <c r="O436">
        <v>2793.6800000000003</v>
      </c>
      <c r="P436" s="19">
        <f>Tabuľka4[[#This Row],[Zisk]]/Tabuľka4[[#This Row],[Trzba]]</f>
        <v>0.31432043204320437</v>
      </c>
      <c r="Q436">
        <v>2026</v>
      </c>
      <c r="R436" t="str">
        <f>TEXT(Tabuľka4[[#This Row],[Datum]],"MMMM")</f>
        <v>máj</v>
      </c>
    </row>
    <row r="437" spans="1:18" x14ac:dyDescent="0.3">
      <c r="A437" s="2">
        <v>45329</v>
      </c>
      <c r="B437" t="s">
        <v>737</v>
      </c>
      <c r="C437" t="s">
        <v>94</v>
      </c>
      <c r="D437" t="s">
        <v>20</v>
      </c>
      <c r="E437" t="s">
        <v>68</v>
      </c>
      <c r="F437" t="s">
        <v>22</v>
      </c>
      <c r="G437" t="s">
        <v>188</v>
      </c>
      <c r="H437" t="s">
        <v>738</v>
      </c>
      <c r="I437" t="s">
        <v>51</v>
      </c>
      <c r="J437">
        <v>2</v>
      </c>
      <c r="K437">
        <v>608</v>
      </c>
      <c r="L437">
        <v>0.08</v>
      </c>
      <c r="M437">
        <v>1216</v>
      </c>
      <c r="N437">
        <v>678.06</v>
      </c>
      <c r="O437">
        <v>537.94000000000005</v>
      </c>
      <c r="P437" s="19">
        <f>Tabuľka4[[#This Row],[Zisk]]/Tabuľka4[[#This Row],[Trzba]]</f>
        <v>0.44238486842105268</v>
      </c>
      <c r="Q437">
        <v>2024</v>
      </c>
      <c r="R437" t="str">
        <f>TEXT(Tabuľka4[[#This Row],[Datum]],"MMMM")</f>
        <v>február</v>
      </c>
    </row>
    <row r="438" spans="1:18" x14ac:dyDescent="0.3">
      <c r="A438" s="2">
        <v>45353</v>
      </c>
      <c r="B438" t="s">
        <v>739</v>
      </c>
      <c r="C438" t="s">
        <v>740</v>
      </c>
      <c r="D438" t="s">
        <v>20</v>
      </c>
      <c r="E438" t="s">
        <v>68</v>
      </c>
      <c r="F438" t="s">
        <v>22</v>
      </c>
      <c r="G438" t="s">
        <v>188</v>
      </c>
      <c r="H438" t="s">
        <v>738</v>
      </c>
      <c r="I438" t="s">
        <v>46</v>
      </c>
      <c r="J438">
        <v>2</v>
      </c>
      <c r="K438">
        <v>480</v>
      </c>
      <c r="L438">
        <v>0.1</v>
      </c>
      <c r="M438">
        <v>960</v>
      </c>
      <c r="N438">
        <v>701.87</v>
      </c>
      <c r="O438">
        <v>258.13</v>
      </c>
      <c r="P438" s="19">
        <f>Tabuľka4[[#This Row],[Zisk]]/Tabuľka4[[#This Row],[Trzba]]</f>
        <v>0.26888541666666665</v>
      </c>
      <c r="Q438">
        <v>2024</v>
      </c>
      <c r="R438" t="str">
        <f>TEXT(Tabuľka4[[#This Row],[Datum]],"MMMM")</f>
        <v>marec</v>
      </c>
    </row>
    <row r="439" spans="1:18" x14ac:dyDescent="0.3">
      <c r="A439" s="2">
        <v>45396</v>
      </c>
      <c r="B439" t="s">
        <v>741</v>
      </c>
      <c r="C439" t="s">
        <v>185</v>
      </c>
      <c r="D439" t="s">
        <v>49</v>
      </c>
      <c r="E439" t="s">
        <v>68</v>
      </c>
      <c r="F439" t="s">
        <v>22</v>
      </c>
      <c r="G439" t="s">
        <v>188</v>
      </c>
      <c r="H439" t="s">
        <v>738</v>
      </c>
      <c r="I439" t="s">
        <v>46</v>
      </c>
      <c r="J439">
        <v>10</v>
      </c>
      <c r="K439">
        <v>494</v>
      </c>
      <c r="L439">
        <v>0.03</v>
      </c>
      <c r="M439">
        <v>4940</v>
      </c>
      <c r="N439">
        <v>4219.71</v>
      </c>
      <c r="O439">
        <v>720.29</v>
      </c>
      <c r="P439" s="19">
        <f>Tabuľka4[[#This Row],[Zisk]]/Tabuľka4[[#This Row],[Trzba]]</f>
        <v>0.1458076923076923</v>
      </c>
      <c r="Q439">
        <v>2024</v>
      </c>
      <c r="R439" t="str">
        <f>TEXT(Tabuľka4[[#This Row],[Datum]],"MMMM")</f>
        <v>apríl</v>
      </c>
    </row>
    <row r="440" spans="1:18" x14ac:dyDescent="0.3">
      <c r="A440" s="2">
        <v>45449</v>
      </c>
      <c r="B440" t="s">
        <v>742</v>
      </c>
      <c r="C440" t="s">
        <v>743</v>
      </c>
      <c r="D440" t="s">
        <v>20</v>
      </c>
      <c r="E440" t="s">
        <v>0</v>
      </c>
      <c r="F440" t="s">
        <v>43</v>
      </c>
      <c r="G440" t="s">
        <v>188</v>
      </c>
      <c r="H440" t="s">
        <v>738</v>
      </c>
      <c r="I440" t="s">
        <v>38</v>
      </c>
      <c r="J440">
        <v>2</v>
      </c>
      <c r="K440">
        <v>546</v>
      </c>
      <c r="L440">
        <v>0.12</v>
      </c>
      <c r="M440">
        <v>1092</v>
      </c>
      <c r="N440">
        <v>681.04</v>
      </c>
      <c r="O440">
        <v>410.96000000000004</v>
      </c>
      <c r="P440" s="19">
        <f>Tabuľka4[[#This Row],[Zisk]]/Tabuľka4[[#This Row],[Trzba]]</f>
        <v>0.37633699633699635</v>
      </c>
      <c r="Q440">
        <v>2024</v>
      </c>
      <c r="R440" t="str">
        <f>TEXT(Tabuľka4[[#This Row],[Datum]],"MMMM")</f>
        <v>jún</v>
      </c>
    </row>
    <row r="441" spans="1:18" x14ac:dyDescent="0.3">
      <c r="A441" s="2">
        <v>45464</v>
      </c>
      <c r="B441" t="s">
        <v>744</v>
      </c>
      <c r="C441" t="s">
        <v>194</v>
      </c>
      <c r="D441" t="s">
        <v>20</v>
      </c>
      <c r="E441" t="s">
        <v>21</v>
      </c>
      <c r="F441" t="s">
        <v>43</v>
      </c>
      <c r="G441" t="s">
        <v>188</v>
      </c>
      <c r="H441" t="s">
        <v>738</v>
      </c>
      <c r="I441" t="s">
        <v>63</v>
      </c>
      <c r="J441">
        <v>1</v>
      </c>
      <c r="K441">
        <v>507</v>
      </c>
      <c r="L441">
        <v>0.13</v>
      </c>
      <c r="M441">
        <v>507</v>
      </c>
      <c r="N441">
        <v>362.29</v>
      </c>
      <c r="O441">
        <v>144.70999999999998</v>
      </c>
      <c r="P441" s="19">
        <f>Tabuľka4[[#This Row],[Zisk]]/Tabuľka4[[#This Row],[Trzba]]</f>
        <v>0.28542406311637075</v>
      </c>
      <c r="Q441">
        <v>2024</v>
      </c>
      <c r="R441" t="str">
        <f>TEXT(Tabuľka4[[#This Row],[Datum]],"MMMM")</f>
        <v>jún</v>
      </c>
    </row>
    <row r="442" spans="1:18" x14ac:dyDescent="0.3">
      <c r="A442" s="2">
        <v>45466</v>
      </c>
      <c r="B442" t="s">
        <v>745</v>
      </c>
      <c r="C442" t="s">
        <v>457</v>
      </c>
      <c r="D442" t="s">
        <v>20</v>
      </c>
      <c r="E442" t="s">
        <v>68</v>
      </c>
      <c r="F442" t="s">
        <v>43</v>
      </c>
      <c r="G442" t="s">
        <v>188</v>
      </c>
      <c r="H442" t="s">
        <v>738</v>
      </c>
      <c r="I442" t="s">
        <v>46</v>
      </c>
      <c r="J442">
        <v>3</v>
      </c>
      <c r="K442">
        <v>620</v>
      </c>
      <c r="L442">
        <v>7.0000000000000007E-2</v>
      </c>
      <c r="M442">
        <v>1860</v>
      </c>
      <c r="N442">
        <v>991.56</v>
      </c>
      <c r="O442">
        <v>868.44</v>
      </c>
      <c r="P442" s="19">
        <f>Tabuľka4[[#This Row],[Zisk]]/Tabuľka4[[#This Row],[Trzba]]</f>
        <v>0.46690322580645166</v>
      </c>
      <c r="Q442">
        <v>2024</v>
      </c>
      <c r="R442" t="str">
        <f>TEXT(Tabuľka4[[#This Row],[Datum]],"MMMM")</f>
        <v>jún</v>
      </c>
    </row>
    <row r="443" spans="1:18" x14ac:dyDescent="0.3">
      <c r="A443" s="2">
        <v>45467</v>
      </c>
      <c r="B443" t="s">
        <v>746</v>
      </c>
      <c r="C443" t="s">
        <v>48</v>
      </c>
      <c r="D443" t="s">
        <v>49</v>
      </c>
      <c r="E443" t="s">
        <v>50</v>
      </c>
      <c r="F443" t="s">
        <v>58</v>
      </c>
      <c r="G443" t="s">
        <v>188</v>
      </c>
      <c r="H443" t="s">
        <v>738</v>
      </c>
      <c r="I443" t="s">
        <v>46</v>
      </c>
      <c r="J443">
        <v>7</v>
      </c>
      <c r="K443">
        <v>755</v>
      </c>
      <c r="L443">
        <v>0.04</v>
      </c>
      <c r="M443">
        <v>5285</v>
      </c>
      <c r="N443">
        <v>3649.54</v>
      </c>
      <c r="O443">
        <v>1635.46</v>
      </c>
      <c r="P443" s="19">
        <f>Tabuľka4[[#This Row],[Zisk]]/Tabuľka4[[#This Row],[Trzba]]</f>
        <v>0.30945316934720907</v>
      </c>
      <c r="Q443">
        <v>2024</v>
      </c>
      <c r="R443" t="str">
        <f>TEXT(Tabuľka4[[#This Row],[Datum]],"MMMM")</f>
        <v>jún</v>
      </c>
    </row>
    <row r="444" spans="1:18" x14ac:dyDescent="0.3">
      <c r="A444" s="2">
        <v>45490</v>
      </c>
      <c r="B444" t="s">
        <v>747</v>
      </c>
      <c r="C444" t="s">
        <v>748</v>
      </c>
      <c r="D444" t="s">
        <v>20</v>
      </c>
      <c r="E444" t="s">
        <v>21</v>
      </c>
      <c r="F444" t="s">
        <v>22</v>
      </c>
      <c r="G444" t="s">
        <v>188</v>
      </c>
      <c r="H444" t="s">
        <v>738</v>
      </c>
      <c r="I444" t="s">
        <v>30</v>
      </c>
      <c r="J444">
        <v>1</v>
      </c>
      <c r="K444">
        <v>773</v>
      </c>
      <c r="L444">
        <v>0.09</v>
      </c>
      <c r="M444">
        <v>773</v>
      </c>
      <c r="N444">
        <v>454.96</v>
      </c>
      <c r="O444">
        <v>318.04000000000002</v>
      </c>
      <c r="P444" s="19">
        <f>Tabuľka4[[#This Row],[Zisk]]/Tabuľka4[[#This Row],[Trzba]]</f>
        <v>0.41143596377749031</v>
      </c>
      <c r="Q444">
        <v>2024</v>
      </c>
      <c r="R444" t="str">
        <f>TEXT(Tabuľka4[[#This Row],[Datum]],"MMMM")</f>
        <v>júl</v>
      </c>
    </row>
    <row r="445" spans="1:18" x14ac:dyDescent="0.3">
      <c r="A445" s="2">
        <v>45585</v>
      </c>
      <c r="B445" t="s">
        <v>749</v>
      </c>
      <c r="C445" t="s">
        <v>750</v>
      </c>
      <c r="D445" t="s">
        <v>20</v>
      </c>
      <c r="E445" t="s">
        <v>21</v>
      </c>
      <c r="F445" t="s">
        <v>22</v>
      </c>
      <c r="G445" t="s">
        <v>188</v>
      </c>
      <c r="H445" t="s">
        <v>738</v>
      </c>
      <c r="I445" t="s">
        <v>46</v>
      </c>
      <c r="J445">
        <v>1</v>
      </c>
      <c r="K445">
        <v>481</v>
      </c>
      <c r="L445">
        <v>0</v>
      </c>
      <c r="M445">
        <v>481</v>
      </c>
      <c r="N445">
        <v>335.78</v>
      </c>
      <c r="O445">
        <v>145.22000000000003</v>
      </c>
      <c r="P445" s="19">
        <f>Tabuľka4[[#This Row],[Zisk]]/Tabuľka4[[#This Row],[Trzba]]</f>
        <v>0.30191268191268195</v>
      </c>
      <c r="Q445">
        <v>2024</v>
      </c>
      <c r="R445" t="str">
        <f>TEXT(Tabuľka4[[#This Row],[Datum]],"MMMM")</f>
        <v>október</v>
      </c>
    </row>
    <row r="446" spans="1:18" x14ac:dyDescent="0.3">
      <c r="A446" s="2">
        <v>45646</v>
      </c>
      <c r="B446" t="s">
        <v>751</v>
      </c>
      <c r="C446" t="s">
        <v>752</v>
      </c>
      <c r="D446" t="s">
        <v>20</v>
      </c>
      <c r="E446" t="s">
        <v>0</v>
      </c>
      <c r="F446" t="s">
        <v>22</v>
      </c>
      <c r="G446" t="s">
        <v>188</v>
      </c>
      <c r="H446" t="s">
        <v>738</v>
      </c>
      <c r="I446" t="s">
        <v>88</v>
      </c>
      <c r="J446">
        <v>2</v>
      </c>
      <c r="K446">
        <v>524</v>
      </c>
      <c r="L446">
        <v>0.12</v>
      </c>
      <c r="M446">
        <v>1048</v>
      </c>
      <c r="N446">
        <v>701.23</v>
      </c>
      <c r="O446">
        <v>346.77</v>
      </c>
      <c r="P446" s="19">
        <f>Tabuľka4[[#This Row],[Zisk]]/Tabuľka4[[#This Row],[Trzba]]</f>
        <v>0.33088740458015264</v>
      </c>
      <c r="Q446">
        <v>2024</v>
      </c>
      <c r="R446" t="str">
        <f>TEXT(Tabuľka4[[#This Row],[Datum]],"MMMM")</f>
        <v>december</v>
      </c>
    </row>
    <row r="447" spans="1:18" x14ac:dyDescent="0.3">
      <c r="A447" s="2">
        <v>45674</v>
      </c>
      <c r="B447" t="s">
        <v>753</v>
      </c>
      <c r="C447" t="s">
        <v>754</v>
      </c>
      <c r="D447" t="s">
        <v>20</v>
      </c>
      <c r="E447" t="s">
        <v>68</v>
      </c>
      <c r="F447" t="s">
        <v>22</v>
      </c>
      <c r="G447" t="s">
        <v>188</v>
      </c>
      <c r="H447" t="s">
        <v>738</v>
      </c>
      <c r="I447" t="s">
        <v>25</v>
      </c>
      <c r="J447">
        <v>3</v>
      </c>
      <c r="K447">
        <v>437</v>
      </c>
      <c r="L447">
        <v>0.22</v>
      </c>
      <c r="M447">
        <v>1311</v>
      </c>
      <c r="N447">
        <v>644.37</v>
      </c>
      <c r="O447">
        <v>666.63</v>
      </c>
      <c r="P447" s="19">
        <f>Tabuľka4[[#This Row],[Zisk]]/Tabuľka4[[#This Row],[Trzba]]</f>
        <v>0.50848970251716252</v>
      </c>
      <c r="Q447">
        <v>2025</v>
      </c>
      <c r="R447" t="str">
        <f>TEXT(Tabuľka4[[#This Row],[Datum]],"MMMM")</f>
        <v>január</v>
      </c>
    </row>
    <row r="448" spans="1:18" x14ac:dyDescent="0.3">
      <c r="A448" s="2">
        <v>45704</v>
      </c>
      <c r="B448" t="s">
        <v>755</v>
      </c>
      <c r="C448" t="s">
        <v>756</v>
      </c>
      <c r="D448" t="s">
        <v>20</v>
      </c>
      <c r="E448" t="s">
        <v>68</v>
      </c>
      <c r="F448" t="s">
        <v>43</v>
      </c>
      <c r="G448" t="s">
        <v>188</v>
      </c>
      <c r="H448" t="s">
        <v>738</v>
      </c>
      <c r="I448" t="s">
        <v>25</v>
      </c>
      <c r="J448">
        <v>2</v>
      </c>
      <c r="K448">
        <v>499</v>
      </c>
      <c r="L448">
        <v>0</v>
      </c>
      <c r="M448">
        <v>998</v>
      </c>
      <c r="N448">
        <v>710.57</v>
      </c>
      <c r="O448">
        <v>287.42999999999995</v>
      </c>
      <c r="P448" s="19">
        <f>Tabuľka4[[#This Row],[Zisk]]/Tabuľka4[[#This Row],[Trzba]]</f>
        <v>0.28800601202404802</v>
      </c>
      <c r="Q448">
        <v>2025</v>
      </c>
      <c r="R448" t="str">
        <f>TEXT(Tabuľka4[[#This Row],[Datum]],"MMMM")</f>
        <v>február</v>
      </c>
    </row>
    <row r="449" spans="1:18" x14ac:dyDescent="0.3">
      <c r="A449" s="2">
        <v>45740</v>
      </c>
      <c r="B449" t="s">
        <v>757</v>
      </c>
      <c r="C449" t="s">
        <v>204</v>
      </c>
      <c r="D449" t="s">
        <v>20</v>
      </c>
      <c r="E449" t="s">
        <v>21</v>
      </c>
      <c r="F449" t="s">
        <v>22</v>
      </c>
      <c r="G449" t="s">
        <v>188</v>
      </c>
      <c r="H449" t="s">
        <v>738</v>
      </c>
      <c r="I449" t="s">
        <v>25</v>
      </c>
      <c r="J449">
        <v>2</v>
      </c>
      <c r="K449">
        <v>503</v>
      </c>
      <c r="L449">
        <v>0.05</v>
      </c>
      <c r="M449">
        <v>1006</v>
      </c>
      <c r="N449">
        <v>686.17</v>
      </c>
      <c r="O449">
        <v>319.83000000000004</v>
      </c>
      <c r="P449" s="19">
        <f>Tabuľka4[[#This Row],[Zisk]]/Tabuľka4[[#This Row],[Trzba]]</f>
        <v>0.31792246520874756</v>
      </c>
      <c r="Q449">
        <v>2025</v>
      </c>
      <c r="R449" t="str">
        <f>TEXT(Tabuľka4[[#This Row],[Datum]],"MMMM")</f>
        <v>marec</v>
      </c>
    </row>
    <row r="450" spans="1:18" x14ac:dyDescent="0.3">
      <c r="A450" s="2">
        <v>45781</v>
      </c>
      <c r="B450" t="s">
        <v>758</v>
      </c>
      <c r="C450" t="s">
        <v>636</v>
      </c>
      <c r="D450" t="s">
        <v>20</v>
      </c>
      <c r="E450" t="s">
        <v>0</v>
      </c>
      <c r="F450" t="s">
        <v>22</v>
      </c>
      <c r="G450" t="s">
        <v>188</v>
      </c>
      <c r="H450" t="s">
        <v>738</v>
      </c>
      <c r="I450" t="s">
        <v>33</v>
      </c>
      <c r="J450">
        <v>1</v>
      </c>
      <c r="K450">
        <v>609</v>
      </c>
      <c r="L450">
        <v>0.03</v>
      </c>
      <c r="M450">
        <v>609</v>
      </c>
      <c r="N450">
        <v>429.95</v>
      </c>
      <c r="O450">
        <v>179.05</v>
      </c>
      <c r="P450" s="19">
        <f>Tabuľka4[[#This Row],[Zisk]]/Tabuľka4[[#This Row],[Trzba]]</f>
        <v>0.29400656814449921</v>
      </c>
      <c r="Q450">
        <v>2025</v>
      </c>
      <c r="R450" t="str">
        <f>TEXT(Tabuľka4[[#This Row],[Datum]],"MMMM")</f>
        <v>máj</v>
      </c>
    </row>
    <row r="451" spans="1:18" x14ac:dyDescent="0.3">
      <c r="A451" s="2">
        <v>45810</v>
      </c>
      <c r="B451" t="s">
        <v>759</v>
      </c>
      <c r="C451" t="s">
        <v>285</v>
      </c>
      <c r="D451" t="s">
        <v>20</v>
      </c>
      <c r="E451" t="s">
        <v>21</v>
      </c>
      <c r="F451" t="s">
        <v>22</v>
      </c>
      <c r="G451" t="s">
        <v>188</v>
      </c>
      <c r="H451" t="s">
        <v>738</v>
      </c>
      <c r="I451" t="s">
        <v>88</v>
      </c>
      <c r="J451">
        <v>4</v>
      </c>
      <c r="K451">
        <v>476</v>
      </c>
      <c r="L451">
        <v>0.09</v>
      </c>
      <c r="M451">
        <v>1904</v>
      </c>
      <c r="N451">
        <v>1207.3</v>
      </c>
      <c r="O451">
        <v>696.7</v>
      </c>
      <c r="P451" s="19">
        <f>Tabuľka4[[#This Row],[Zisk]]/Tabuľka4[[#This Row],[Trzba]]</f>
        <v>0.36591386554621852</v>
      </c>
      <c r="Q451">
        <v>2025</v>
      </c>
      <c r="R451" t="str">
        <f>TEXT(Tabuľka4[[#This Row],[Datum]],"MMMM")</f>
        <v>jún</v>
      </c>
    </row>
    <row r="452" spans="1:18" x14ac:dyDescent="0.3">
      <c r="A452" s="2">
        <v>45810</v>
      </c>
      <c r="B452" t="s">
        <v>760</v>
      </c>
      <c r="C452" t="s">
        <v>761</v>
      </c>
      <c r="D452" t="s">
        <v>20</v>
      </c>
      <c r="E452" t="s">
        <v>0</v>
      </c>
      <c r="F452" t="s">
        <v>43</v>
      </c>
      <c r="G452" t="s">
        <v>188</v>
      </c>
      <c r="H452" t="s">
        <v>738</v>
      </c>
      <c r="I452" t="s">
        <v>38</v>
      </c>
      <c r="J452">
        <v>2</v>
      </c>
      <c r="K452">
        <v>493</v>
      </c>
      <c r="L452">
        <v>0.03</v>
      </c>
      <c r="M452">
        <v>986</v>
      </c>
      <c r="N452">
        <v>620.51</v>
      </c>
      <c r="O452">
        <v>365.49</v>
      </c>
      <c r="P452" s="19">
        <f>Tabuľka4[[#This Row],[Zisk]]/Tabuľka4[[#This Row],[Trzba]]</f>
        <v>0.3706795131845842</v>
      </c>
      <c r="Q452">
        <v>2025</v>
      </c>
      <c r="R452" t="str">
        <f>TEXT(Tabuľka4[[#This Row],[Datum]],"MMMM")</f>
        <v>jún</v>
      </c>
    </row>
    <row r="453" spans="1:18" x14ac:dyDescent="0.3">
      <c r="A453" s="2">
        <v>45812</v>
      </c>
      <c r="B453" t="s">
        <v>762</v>
      </c>
      <c r="C453" t="s">
        <v>763</v>
      </c>
      <c r="D453" t="s">
        <v>20</v>
      </c>
      <c r="E453" t="s">
        <v>68</v>
      </c>
      <c r="F453" t="s">
        <v>43</v>
      </c>
      <c r="G453" t="s">
        <v>188</v>
      </c>
      <c r="H453" t="s">
        <v>738</v>
      </c>
      <c r="I453" t="s">
        <v>25</v>
      </c>
      <c r="J453">
        <v>3</v>
      </c>
      <c r="K453">
        <v>493</v>
      </c>
      <c r="L453">
        <v>0</v>
      </c>
      <c r="M453">
        <v>1479</v>
      </c>
      <c r="N453">
        <v>1050.8499999999999</v>
      </c>
      <c r="O453">
        <v>428.15000000000009</v>
      </c>
      <c r="P453" s="19">
        <f>Tabuľka4[[#This Row],[Zisk]]/Tabuľka4[[#This Row],[Trzba]]</f>
        <v>0.28948613928329958</v>
      </c>
      <c r="Q453">
        <v>2025</v>
      </c>
      <c r="R453" t="str">
        <f>TEXT(Tabuľka4[[#This Row],[Datum]],"MMMM")</f>
        <v>jún</v>
      </c>
    </row>
    <row r="454" spans="1:18" x14ac:dyDescent="0.3">
      <c r="A454" s="2">
        <v>45842</v>
      </c>
      <c r="B454" t="s">
        <v>764</v>
      </c>
      <c r="C454" t="s">
        <v>55</v>
      </c>
      <c r="D454" t="s">
        <v>20</v>
      </c>
      <c r="E454" t="s">
        <v>0</v>
      </c>
      <c r="F454" t="s">
        <v>22</v>
      </c>
      <c r="G454" t="s">
        <v>188</v>
      </c>
      <c r="H454" t="s">
        <v>738</v>
      </c>
      <c r="I454" t="s">
        <v>30</v>
      </c>
      <c r="J454">
        <v>1</v>
      </c>
      <c r="K454">
        <v>536</v>
      </c>
      <c r="L454">
        <v>0.08</v>
      </c>
      <c r="M454">
        <v>536</v>
      </c>
      <c r="N454">
        <v>382.7</v>
      </c>
      <c r="O454">
        <v>153.30000000000001</v>
      </c>
      <c r="P454" s="19">
        <f>Tabuľka4[[#This Row],[Zisk]]/Tabuľka4[[#This Row],[Trzba]]</f>
        <v>0.28600746268656718</v>
      </c>
      <c r="Q454">
        <v>2025</v>
      </c>
      <c r="R454" t="str">
        <f>TEXT(Tabuľka4[[#This Row],[Datum]],"MMMM")</f>
        <v>júl</v>
      </c>
    </row>
    <row r="455" spans="1:18" x14ac:dyDescent="0.3">
      <c r="A455" s="2">
        <v>45893</v>
      </c>
      <c r="B455" t="s">
        <v>765</v>
      </c>
      <c r="C455" t="s">
        <v>766</v>
      </c>
      <c r="D455" t="s">
        <v>20</v>
      </c>
      <c r="E455" t="s">
        <v>0</v>
      </c>
      <c r="F455" t="s">
        <v>43</v>
      </c>
      <c r="G455" t="s">
        <v>188</v>
      </c>
      <c r="H455" t="s">
        <v>738</v>
      </c>
      <c r="I455" t="s">
        <v>63</v>
      </c>
      <c r="J455">
        <v>3</v>
      </c>
      <c r="K455">
        <v>748</v>
      </c>
      <c r="L455">
        <v>7.0000000000000007E-2</v>
      </c>
      <c r="M455">
        <v>2244</v>
      </c>
      <c r="N455">
        <v>1396.21</v>
      </c>
      <c r="O455">
        <v>847.79</v>
      </c>
      <c r="P455" s="19">
        <f>Tabuľka4[[#This Row],[Zisk]]/Tabuľka4[[#This Row],[Trzba]]</f>
        <v>0.37780303030303031</v>
      </c>
      <c r="Q455">
        <v>2025</v>
      </c>
      <c r="R455" t="str">
        <f>TEXT(Tabuľka4[[#This Row],[Datum]],"MMMM")</f>
        <v>august</v>
      </c>
    </row>
    <row r="456" spans="1:18" x14ac:dyDescent="0.3">
      <c r="A456" s="2">
        <v>46026</v>
      </c>
      <c r="B456" t="s">
        <v>767</v>
      </c>
      <c r="C456" t="s">
        <v>96</v>
      </c>
      <c r="D456" t="s">
        <v>49</v>
      </c>
      <c r="E456" t="s">
        <v>0</v>
      </c>
      <c r="F456" t="s">
        <v>58</v>
      </c>
      <c r="G456" t="s">
        <v>188</v>
      </c>
      <c r="H456" t="s">
        <v>738</v>
      </c>
      <c r="I456" t="s">
        <v>51</v>
      </c>
      <c r="J456">
        <v>9</v>
      </c>
      <c r="K456">
        <v>604</v>
      </c>
      <c r="L456">
        <v>0.03</v>
      </c>
      <c r="M456">
        <v>5436</v>
      </c>
      <c r="N456">
        <v>4486.21</v>
      </c>
      <c r="O456">
        <v>949.79</v>
      </c>
      <c r="P456" s="19">
        <f>Tabuľka4[[#This Row],[Zisk]]/Tabuľka4[[#This Row],[Trzba]]</f>
        <v>0.17472222222222222</v>
      </c>
      <c r="Q456">
        <v>2026</v>
      </c>
      <c r="R456" t="str">
        <f>TEXT(Tabuľka4[[#This Row],[Datum]],"MMMM")</f>
        <v>január</v>
      </c>
    </row>
    <row r="457" spans="1:18" x14ac:dyDescent="0.3">
      <c r="A457" s="2">
        <v>46036</v>
      </c>
      <c r="B457" t="s">
        <v>768</v>
      </c>
      <c r="C457" t="s">
        <v>652</v>
      </c>
      <c r="D457" t="s">
        <v>20</v>
      </c>
      <c r="E457" t="s">
        <v>0</v>
      </c>
      <c r="F457" t="s">
        <v>22</v>
      </c>
      <c r="G457" t="s">
        <v>188</v>
      </c>
      <c r="H457" t="s">
        <v>738</v>
      </c>
      <c r="I457" t="s">
        <v>30</v>
      </c>
      <c r="J457">
        <v>4</v>
      </c>
      <c r="K457">
        <v>652</v>
      </c>
      <c r="L457">
        <v>0.12</v>
      </c>
      <c r="M457">
        <v>2608</v>
      </c>
      <c r="N457">
        <v>1711.33</v>
      </c>
      <c r="O457">
        <v>896.67000000000007</v>
      </c>
      <c r="P457" s="19">
        <f>Tabuľka4[[#This Row],[Zisk]]/Tabuľka4[[#This Row],[Trzba]]</f>
        <v>0.34381518404907979</v>
      </c>
      <c r="Q457">
        <v>2026</v>
      </c>
      <c r="R457" t="str">
        <f>TEXT(Tabuľka4[[#This Row],[Datum]],"MMMM")</f>
        <v>január</v>
      </c>
    </row>
    <row r="458" spans="1:18" x14ac:dyDescent="0.3">
      <c r="A458" s="2">
        <v>46055</v>
      </c>
      <c r="B458" t="s">
        <v>769</v>
      </c>
      <c r="C458" t="s">
        <v>132</v>
      </c>
      <c r="D458" t="s">
        <v>49</v>
      </c>
      <c r="E458" t="s">
        <v>68</v>
      </c>
      <c r="F458" t="s">
        <v>58</v>
      </c>
      <c r="G458" t="s">
        <v>188</v>
      </c>
      <c r="H458" t="s">
        <v>738</v>
      </c>
      <c r="I458" t="s">
        <v>63</v>
      </c>
      <c r="J458">
        <v>8</v>
      </c>
      <c r="K458">
        <v>804</v>
      </c>
      <c r="L458">
        <v>0.12</v>
      </c>
      <c r="M458">
        <v>6432</v>
      </c>
      <c r="N458">
        <v>4462.79</v>
      </c>
      <c r="O458">
        <v>1969.21</v>
      </c>
      <c r="P458" s="19">
        <f>Tabuľka4[[#This Row],[Zisk]]/Tabuľka4[[#This Row],[Trzba]]</f>
        <v>0.30615827114427863</v>
      </c>
      <c r="Q458">
        <v>2026</v>
      </c>
      <c r="R458" t="str">
        <f>TEXT(Tabuľka4[[#This Row],[Datum]],"MMMM")</f>
        <v>február</v>
      </c>
    </row>
    <row r="459" spans="1:18" x14ac:dyDescent="0.3">
      <c r="A459" s="2">
        <v>46151</v>
      </c>
      <c r="B459" t="s">
        <v>770</v>
      </c>
      <c r="C459" t="s">
        <v>721</v>
      </c>
      <c r="D459" t="s">
        <v>20</v>
      </c>
      <c r="E459" t="s">
        <v>21</v>
      </c>
      <c r="F459" t="s">
        <v>22</v>
      </c>
      <c r="G459" t="s">
        <v>188</v>
      </c>
      <c r="H459" t="s">
        <v>738</v>
      </c>
      <c r="I459" t="s">
        <v>88</v>
      </c>
      <c r="J459">
        <v>5</v>
      </c>
      <c r="K459">
        <v>422</v>
      </c>
      <c r="L459">
        <v>7.0000000000000007E-2</v>
      </c>
      <c r="M459">
        <v>2110</v>
      </c>
      <c r="N459">
        <v>1229.95</v>
      </c>
      <c r="O459">
        <v>880.05</v>
      </c>
      <c r="P459" s="19">
        <f>Tabuľka4[[#This Row],[Zisk]]/Tabuľka4[[#This Row],[Trzba]]</f>
        <v>0.417085308056872</v>
      </c>
      <c r="Q459">
        <v>2026</v>
      </c>
      <c r="R459" t="str">
        <f>TEXT(Tabuľka4[[#This Row],[Datum]],"MMMM")</f>
        <v>máj</v>
      </c>
    </row>
    <row r="460" spans="1:18" x14ac:dyDescent="0.3">
      <c r="A460" s="2">
        <v>45389</v>
      </c>
      <c r="B460" t="s">
        <v>771</v>
      </c>
      <c r="C460" t="s">
        <v>647</v>
      </c>
      <c r="D460" t="s">
        <v>20</v>
      </c>
      <c r="E460" t="s">
        <v>21</v>
      </c>
      <c r="F460" t="s">
        <v>22</v>
      </c>
      <c r="G460" t="s">
        <v>188</v>
      </c>
      <c r="H460" t="s">
        <v>772</v>
      </c>
      <c r="I460" t="s">
        <v>88</v>
      </c>
      <c r="J460">
        <v>3</v>
      </c>
      <c r="K460">
        <v>3791</v>
      </c>
      <c r="L460">
        <v>0.14000000000000001</v>
      </c>
      <c r="M460">
        <v>11373</v>
      </c>
      <c r="N460">
        <v>7683.64</v>
      </c>
      <c r="O460">
        <v>3689.3599999999997</v>
      </c>
      <c r="P460" s="19">
        <f>Tabuľka4[[#This Row],[Zisk]]/Tabuľka4[[#This Row],[Trzba]]</f>
        <v>0.32439637738503468</v>
      </c>
      <c r="Q460">
        <v>2024</v>
      </c>
      <c r="R460" t="str">
        <f>TEXT(Tabuľka4[[#This Row],[Datum]],"MMMM")</f>
        <v>apríl</v>
      </c>
    </row>
    <row r="461" spans="1:18" x14ac:dyDescent="0.3">
      <c r="A461" s="2">
        <v>45442</v>
      </c>
      <c r="B461" t="s">
        <v>773</v>
      </c>
      <c r="C461" t="s">
        <v>208</v>
      </c>
      <c r="D461" t="s">
        <v>20</v>
      </c>
      <c r="E461" t="s">
        <v>68</v>
      </c>
      <c r="F461" t="s">
        <v>58</v>
      </c>
      <c r="G461" t="s">
        <v>188</v>
      </c>
      <c r="H461" t="s">
        <v>772</v>
      </c>
      <c r="I461" t="s">
        <v>25</v>
      </c>
      <c r="J461">
        <v>3</v>
      </c>
      <c r="K461">
        <v>2355</v>
      </c>
      <c r="L461">
        <v>0.13</v>
      </c>
      <c r="M461">
        <v>7065</v>
      </c>
      <c r="N461">
        <v>3568.62</v>
      </c>
      <c r="O461">
        <v>3496.38</v>
      </c>
      <c r="P461" s="19">
        <f>Tabuľka4[[#This Row],[Zisk]]/Tabuľka4[[#This Row],[Trzba]]</f>
        <v>0.49488747346072187</v>
      </c>
      <c r="Q461">
        <v>2024</v>
      </c>
      <c r="R461" t="str">
        <f>TEXT(Tabuľka4[[#This Row],[Datum]],"MMMM")</f>
        <v>máj</v>
      </c>
    </row>
    <row r="462" spans="1:18" x14ac:dyDescent="0.3">
      <c r="A462" s="2">
        <v>45530</v>
      </c>
      <c r="B462" t="s">
        <v>774</v>
      </c>
      <c r="C462" t="s">
        <v>96</v>
      </c>
      <c r="D462" t="s">
        <v>49</v>
      </c>
      <c r="E462" t="s">
        <v>50</v>
      </c>
      <c r="F462" t="s">
        <v>58</v>
      </c>
      <c r="G462" t="s">
        <v>188</v>
      </c>
      <c r="H462" t="s">
        <v>772</v>
      </c>
      <c r="I462" t="s">
        <v>88</v>
      </c>
      <c r="J462">
        <v>9</v>
      </c>
      <c r="K462">
        <v>1991</v>
      </c>
      <c r="L462">
        <v>0.14000000000000001</v>
      </c>
      <c r="M462">
        <v>17919</v>
      </c>
      <c r="N462">
        <v>10375.85</v>
      </c>
      <c r="O462">
        <v>7543.15</v>
      </c>
      <c r="P462" s="19">
        <f>Tabuľka4[[#This Row],[Zisk]]/Tabuľka4[[#This Row],[Trzba]]</f>
        <v>0.42095820079245494</v>
      </c>
      <c r="Q462">
        <v>2024</v>
      </c>
      <c r="R462" t="str">
        <f>TEXT(Tabuľka4[[#This Row],[Datum]],"MMMM")</f>
        <v>august</v>
      </c>
    </row>
    <row r="463" spans="1:18" x14ac:dyDescent="0.3">
      <c r="A463" s="2">
        <v>45556</v>
      </c>
      <c r="B463" t="s">
        <v>775</v>
      </c>
      <c r="C463" t="s">
        <v>235</v>
      </c>
      <c r="D463" t="s">
        <v>49</v>
      </c>
      <c r="E463" t="s">
        <v>21</v>
      </c>
      <c r="F463" t="s">
        <v>58</v>
      </c>
      <c r="G463" t="s">
        <v>188</v>
      </c>
      <c r="H463" t="s">
        <v>772</v>
      </c>
      <c r="I463" t="s">
        <v>38</v>
      </c>
      <c r="J463">
        <v>11</v>
      </c>
      <c r="K463">
        <v>2158</v>
      </c>
      <c r="L463">
        <v>0.16</v>
      </c>
      <c r="M463">
        <v>23738</v>
      </c>
      <c r="N463">
        <v>15786.86</v>
      </c>
      <c r="O463">
        <v>7951.1399999999994</v>
      </c>
      <c r="P463" s="19">
        <f>Tabuľka4[[#This Row],[Zisk]]/Tabuľka4[[#This Row],[Trzba]]</f>
        <v>0.33495408206251576</v>
      </c>
      <c r="Q463">
        <v>2024</v>
      </c>
      <c r="R463" t="str">
        <f>TEXT(Tabuľka4[[#This Row],[Datum]],"MMMM")</f>
        <v>september</v>
      </c>
    </row>
    <row r="464" spans="1:18" x14ac:dyDescent="0.3">
      <c r="A464" s="2">
        <v>45647</v>
      </c>
      <c r="B464" t="s">
        <v>776</v>
      </c>
      <c r="C464" t="s">
        <v>235</v>
      </c>
      <c r="D464" t="s">
        <v>49</v>
      </c>
      <c r="E464" t="s">
        <v>0</v>
      </c>
      <c r="F464" t="s">
        <v>58</v>
      </c>
      <c r="G464" t="s">
        <v>188</v>
      </c>
      <c r="H464" t="s">
        <v>772</v>
      </c>
      <c r="I464" t="s">
        <v>63</v>
      </c>
      <c r="J464">
        <v>5</v>
      </c>
      <c r="K464">
        <v>1748</v>
      </c>
      <c r="L464">
        <v>0.03</v>
      </c>
      <c r="M464">
        <v>8740</v>
      </c>
      <c r="N464">
        <v>6014.31</v>
      </c>
      <c r="O464">
        <v>2725.6899999999996</v>
      </c>
      <c r="P464" s="19">
        <f>Tabuľka4[[#This Row],[Zisk]]/Tabuľka4[[#This Row],[Trzba]]</f>
        <v>0.3118638443935926</v>
      </c>
      <c r="Q464">
        <v>2024</v>
      </c>
      <c r="R464" t="str">
        <f>TEXT(Tabuľka4[[#This Row],[Datum]],"MMMM")</f>
        <v>december</v>
      </c>
    </row>
    <row r="465" spans="1:18" x14ac:dyDescent="0.3">
      <c r="A465" s="2">
        <v>45754</v>
      </c>
      <c r="B465" t="s">
        <v>777</v>
      </c>
      <c r="C465" t="s">
        <v>778</v>
      </c>
      <c r="D465" t="s">
        <v>20</v>
      </c>
      <c r="E465" t="s">
        <v>21</v>
      </c>
      <c r="F465" t="s">
        <v>43</v>
      </c>
      <c r="G465" t="s">
        <v>188</v>
      </c>
      <c r="H465" t="s">
        <v>772</v>
      </c>
      <c r="I465" t="s">
        <v>63</v>
      </c>
      <c r="J465">
        <v>5</v>
      </c>
      <c r="K465">
        <v>3430</v>
      </c>
      <c r="L465">
        <v>0</v>
      </c>
      <c r="M465">
        <v>17150</v>
      </c>
      <c r="N465">
        <v>11466.76</v>
      </c>
      <c r="O465">
        <v>5683.24</v>
      </c>
      <c r="P465" s="19">
        <f>Tabuľka4[[#This Row],[Zisk]]/Tabuľka4[[#This Row],[Trzba]]</f>
        <v>0.33138425655976678</v>
      </c>
      <c r="Q465">
        <v>2025</v>
      </c>
      <c r="R465" t="str">
        <f>TEXT(Tabuľka4[[#This Row],[Datum]],"MMMM")</f>
        <v>apríl</v>
      </c>
    </row>
    <row r="466" spans="1:18" x14ac:dyDescent="0.3">
      <c r="A466" s="2">
        <v>45795</v>
      </c>
      <c r="B466" t="s">
        <v>779</v>
      </c>
      <c r="C466" t="s">
        <v>359</v>
      </c>
      <c r="D466" t="s">
        <v>20</v>
      </c>
      <c r="E466" t="s">
        <v>0</v>
      </c>
      <c r="F466" t="s">
        <v>43</v>
      </c>
      <c r="G466" t="s">
        <v>188</v>
      </c>
      <c r="H466" t="s">
        <v>772</v>
      </c>
      <c r="I466" t="s">
        <v>25</v>
      </c>
      <c r="J466">
        <v>4</v>
      </c>
      <c r="K466">
        <v>3403</v>
      </c>
      <c r="L466">
        <v>0.12</v>
      </c>
      <c r="M466">
        <v>13612</v>
      </c>
      <c r="N466">
        <v>9150.4</v>
      </c>
      <c r="O466">
        <v>4461.6000000000004</v>
      </c>
      <c r="P466" s="19">
        <f>Tabuľka4[[#This Row],[Zisk]]/Tabuľka4[[#This Row],[Trzba]]</f>
        <v>0.32776961504554808</v>
      </c>
      <c r="Q466">
        <v>2025</v>
      </c>
      <c r="R466" t="str">
        <f>TEXT(Tabuľka4[[#This Row],[Datum]],"MMMM")</f>
        <v>máj</v>
      </c>
    </row>
    <row r="467" spans="1:18" x14ac:dyDescent="0.3">
      <c r="A467" s="2">
        <v>45800</v>
      </c>
      <c r="B467" t="s">
        <v>780</v>
      </c>
      <c r="C467" t="s">
        <v>781</v>
      </c>
      <c r="D467" t="s">
        <v>20</v>
      </c>
      <c r="E467" t="s">
        <v>21</v>
      </c>
      <c r="F467" t="s">
        <v>43</v>
      </c>
      <c r="G467" t="s">
        <v>188</v>
      </c>
      <c r="H467" t="s">
        <v>772</v>
      </c>
      <c r="I467" t="s">
        <v>38</v>
      </c>
      <c r="J467">
        <v>3</v>
      </c>
      <c r="K467">
        <v>2668</v>
      </c>
      <c r="L467">
        <v>0.12</v>
      </c>
      <c r="M467">
        <v>8004</v>
      </c>
      <c r="N467">
        <v>4399.8100000000004</v>
      </c>
      <c r="O467">
        <v>3604.1899999999996</v>
      </c>
      <c r="P467" s="19">
        <f>Tabuľka4[[#This Row],[Zisk]]/Tabuľka4[[#This Row],[Trzba]]</f>
        <v>0.45029860069965011</v>
      </c>
      <c r="Q467">
        <v>2025</v>
      </c>
      <c r="R467" t="str">
        <f>TEXT(Tabuľka4[[#This Row],[Datum]],"MMMM")</f>
        <v>máj</v>
      </c>
    </row>
    <row r="468" spans="1:18" x14ac:dyDescent="0.3">
      <c r="A468" s="2">
        <v>45832</v>
      </c>
      <c r="B468" t="s">
        <v>782</v>
      </c>
      <c r="C468" t="s">
        <v>510</v>
      </c>
      <c r="D468" t="s">
        <v>20</v>
      </c>
      <c r="E468" t="s">
        <v>0</v>
      </c>
      <c r="F468" t="s">
        <v>22</v>
      </c>
      <c r="G468" t="s">
        <v>188</v>
      </c>
      <c r="H468" t="s">
        <v>772</v>
      </c>
      <c r="I468" t="s">
        <v>33</v>
      </c>
      <c r="J468">
        <v>2</v>
      </c>
      <c r="K468">
        <v>2165</v>
      </c>
      <c r="L468">
        <v>0.14000000000000001</v>
      </c>
      <c r="M468">
        <v>4330</v>
      </c>
      <c r="N468">
        <v>2432.9</v>
      </c>
      <c r="O468">
        <v>1897.1</v>
      </c>
      <c r="P468" s="19">
        <f>Tabuľka4[[#This Row],[Zisk]]/Tabuľka4[[#This Row],[Trzba]]</f>
        <v>0.43812933025404155</v>
      </c>
      <c r="Q468">
        <v>2025</v>
      </c>
      <c r="R468" t="str">
        <f>TEXT(Tabuľka4[[#This Row],[Datum]],"MMMM")</f>
        <v>jún</v>
      </c>
    </row>
    <row r="469" spans="1:18" x14ac:dyDescent="0.3">
      <c r="A469" s="2">
        <v>45881</v>
      </c>
      <c r="B469" t="s">
        <v>783</v>
      </c>
      <c r="C469" t="s">
        <v>784</v>
      </c>
      <c r="D469" t="s">
        <v>20</v>
      </c>
      <c r="E469" t="s">
        <v>68</v>
      </c>
      <c r="F469" t="s">
        <v>22</v>
      </c>
      <c r="G469" t="s">
        <v>188</v>
      </c>
      <c r="H469" t="s">
        <v>772</v>
      </c>
      <c r="I469" t="s">
        <v>25</v>
      </c>
      <c r="J469">
        <v>3</v>
      </c>
      <c r="K469">
        <v>2573</v>
      </c>
      <c r="L469">
        <v>0.04</v>
      </c>
      <c r="M469">
        <v>7719</v>
      </c>
      <c r="N469">
        <v>5719.15</v>
      </c>
      <c r="O469">
        <v>1999.8500000000004</v>
      </c>
      <c r="P469" s="19">
        <f>Tabuľka4[[#This Row],[Zisk]]/Tabuľka4[[#This Row],[Trzba]]</f>
        <v>0.25908148723927976</v>
      </c>
      <c r="Q469">
        <v>2025</v>
      </c>
      <c r="R469" t="str">
        <f>TEXT(Tabuľka4[[#This Row],[Datum]],"MMMM")</f>
        <v>august</v>
      </c>
    </row>
    <row r="470" spans="1:18" x14ac:dyDescent="0.3">
      <c r="A470" s="2">
        <v>45971</v>
      </c>
      <c r="B470" t="s">
        <v>785</v>
      </c>
      <c r="C470" t="s">
        <v>442</v>
      </c>
      <c r="D470" t="s">
        <v>20</v>
      </c>
      <c r="E470" t="s">
        <v>68</v>
      </c>
      <c r="F470" t="s">
        <v>22</v>
      </c>
      <c r="G470" t="s">
        <v>188</v>
      </c>
      <c r="H470" t="s">
        <v>772</v>
      </c>
      <c r="I470" t="s">
        <v>25</v>
      </c>
      <c r="J470">
        <v>3</v>
      </c>
      <c r="K470">
        <v>2131</v>
      </c>
      <c r="L470">
        <v>0.11</v>
      </c>
      <c r="M470">
        <v>6393</v>
      </c>
      <c r="N470">
        <v>3743.08</v>
      </c>
      <c r="O470">
        <v>2649.92</v>
      </c>
      <c r="P470" s="19">
        <f>Tabuľka4[[#This Row],[Zisk]]/Tabuľka4[[#This Row],[Trzba]]</f>
        <v>0.41450336305333962</v>
      </c>
      <c r="Q470">
        <v>2025</v>
      </c>
      <c r="R470" t="str">
        <f>TEXT(Tabuľka4[[#This Row],[Datum]],"MMMM")</f>
        <v>november</v>
      </c>
    </row>
    <row r="471" spans="1:18" x14ac:dyDescent="0.3">
      <c r="A471" s="2">
        <v>46057</v>
      </c>
      <c r="B471" t="s">
        <v>786</v>
      </c>
      <c r="C471" t="s">
        <v>185</v>
      </c>
      <c r="D471" t="s">
        <v>49</v>
      </c>
      <c r="E471" t="s">
        <v>21</v>
      </c>
      <c r="F471" t="s">
        <v>58</v>
      </c>
      <c r="G471" t="s">
        <v>188</v>
      </c>
      <c r="H471" t="s">
        <v>772</v>
      </c>
      <c r="I471" t="s">
        <v>63</v>
      </c>
      <c r="J471">
        <v>9</v>
      </c>
      <c r="K471">
        <v>1666</v>
      </c>
      <c r="L471">
        <v>0.01</v>
      </c>
      <c r="M471">
        <v>14994</v>
      </c>
      <c r="N471">
        <v>11026.58</v>
      </c>
      <c r="O471">
        <v>3967.42</v>
      </c>
      <c r="P471" s="19">
        <f>Tabuľka4[[#This Row],[Zisk]]/Tabuľka4[[#This Row],[Trzba]]</f>
        <v>0.26460050686941444</v>
      </c>
      <c r="Q471">
        <v>2026</v>
      </c>
      <c r="R471" t="str">
        <f>TEXT(Tabuľka4[[#This Row],[Datum]],"MMMM")</f>
        <v>február</v>
      </c>
    </row>
    <row r="472" spans="1:18" x14ac:dyDescent="0.3">
      <c r="A472" s="2">
        <v>46118</v>
      </c>
      <c r="B472" t="s">
        <v>787</v>
      </c>
      <c r="C472" t="s">
        <v>788</v>
      </c>
      <c r="D472" t="s">
        <v>20</v>
      </c>
      <c r="E472" t="s">
        <v>0</v>
      </c>
      <c r="F472" t="s">
        <v>43</v>
      </c>
      <c r="G472" t="s">
        <v>188</v>
      </c>
      <c r="H472" t="s">
        <v>772</v>
      </c>
      <c r="I472" t="s">
        <v>33</v>
      </c>
      <c r="J472">
        <v>2</v>
      </c>
      <c r="K472">
        <v>1976</v>
      </c>
      <c r="L472">
        <v>0</v>
      </c>
      <c r="M472">
        <v>3952</v>
      </c>
      <c r="N472">
        <v>2300.17</v>
      </c>
      <c r="O472">
        <v>1651.83</v>
      </c>
      <c r="P472" s="19">
        <f>Tabuľka4[[#This Row],[Zisk]]/Tabuľka4[[#This Row],[Trzba]]</f>
        <v>0.41797317813765178</v>
      </c>
      <c r="Q472">
        <v>2026</v>
      </c>
      <c r="R472" t="str">
        <f>TEXT(Tabuľka4[[#This Row],[Datum]],"MMMM")</f>
        <v>apríl</v>
      </c>
    </row>
    <row r="473" spans="1:18" x14ac:dyDescent="0.3">
      <c r="A473" s="2">
        <v>46163</v>
      </c>
      <c r="B473" t="s">
        <v>789</v>
      </c>
      <c r="C473" t="s">
        <v>74</v>
      </c>
      <c r="D473" t="s">
        <v>49</v>
      </c>
      <c r="E473" t="s">
        <v>68</v>
      </c>
      <c r="F473" t="s">
        <v>58</v>
      </c>
      <c r="G473" t="s">
        <v>188</v>
      </c>
      <c r="H473" t="s">
        <v>772</v>
      </c>
      <c r="I473" t="s">
        <v>46</v>
      </c>
      <c r="J473">
        <v>9</v>
      </c>
      <c r="K473">
        <v>3172</v>
      </c>
      <c r="L473">
        <v>0.02</v>
      </c>
      <c r="M473">
        <v>28548</v>
      </c>
      <c r="N473">
        <v>20378.400000000001</v>
      </c>
      <c r="O473">
        <v>8169.5999999999985</v>
      </c>
      <c r="P473" s="19">
        <f>Tabuľka4[[#This Row],[Zisk]]/Tabuľka4[[#This Row],[Trzba]]</f>
        <v>0.28617065994115171</v>
      </c>
      <c r="Q473">
        <v>2026</v>
      </c>
      <c r="R473" t="str">
        <f>TEXT(Tabuľka4[[#This Row],[Datum]],"MMMM")</f>
        <v>máj</v>
      </c>
    </row>
    <row r="474" spans="1:18" x14ac:dyDescent="0.3">
      <c r="A474" s="2">
        <v>45292</v>
      </c>
      <c r="B474" t="s">
        <v>790</v>
      </c>
      <c r="C474" t="s">
        <v>132</v>
      </c>
      <c r="D474" t="s">
        <v>49</v>
      </c>
      <c r="E474" t="s">
        <v>50</v>
      </c>
      <c r="F474" t="s">
        <v>58</v>
      </c>
      <c r="G474" t="s">
        <v>188</v>
      </c>
      <c r="H474" t="s">
        <v>791</v>
      </c>
      <c r="I474" t="s">
        <v>51</v>
      </c>
      <c r="J474">
        <v>9</v>
      </c>
      <c r="K474">
        <v>943</v>
      </c>
      <c r="L474">
        <v>0.2</v>
      </c>
      <c r="M474">
        <v>8487</v>
      </c>
      <c r="N474">
        <v>4654.05</v>
      </c>
      <c r="O474">
        <v>3832.95</v>
      </c>
      <c r="P474" s="19">
        <f>Tabuľka4[[#This Row],[Zisk]]/Tabuľka4[[#This Row],[Trzba]]</f>
        <v>0.45162601626016258</v>
      </c>
      <c r="Q474">
        <v>2024</v>
      </c>
      <c r="R474" t="str">
        <f>TEXT(Tabuľka4[[#This Row],[Datum]],"MMMM")</f>
        <v>január</v>
      </c>
    </row>
    <row r="475" spans="1:18" x14ac:dyDescent="0.3">
      <c r="A475" s="2">
        <v>45319</v>
      </c>
      <c r="B475" t="s">
        <v>792</v>
      </c>
      <c r="C475" t="s">
        <v>132</v>
      </c>
      <c r="D475" t="s">
        <v>49</v>
      </c>
      <c r="E475" t="s">
        <v>0</v>
      </c>
      <c r="F475" t="s">
        <v>58</v>
      </c>
      <c r="G475" t="s">
        <v>188</v>
      </c>
      <c r="H475" t="s">
        <v>791</v>
      </c>
      <c r="I475" t="s">
        <v>51</v>
      </c>
      <c r="J475">
        <v>10</v>
      </c>
      <c r="K475">
        <v>1319</v>
      </c>
      <c r="L475">
        <v>0.06</v>
      </c>
      <c r="M475">
        <v>13190</v>
      </c>
      <c r="N475">
        <v>6554.92</v>
      </c>
      <c r="O475">
        <v>6635.08</v>
      </c>
      <c r="P475" s="19">
        <f>Tabuľka4[[#This Row],[Zisk]]/Tabuľka4[[#This Row],[Trzba]]</f>
        <v>0.5030386656557998</v>
      </c>
      <c r="Q475">
        <v>2024</v>
      </c>
      <c r="R475" t="str">
        <f>TEXT(Tabuľka4[[#This Row],[Datum]],"MMMM")</f>
        <v>január</v>
      </c>
    </row>
    <row r="476" spans="1:18" x14ac:dyDescent="0.3">
      <c r="A476" s="2">
        <v>45328</v>
      </c>
      <c r="B476" t="s">
        <v>793</v>
      </c>
      <c r="C476" t="s">
        <v>292</v>
      </c>
      <c r="D476" t="s">
        <v>20</v>
      </c>
      <c r="E476" t="s">
        <v>21</v>
      </c>
      <c r="F476" t="s">
        <v>43</v>
      </c>
      <c r="G476" t="s">
        <v>188</v>
      </c>
      <c r="H476" t="s">
        <v>791</v>
      </c>
      <c r="I476" t="s">
        <v>46</v>
      </c>
      <c r="J476">
        <v>2</v>
      </c>
      <c r="K476">
        <v>1250</v>
      </c>
      <c r="L476">
        <v>0.02</v>
      </c>
      <c r="M476">
        <v>2500</v>
      </c>
      <c r="N476">
        <v>1588.64</v>
      </c>
      <c r="O476">
        <v>911.3599999999999</v>
      </c>
      <c r="P476" s="19">
        <f>Tabuľka4[[#This Row],[Zisk]]/Tabuľka4[[#This Row],[Trzba]]</f>
        <v>0.36454399999999998</v>
      </c>
      <c r="Q476">
        <v>2024</v>
      </c>
      <c r="R476" t="str">
        <f>TEXT(Tabuľka4[[#This Row],[Datum]],"MMMM")</f>
        <v>február</v>
      </c>
    </row>
    <row r="477" spans="1:18" x14ac:dyDescent="0.3">
      <c r="A477" s="2">
        <v>45409</v>
      </c>
      <c r="B477" t="s">
        <v>794</v>
      </c>
      <c r="C477" t="s">
        <v>795</v>
      </c>
      <c r="D477" t="s">
        <v>20</v>
      </c>
      <c r="E477" t="s">
        <v>21</v>
      </c>
      <c r="F477" t="s">
        <v>22</v>
      </c>
      <c r="G477" t="s">
        <v>188</v>
      </c>
      <c r="H477" t="s">
        <v>791</v>
      </c>
      <c r="I477" t="s">
        <v>63</v>
      </c>
      <c r="J477">
        <v>3</v>
      </c>
      <c r="K477">
        <v>1847</v>
      </c>
      <c r="L477">
        <v>0.14000000000000001</v>
      </c>
      <c r="M477">
        <v>5541</v>
      </c>
      <c r="N477">
        <v>3662.35</v>
      </c>
      <c r="O477">
        <v>1878.65</v>
      </c>
      <c r="P477" s="19">
        <f>Tabuľka4[[#This Row],[Zisk]]/Tabuľka4[[#This Row],[Trzba]]</f>
        <v>0.33904529868254829</v>
      </c>
      <c r="Q477">
        <v>2024</v>
      </c>
      <c r="R477" t="str">
        <f>TEXT(Tabuľka4[[#This Row],[Datum]],"MMMM")</f>
        <v>apríl</v>
      </c>
    </row>
    <row r="478" spans="1:18" x14ac:dyDescent="0.3">
      <c r="A478" s="2">
        <v>45414</v>
      </c>
      <c r="B478" t="s">
        <v>796</v>
      </c>
      <c r="C478" t="s">
        <v>518</v>
      </c>
      <c r="D478" t="s">
        <v>20</v>
      </c>
      <c r="E478" t="s">
        <v>50</v>
      </c>
      <c r="F478" t="s">
        <v>43</v>
      </c>
      <c r="G478" t="s">
        <v>188</v>
      </c>
      <c r="H478" t="s">
        <v>791</v>
      </c>
      <c r="I478" t="s">
        <v>38</v>
      </c>
      <c r="J478">
        <v>4</v>
      </c>
      <c r="K478">
        <v>1827</v>
      </c>
      <c r="L478">
        <v>0.14000000000000001</v>
      </c>
      <c r="M478">
        <v>7308</v>
      </c>
      <c r="N478">
        <v>4425.21</v>
      </c>
      <c r="O478">
        <v>2882.79</v>
      </c>
      <c r="P478" s="19">
        <f>Tabuľka4[[#This Row],[Zisk]]/Tabuľka4[[#This Row],[Trzba]]</f>
        <v>0.39447044334975367</v>
      </c>
      <c r="Q478">
        <v>2024</v>
      </c>
      <c r="R478" t="str">
        <f>TEXT(Tabuľka4[[#This Row],[Datum]],"MMMM")</f>
        <v>máj</v>
      </c>
    </row>
    <row r="479" spans="1:18" x14ac:dyDescent="0.3">
      <c r="A479" s="2">
        <v>45481</v>
      </c>
      <c r="B479" t="s">
        <v>797</v>
      </c>
      <c r="C479" t="s">
        <v>235</v>
      </c>
      <c r="D479" t="s">
        <v>49</v>
      </c>
      <c r="E479" t="s">
        <v>0</v>
      </c>
      <c r="F479" t="s">
        <v>43</v>
      </c>
      <c r="G479" t="s">
        <v>188</v>
      </c>
      <c r="H479" t="s">
        <v>791</v>
      </c>
      <c r="I479" t="s">
        <v>25</v>
      </c>
      <c r="J479">
        <v>8</v>
      </c>
      <c r="K479">
        <v>808</v>
      </c>
      <c r="L479">
        <v>0.09</v>
      </c>
      <c r="M479">
        <v>6464</v>
      </c>
      <c r="N479">
        <v>3734.98</v>
      </c>
      <c r="O479">
        <v>2729.02</v>
      </c>
      <c r="P479" s="19">
        <f>Tabuľka4[[#This Row],[Zisk]]/Tabuľka4[[#This Row],[Trzba]]</f>
        <v>0.42218749999999999</v>
      </c>
      <c r="Q479">
        <v>2024</v>
      </c>
      <c r="R479" t="str">
        <f>TEXT(Tabuľka4[[#This Row],[Datum]],"MMMM")</f>
        <v>júl</v>
      </c>
    </row>
    <row r="480" spans="1:18" x14ac:dyDescent="0.3">
      <c r="A480" s="2">
        <v>45593</v>
      </c>
      <c r="B480" t="s">
        <v>798</v>
      </c>
      <c r="C480" t="s">
        <v>243</v>
      </c>
      <c r="D480" t="s">
        <v>20</v>
      </c>
      <c r="E480" t="s">
        <v>0</v>
      </c>
      <c r="F480" t="s">
        <v>22</v>
      </c>
      <c r="G480" t="s">
        <v>188</v>
      </c>
      <c r="H480" t="s">
        <v>791</v>
      </c>
      <c r="I480" t="s">
        <v>88</v>
      </c>
      <c r="J480">
        <v>1</v>
      </c>
      <c r="K480">
        <v>1145</v>
      </c>
      <c r="L480">
        <v>0.06</v>
      </c>
      <c r="M480">
        <v>1145</v>
      </c>
      <c r="N480">
        <v>709.2</v>
      </c>
      <c r="O480">
        <v>435.79999999999995</v>
      </c>
      <c r="P480" s="19">
        <f>Tabuľka4[[#This Row],[Zisk]]/Tabuľka4[[#This Row],[Trzba]]</f>
        <v>0.38061135371179033</v>
      </c>
      <c r="Q480">
        <v>2024</v>
      </c>
      <c r="R480" t="str">
        <f>TEXT(Tabuľka4[[#This Row],[Datum]],"MMMM")</f>
        <v>október</v>
      </c>
    </row>
    <row r="481" spans="1:18" x14ac:dyDescent="0.3">
      <c r="A481" s="2">
        <v>45617</v>
      </c>
      <c r="B481" t="s">
        <v>799</v>
      </c>
      <c r="C481" t="s">
        <v>588</v>
      </c>
      <c r="D481" t="s">
        <v>20</v>
      </c>
      <c r="E481" t="s">
        <v>0</v>
      </c>
      <c r="F481" t="s">
        <v>22</v>
      </c>
      <c r="G481" t="s">
        <v>188</v>
      </c>
      <c r="H481" t="s">
        <v>791</v>
      </c>
      <c r="I481" t="s">
        <v>63</v>
      </c>
      <c r="J481">
        <v>4</v>
      </c>
      <c r="K481">
        <v>1452</v>
      </c>
      <c r="L481">
        <v>0.17</v>
      </c>
      <c r="M481">
        <v>5808</v>
      </c>
      <c r="N481">
        <v>2856.6</v>
      </c>
      <c r="O481">
        <v>2951.4</v>
      </c>
      <c r="P481" s="19">
        <f>Tabuľka4[[#This Row],[Zisk]]/Tabuľka4[[#This Row],[Trzba]]</f>
        <v>0.50816115702479336</v>
      </c>
      <c r="Q481">
        <v>2024</v>
      </c>
      <c r="R481" t="str">
        <f>TEXT(Tabuľka4[[#This Row],[Datum]],"MMMM")</f>
        <v>november</v>
      </c>
    </row>
    <row r="482" spans="1:18" x14ac:dyDescent="0.3">
      <c r="A482" s="2">
        <v>45617</v>
      </c>
      <c r="B482" t="s">
        <v>800</v>
      </c>
      <c r="C482" t="s">
        <v>721</v>
      </c>
      <c r="D482" t="s">
        <v>20</v>
      </c>
      <c r="E482" t="s">
        <v>21</v>
      </c>
      <c r="F482" t="s">
        <v>43</v>
      </c>
      <c r="G482" t="s">
        <v>188</v>
      </c>
      <c r="H482" t="s">
        <v>791</v>
      </c>
      <c r="I482" t="s">
        <v>46</v>
      </c>
      <c r="J482">
        <v>1</v>
      </c>
      <c r="K482">
        <v>903</v>
      </c>
      <c r="L482">
        <v>0.23</v>
      </c>
      <c r="M482">
        <v>903</v>
      </c>
      <c r="N482">
        <v>609</v>
      </c>
      <c r="O482">
        <v>294</v>
      </c>
      <c r="P482" s="19">
        <f>Tabuľka4[[#This Row],[Zisk]]/Tabuľka4[[#This Row],[Trzba]]</f>
        <v>0.32558139534883723</v>
      </c>
      <c r="Q482">
        <v>2024</v>
      </c>
      <c r="R482" t="str">
        <f>TEXT(Tabuľka4[[#This Row],[Datum]],"MMMM")</f>
        <v>november</v>
      </c>
    </row>
    <row r="483" spans="1:18" x14ac:dyDescent="0.3">
      <c r="A483" s="2">
        <v>45627</v>
      </c>
      <c r="B483" t="s">
        <v>801</v>
      </c>
      <c r="C483" t="s">
        <v>461</v>
      </c>
      <c r="D483" t="s">
        <v>20</v>
      </c>
      <c r="E483" t="s">
        <v>0</v>
      </c>
      <c r="F483" t="s">
        <v>22</v>
      </c>
      <c r="G483" t="s">
        <v>188</v>
      </c>
      <c r="H483" t="s">
        <v>791</v>
      </c>
      <c r="I483" t="s">
        <v>63</v>
      </c>
      <c r="J483">
        <v>5</v>
      </c>
      <c r="K483">
        <v>1046</v>
      </c>
      <c r="L483">
        <v>0.12</v>
      </c>
      <c r="M483">
        <v>5230</v>
      </c>
      <c r="N483">
        <v>2767.15</v>
      </c>
      <c r="O483">
        <v>2462.85</v>
      </c>
      <c r="P483" s="19">
        <f>Tabuľka4[[#This Row],[Zisk]]/Tabuľka4[[#This Row],[Trzba]]</f>
        <v>0.47090822179732311</v>
      </c>
      <c r="Q483">
        <v>2024</v>
      </c>
      <c r="R483" t="str">
        <f>TEXT(Tabuľka4[[#This Row],[Datum]],"MMMM")</f>
        <v>december</v>
      </c>
    </row>
    <row r="484" spans="1:18" x14ac:dyDescent="0.3">
      <c r="A484" s="2">
        <v>45677</v>
      </c>
      <c r="B484" t="s">
        <v>802</v>
      </c>
      <c r="C484" t="s">
        <v>803</v>
      </c>
      <c r="D484" t="s">
        <v>20</v>
      </c>
      <c r="E484" t="s">
        <v>50</v>
      </c>
      <c r="F484" t="s">
        <v>22</v>
      </c>
      <c r="G484" t="s">
        <v>188</v>
      </c>
      <c r="H484" t="s">
        <v>791</v>
      </c>
      <c r="I484" t="s">
        <v>38</v>
      </c>
      <c r="J484">
        <v>4</v>
      </c>
      <c r="K484">
        <v>933</v>
      </c>
      <c r="L484">
        <v>0.06</v>
      </c>
      <c r="M484">
        <v>3732</v>
      </c>
      <c r="N484">
        <v>2719.48</v>
      </c>
      <c r="O484">
        <v>1012.52</v>
      </c>
      <c r="P484" s="19">
        <f>Tabuľka4[[#This Row],[Zisk]]/Tabuľka4[[#This Row],[Trzba]]</f>
        <v>0.27130760986066454</v>
      </c>
      <c r="Q484">
        <v>2025</v>
      </c>
      <c r="R484" t="str">
        <f>TEXT(Tabuľka4[[#This Row],[Datum]],"MMMM")</f>
        <v>január</v>
      </c>
    </row>
    <row r="485" spans="1:18" x14ac:dyDescent="0.3">
      <c r="A485" s="2">
        <v>45732</v>
      </c>
      <c r="B485" t="s">
        <v>804</v>
      </c>
      <c r="C485" t="s">
        <v>251</v>
      </c>
      <c r="D485" t="s">
        <v>20</v>
      </c>
      <c r="E485" t="s">
        <v>50</v>
      </c>
      <c r="F485" t="s">
        <v>22</v>
      </c>
      <c r="G485" t="s">
        <v>188</v>
      </c>
      <c r="H485" t="s">
        <v>791</v>
      </c>
      <c r="I485" t="s">
        <v>38</v>
      </c>
      <c r="J485">
        <v>6</v>
      </c>
      <c r="K485">
        <v>1020</v>
      </c>
      <c r="L485">
        <v>0.03</v>
      </c>
      <c r="M485">
        <v>6120</v>
      </c>
      <c r="N485">
        <v>4183.8100000000004</v>
      </c>
      <c r="O485">
        <v>1936.1899999999996</v>
      </c>
      <c r="P485" s="19">
        <f>Tabuľka4[[#This Row],[Zisk]]/Tabuľka4[[#This Row],[Trzba]]</f>
        <v>0.31637091503267967</v>
      </c>
      <c r="Q485">
        <v>2025</v>
      </c>
      <c r="R485" t="str">
        <f>TEXT(Tabuľka4[[#This Row],[Datum]],"MMMM")</f>
        <v>marec</v>
      </c>
    </row>
    <row r="486" spans="1:18" x14ac:dyDescent="0.3">
      <c r="A486" s="2">
        <v>45801</v>
      </c>
      <c r="B486" t="s">
        <v>805</v>
      </c>
      <c r="C486" t="s">
        <v>48</v>
      </c>
      <c r="D486" t="s">
        <v>49</v>
      </c>
      <c r="E486" t="s">
        <v>21</v>
      </c>
      <c r="F486" t="s">
        <v>58</v>
      </c>
      <c r="G486" t="s">
        <v>188</v>
      </c>
      <c r="H486" t="s">
        <v>791</v>
      </c>
      <c r="I486" t="s">
        <v>33</v>
      </c>
      <c r="J486">
        <v>10</v>
      </c>
      <c r="K486">
        <v>1229</v>
      </c>
      <c r="L486">
        <v>0.11</v>
      </c>
      <c r="M486">
        <v>12290</v>
      </c>
      <c r="N486">
        <v>6601.5</v>
      </c>
      <c r="O486">
        <v>5688.5</v>
      </c>
      <c r="P486" s="19">
        <f>Tabuľka4[[#This Row],[Zisk]]/Tabuľka4[[#This Row],[Trzba]]</f>
        <v>0.46285598047192839</v>
      </c>
      <c r="Q486">
        <v>2025</v>
      </c>
      <c r="R486" t="str">
        <f>TEXT(Tabuľka4[[#This Row],[Datum]],"MMMM")</f>
        <v>máj</v>
      </c>
    </row>
    <row r="487" spans="1:18" x14ac:dyDescent="0.3">
      <c r="A487" s="2">
        <v>45830</v>
      </c>
      <c r="B487" t="s">
        <v>806</v>
      </c>
      <c r="C487" t="s">
        <v>48</v>
      </c>
      <c r="D487" t="s">
        <v>49</v>
      </c>
      <c r="E487" t="s">
        <v>68</v>
      </c>
      <c r="F487" t="s">
        <v>58</v>
      </c>
      <c r="G487" t="s">
        <v>188</v>
      </c>
      <c r="H487" t="s">
        <v>791</v>
      </c>
      <c r="I487" t="s">
        <v>63</v>
      </c>
      <c r="J487">
        <v>11</v>
      </c>
      <c r="K487">
        <v>1116</v>
      </c>
      <c r="L487">
        <v>0.18</v>
      </c>
      <c r="M487">
        <v>12276</v>
      </c>
      <c r="N487">
        <v>8089.5</v>
      </c>
      <c r="O487">
        <v>4186.5</v>
      </c>
      <c r="P487" s="19">
        <f>Tabuľka4[[#This Row],[Zisk]]/Tabuľka4[[#This Row],[Trzba]]</f>
        <v>0.34103128054740955</v>
      </c>
      <c r="Q487">
        <v>2025</v>
      </c>
      <c r="R487" t="str">
        <f>TEXT(Tabuľka4[[#This Row],[Datum]],"MMMM")</f>
        <v>jún</v>
      </c>
    </row>
    <row r="488" spans="1:18" x14ac:dyDescent="0.3">
      <c r="A488" s="2">
        <v>45844</v>
      </c>
      <c r="B488" t="s">
        <v>807</v>
      </c>
      <c r="C488" t="s">
        <v>808</v>
      </c>
      <c r="D488" t="s">
        <v>20</v>
      </c>
      <c r="E488" t="s">
        <v>21</v>
      </c>
      <c r="F488" t="s">
        <v>43</v>
      </c>
      <c r="G488" t="s">
        <v>188</v>
      </c>
      <c r="H488" t="s">
        <v>791</v>
      </c>
      <c r="I488" t="s">
        <v>46</v>
      </c>
      <c r="J488">
        <v>4</v>
      </c>
      <c r="K488">
        <v>1820</v>
      </c>
      <c r="L488">
        <v>0.13</v>
      </c>
      <c r="M488">
        <v>7280</v>
      </c>
      <c r="N488">
        <v>4493.3999999999996</v>
      </c>
      <c r="O488">
        <v>2786.6000000000004</v>
      </c>
      <c r="P488" s="19">
        <f>Tabuľka4[[#This Row],[Zisk]]/Tabuľka4[[#This Row],[Trzba]]</f>
        <v>0.38277472527472534</v>
      </c>
      <c r="Q488">
        <v>2025</v>
      </c>
      <c r="R488" t="str">
        <f>TEXT(Tabuľka4[[#This Row],[Datum]],"MMMM")</f>
        <v>júl</v>
      </c>
    </row>
    <row r="489" spans="1:18" x14ac:dyDescent="0.3">
      <c r="A489" s="2">
        <v>45846</v>
      </c>
      <c r="B489" t="s">
        <v>809</v>
      </c>
      <c r="C489" t="s">
        <v>810</v>
      </c>
      <c r="D489" t="s">
        <v>20</v>
      </c>
      <c r="E489" t="s">
        <v>21</v>
      </c>
      <c r="F489" t="s">
        <v>22</v>
      </c>
      <c r="G489" t="s">
        <v>188</v>
      </c>
      <c r="H489" t="s">
        <v>791</v>
      </c>
      <c r="I489" t="s">
        <v>38</v>
      </c>
      <c r="J489">
        <v>4</v>
      </c>
      <c r="K489">
        <v>1221</v>
      </c>
      <c r="L489">
        <v>0.05</v>
      </c>
      <c r="M489">
        <v>4884</v>
      </c>
      <c r="N489">
        <v>3280.28</v>
      </c>
      <c r="O489">
        <v>1603.7199999999998</v>
      </c>
      <c r="P489" s="19">
        <f>Tabuľka4[[#This Row],[Zisk]]/Tabuľka4[[#This Row],[Trzba]]</f>
        <v>0.32836199836199831</v>
      </c>
      <c r="Q489">
        <v>2025</v>
      </c>
      <c r="R489" t="str">
        <f>TEXT(Tabuľka4[[#This Row],[Datum]],"MMMM")</f>
        <v>júl</v>
      </c>
    </row>
    <row r="490" spans="1:18" x14ac:dyDescent="0.3">
      <c r="A490" s="2">
        <v>45849</v>
      </c>
      <c r="B490" t="s">
        <v>811</v>
      </c>
      <c r="C490" t="s">
        <v>754</v>
      </c>
      <c r="D490" t="s">
        <v>20</v>
      </c>
      <c r="E490" t="s">
        <v>68</v>
      </c>
      <c r="F490" t="s">
        <v>22</v>
      </c>
      <c r="G490" t="s">
        <v>188</v>
      </c>
      <c r="H490" t="s">
        <v>791</v>
      </c>
      <c r="I490" t="s">
        <v>25</v>
      </c>
      <c r="J490">
        <v>2</v>
      </c>
      <c r="K490">
        <v>1498</v>
      </c>
      <c r="L490">
        <v>0.12</v>
      </c>
      <c r="M490">
        <v>2996</v>
      </c>
      <c r="N490">
        <v>1858.08</v>
      </c>
      <c r="O490">
        <v>1137.92</v>
      </c>
      <c r="P490" s="19">
        <f>Tabuľka4[[#This Row],[Zisk]]/Tabuľka4[[#This Row],[Trzba]]</f>
        <v>0.37981308411214953</v>
      </c>
      <c r="Q490">
        <v>2025</v>
      </c>
      <c r="R490" t="str">
        <f>TEXT(Tabuľka4[[#This Row],[Datum]],"MMMM")</f>
        <v>júl</v>
      </c>
    </row>
    <row r="491" spans="1:18" x14ac:dyDescent="0.3">
      <c r="A491" s="2">
        <v>45874</v>
      </c>
      <c r="B491" t="s">
        <v>812</v>
      </c>
      <c r="C491" t="s">
        <v>130</v>
      </c>
      <c r="D491" t="s">
        <v>20</v>
      </c>
      <c r="E491" t="s">
        <v>68</v>
      </c>
      <c r="F491" t="s">
        <v>22</v>
      </c>
      <c r="G491" t="s">
        <v>188</v>
      </c>
      <c r="H491" t="s">
        <v>791</v>
      </c>
      <c r="I491" t="s">
        <v>51</v>
      </c>
      <c r="J491">
        <v>7</v>
      </c>
      <c r="K491">
        <v>1290</v>
      </c>
      <c r="L491">
        <v>0</v>
      </c>
      <c r="M491">
        <v>9030</v>
      </c>
      <c r="N491">
        <v>5887.77</v>
      </c>
      <c r="O491">
        <v>3142.2299999999996</v>
      </c>
      <c r="P491" s="19">
        <f>Tabuľka4[[#This Row],[Zisk]]/Tabuľka4[[#This Row],[Trzba]]</f>
        <v>0.34797674418604646</v>
      </c>
      <c r="Q491">
        <v>2025</v>
      </c>
      <c r="R491" t="str">
        <f>TEXT(Tabuľka4[[#This Row],[Datum]],"MMMM")</f>
        <v>august</v>
      </c>
    </row>
    <row r="492" spans="1:18" x14ac:dyDescent="0.3">
      <c r="A492" s="2">
        <v>46053</v>
      </c>
      <c r="B492" t="s">
        <v>813</v>
      </c>
      <c r="C492" t="s">
        <v>219</v>
      </c>
      <c r="D492" t="s">
        <v>20</v>
      </c>
      <c r="E492" t="s">
        <v>0</v>
      </c>
      <c r="F492" t="s">
        <v>58</v>
      </c>
      <c r="G492" t="s">
        <v>188</v>
      </c>
      <c r="H492" t="s">
        <v>791</v>
      </c>
      <c r="I492" t="s">
        <v>46</v>
      </c>
      <c r="J492">
        <v>4</v>
      </c>
      <c r="K492">
        <v>1008</v>
      </c>
      <c r="L492">
        <v>0.12</v>
      </c>
      <c r="M492">
        <v>4032</v>
      </c>
      <c r="N492">
        <v>2263.88</v>
      </c>
      <c r="O492">
        <v>1768.12</v>
      </c>
      <c r="P492" s="19">
        <f>Tabuľka4[[#This Row],[Zisk]]/Tabuľka4[[#This Row],[Trzba]]</f>
        <v>0.43852182539682538</v>
      </c>
      <c r="Q492">
        <v>2026</v>
      </c>
      <c r="R492" t="str">
        <f>TEXT(Tabuľka4[[#This Row],[Datum]],"MMMM")</f>
        <v>január</v>
      </c>
    </row>
    <row r="493" spans="1:18" x14ac:dyDescent="0.3">
      <c r="A493" s="2">
        <v>45363</v>
      </c>
      <c r="B493" t="s">
        <v>814</v>
      </c>
      <c r="C493" t="s">
        <v>60</v>
      </c>
      <c r="D493" t="s">
        <v>20</v>
      </c>
      <c r="E493" t="s">
        <v>0</v>
      </c>
      <c r="F493" t="s">
        <v>22</v>
      </c>
      <c r="G493" t="s">
        <v>188</v>
      </c>
      <c r="H493" t="s">
        <v>815</v>
      </c>
      <c r="I493" t="s">
        <v>33</v>
      </c>
      <c r="J493">
        <v>2</v>
      </c>
      <c r="K493">
        <v>364</v>
      </c>
      <c r="L493">
        <v>0.14000000000000001</v>
      </c>
      <c r="M493">
        <v>728</v>
      </c>
      <c r="N493">
        <v>444.07</v>
      </c>
      <c r="O493">
        <v>283.93</v>
      </c>
      <c r="P493" s="19">
        <f>Tabuľka4[[#This Row],[Zisk]]/Tabuľka4[[#This Row],[Trzba]]</f>
        <v>0.39001373626373625</v>
      </c>
      <c r="Q493">
        <v>2024</v>
      </c>
      <c r="R493" t="str">
        <f>TEXT(Tabuľka4[[#This Row],[Datum]],"MMMM")</f>
        <v>marec</v>
      </c>
    </row>
    <row r="494" spans="1:18" x14ac:dyDescent="0.3">
      <c r="A494" s="2">
        <v>45380</v>
      </c>
      <c r="B494" t="s">
        <v>816</v>
      </c>
      <c r="C494" t="s">
        <v>817</v>
      </c>
      <c r="D494" t="s">
        <v>20</v>
      </c>
      <c r="E494" t="s">
        <v>68</v>
      </c>
      <c r="F494" t="s">
        <v>22</v>
      </c>
      <c r="G494" t="s">
        <v>188</v>
      </c>
      <c r="H494" t="s">
        <v>815</v>
      </c>
      <c r="I494" t="s">
        <v>33</v>
      </c>
      <c r="J494">
        <v>3</v>
      </c>
      <c r="K494">
        <v>287</v>
      </c>
      <c r="L494">
        <v>0.08</v>
      </c>
      <c r="M494">
        <v>861</v>
      </c>
      <c r="N494">
        <v>536.47</v>
      </c>
      <c r="O494">
        <v>324.52999999999997</v>
      </c>
      <c r="P494" s="19">
        <f>Tabuľka4[[#This Row],[Zisk]]/Tabuľka4[[#This Row],[Trzba]]</f>
        <v>0.3769221835075493</v>
      </c>
      <c r="Q494">
        <v>2024</v>
      </c>
      <c r="R494" t="str">
        <f>TEXT(Tabuľka4[[#This Row],[Datum]],"MMMM")</f>
        <v>marec</v>
      </c>
    </row>
    <row r="495" spans="1:18" x14ac:dyDescent="0.3">
      <c r="A495" s="2">
        <v>45560</v>
      </c>
      <c r="B495" t="s">
        <v>818</v>
      </c>
      <c r="C495" t="s">
        <v>74</v>
      </c>
      <c r="D495" t="s">
        <v>49</v>
      </c>
      <c r="E495" t="s">
        <v>21</v>
      </c>
      <c r="F495" t="s">
        <v>58</v>
      </c>
      <c r="G495" t="s">
        <v>188</v>
      </c>
      <c r="H495" t="s">
        <v>815</v>
      </c>
      <c r="I495" t="s">
        <v>88</v>
      </c>
      <c r="J495">
        <v>7</v>
      </c>
      <c r="K495">
        <v>329</v>
      </c>
      <c r="L495">
        <v>0.11</v>
      </c>
      <c r="M495">
        <v>2303</v>
      </c>
      <c r="N495">
        <v>1267.23</v>
      </c>
      <c r="O495">
        <v>1035.77</v>
      </c>
      <c r="P495" s="19">
        <f>Tabuľka4[[#This Row],[Zisk]]/Tabuľka4[[#This Row],[Trzba]]</f>
        <v>0.44974815458098133</v>
      </c>
      <c r="Q495">
        <v>2024</v>
      </c>
      <c r="R495" t="str">
        <f>TEXT(Tabuľka4[[#This Row],[Datum]],"MMMM")</f>
        <v>september</v>
      </c>
    </row>
    <row r="496" spans="1:18" x14ac:dyDescent="0.3">
      <c r="A496" s="2">
        <v>45568</v>
      </c>
      <c r="B496" t="s">
        <v>819</v>
      </c>
      <c r="C496" t="s">
        <v>516</v>
      </c>
      <c r="D496" t="s">
        <v>20</v>
      </c>
      <c r="E496" t="s">
        <v>0</v>
      </c>
      <c r="F496" t="s">
        <v>22</v>
      </c>
      <c r="G496" t="s">
        <v>188</v>
      </c>
      <c r="H496" t="s">
        <v>815</v>
      </c>
      <c r="I496" t="s">
        <v>51</v>
      </c>
      <c r="J496">
        <v>2</v>
      </c>
      <c r="K496">
        <v>512</v>
      </c>
      <c r="L496">
        <v>0.01</v>
      </c>
      <c r="M496">
        <v>1024</v>
      </c>
      <c r="N496">
        <v>623.27</v>
      </c>
      <c r="O496">
        <v>400.73</v>
      </c>
      <c r="P496" s="19">
        <f>Tabuľka4[[#This Row],[Zisk]]/Tabuľka4[[#This Row],[Trzba]]</f>
        <v>0.39133789062500002</v>
      </c>
      <c r="Q496">
        <v>2024</v>
      </c>
      <c r="R496" t="str">
        <f>TEXT(Tabuľka4[[#This Row],[Datum]],"MMMM")</f>
        <v>október</v>
      </c>
    </row>
    <row r="497" spans="1:18" x14ac:dyDescent="0.3">
      <c r="A497" s="2">
        <v>45575</v>
      </c>
      <c r="B497" t="s">
        <v>820</v>
      </c>
      <c r="C497" t="s">
        <v>373</v>
      </c>
      <c r="D497" t="s">
        <v>20</v>
      </c>
      <c r="E497" t="s">
        <v>21</v>
      </c>
      <c r="F497" t="s">
        <v>22</v>
      </c>
      <c r="G497" t="s">
        <v>188</v>
      </c>
      <c r="H497" t="s">
        <v>815</v>
      </c>
      <c r="I497" t="s">
        <v>63</v>
      </c>
      <c r="J497">
        <v>2</v>
      </c>
      <c r="K497">
        <v>382</v>
      </c>
      <c r="L497">
        <v>7.0000000000000007E-2</v>
      </c>
      <c r="M497">
        <v>764</v>
      </c>
      <c r="N497">
        <v>388.57</v>
      </c>
      <c r="O497">
        <v>375.43</v>
      </c>
      <c r="P497" s="19">
        <f>Tabuľka4[[#This Row],[Zisk]]/Tabuľka4[[#This Row],[Trzba]]</f>
        <v>0.49140052356020941</v>
      </c>
      <c r="Q497">
        <v>2024</v>
      </c>
      <c r="R497" t="str">
        <f>TEXT(Tabuľka4[[#This Row],[Datum]],"MMMM")</f>
        <v>október</v>
      </c>
    </row>
    <row r="498" spans="1:18" x14ac:dyDescent="0.3">
      <c r="A498" s="2">
        <v>45675</v>
      </c>
      <c r="B498" t="s">
        <v>821</v>
      </c>
      <c r="C498" t="s">
        <v>132</v>
      </c>
      <c r="D498" t="s">
        <v>49</v>
      </c>
      <c r="E498" t="s">
        <v>21</v>
      </c>
      <c r="F498" t="s">
        <v>22</v>
      </c>
      <c r="G498" t="s">
        <v>188</v>
      </c>
      <c r="H498" t="s">
        <v>815</v>
      </c>
      <c r="I498" t="s">
        <v>46</v>
      </c>
      <c r="J498">
        <v>10</v>
      </c>
      <c r="K498">
        <v>416</v>
      </c>
      <c r="L498">
        <v>0.09</v>
      </c>
      <c r="M498">
        <v>4160</v>
      </c>
      <c r="N498">
        <v>2969.31</v>
      </c>
      <c r="O498">
        <v>1190.69</v>
      </c>
      <c r="P498" s="19">
        <f>Tabuľka4[[#This Row],[Zisk]]/Tabuľka4[[#This Row],[Trzba]]</f>
        <v>0.28622355769230773</v>
      </c>
      <c r="Q498">
        <v>2025</v>
      </c>
      <c r="R498" t="str">
        <f>TEXT(Tabuľka4[[#This Row],[Datum]],"MMMM")</f>
        <v>január</v>
      </c>
    </row>
    <row r="499" spans="1:18" x14ac:dyDescent="0.3">
      <c r="A499" s="2">
        <v>45703</v>
      </c>
      <c r="B499" t="s">
        <v>822</v>
      </c>
      <c r="C499" t="s">
        <v>362</v>
      </c>
      <c r="D499" t="s">
        <v>20</v>
      </c>
      <c r="E499" t="s">
        <v>21</v>
      </c>
      <c r="F499" t="s">
        <v>22</v>
      </c>
      <c r="G499" t="s">
        <v>188</v>
      </c>
      <c r="H499" t="s">
        <v>815</v>
      </c>
      <c r="I499" t="s">
        <v>33</v>
      </c>
      <c r="J499">
        <v>2</v>
      </c>
      <c r="K499">
        <v>374</v>
      </c>
      <c r="L499">
        <v>7.0000000000000007E-2</v>
      </c>
      <c r="M499">
        <v>748</v>
      </c>
      <c r="N499">
        <v>543.73</v>
      </c>
      <c r="O499">
        <v>204.26999999999998</v>
      </c>
      <c r="P499" s="19">
        <f>Tabuľka4[[#This Row],[Zisk]]/Tabuľka4[[#This Row],[Trzba]]</f>
        <v>0.27308823529411763</v>
      </c>
      <c r="Q499">
        <v>2025</v>
      </c>
      <c r="R499" t="str">
        <f>TEXT(Tabuľka4[[#This Row],[Datum]],"MMMM")</f>
        <v>február</v>
      </c>
    </row>
    <row r="500" spans="1:18" x14ac:dyDescent="0.3">
      <c r="A500" s="2">
        <v>45865</v>
      </c>
      <c r="B500" t="s">
        <v>823</v>
      </c>
      <c r="C500" t="s">
        <v>185</v>
      </c>
      <c r="D500" t="s">
        <v>49</v>
      </c>
      <c r="E500" t="s">
        <v>21</v>
      </c>
      <c r="F500" t="s">
        <v>58</v>
      </c>
      <c r="G500" t="s">
        <v>188</v>
      </c>
      <c r="H500" t="s">
        <v>815</v>
      </c>
      <c r="I500" t="s">
        <v>88</v>
      </c>
      <c r="J500">
        <v>8</v>
      </c>
      <c r="K500">
        <v>253</v>
      </c>
      <c r="L500">
        <v>0.13</v>
      </c>
      <c r="M500">
        <v>2024</v>
      </c>
      <c r="N500">
        <v>1047.1199999999999</v>
      </c>
      <c r="O500">
        <v>976.88000000000011</v>
      </c>
      <c r="P500" s="19">
        <f>Tabuľka4[[#This Row],[Zisk]]/Tabuľka4[[#This Row],[Trzba]]</f>
        <v>0.48264822134387358</v>
      </c>
      <c r="Q500">
        <v>2025</v>
      </c>
      <c r="R500" t="str">
        <f>TEXT(Tabuľka4[[#This Row],[Datum]],"MMMM")</f>
        <v>júl</v>
      </c>
    </row>
    <row r="501" spans="1:18" x14ac:dyDescent="0.3">
      <c r="A501" s="2">
        <v>45871</v>
      </c>
      <c r="B501" t="s">
        <v>824</v>
      </c>
      <c r="C501" t="s">
        <v>74</v>
      </c>
      <c r="D501" t="s">
        <v>49</v>
      </c>
      <c r="E501" t="s">
        <v>0</v>
      </c>
      <c r="F501" t="s">
        <v>58</v>
      </c>
      <c r="G501" t="s">
        <v>188</v>
      </c>
      <c r="H501" t="s">
        <v>815</v>
      </c>
      <c r="I501" t="s">
        <v>30</v>
      </c>
      <c r="J501">
        <v>8</v>
      </c>
      <c r="K501">
        <v>267</v>
      </c>
      <c r="L501">
        <v>0</v>
      </c>
      <c r="M501">
        <v>2136</v>
      </c>
      <c r="N501">
        <v>1874.39</v>
      </c>
      <c r="O501">
        <v>261.6099999999999</v>
      </c>
      <c r="P501" s="19">
        <f>Tabuľka4[[#This Row],[Zisk]]/Tabuľka4[[#This Row],[Trzba]]</f>
        <v>0.12247659176029958</v>
      </c>
      <c r="Q501">
        <v>2025</v>
      </c>
      <c r="R501" t="str">
        <f>TEXT(Tabuľka4[[#This Row],[Datum]],"MMMM")</f>
        <v>august</v>
      </c>
    </row>
    <row r="502" spans="1:18" x14ac:dyDescent="0.3">
      <c r="A502" s="2">
        <v>45997</v>
      </c>
      <c r="B502" t="s">
        <v>825</v>
      </c>
      <c r="C502" t="s">
        <v>167</v>
      </c>
      <c r="D502" t="s">
        <v>20</v>
      </c>
      <c r="E502" t="s">
        <v>21</v>
      </c>
      <c r="F502" t="s">
        <v>43</v>
      </c>
      <c r="G502" t="s">
        <v>188</v>
      </c>
      <c r="H502" t="s">
        <v>815</v>
      </c>
      <c r="I502" t="s">
        <v>25</v>
      </c>
      <c r="J502">
        <v>3</v>
      </c>
      <c r="K502">
        <v>288</v>
      </c>
      <c r="L502">
        <v>0.08</v>
      </c>
      <c r="M502">
        <v>864</v>
      </c>
      <c r="N502">
        <v>534.32000000000005</v>
      </c>
      <c r="O502">
        <v>329.67999999999995</v>
      </c>
      <c r="P502" s="19">
        <f>Tabuľka4[[#This Row],[Zisk]]/Tabuľka4[[#This Row],[Trzba]]</f>
        <v>0.38157407407407401</v>
      </c>
      <c r="Q502">
        <v>2025</v>
      </c>
      <c r="R502" t="str">
        <f>TEXT(Tabuľka4[[#This Row],[Datum]],"MMMM")</f>
        <v>december</v>
      </c>
    </row>
    <row r="503" spans="1:18" x14ac:dyDescent="0.3">
      <c r="A503" s="2">
        <v>46113</v>
      </c>
      <c r="B503" t="s">
        <v>826</v>
      </c>
      <c r="C503" t="s">
        <v>138</v>
      </c>
      <c r="D503" t="s">
        <v>20</v>
      </c>
      <c r="E503" t="s">
        <v>0</v>
      </c>
      <c r="F503" t="s">
        <v>22</v>
      </c>
      <c r="G503" t="s">
        <v>188</v>
      </c>
      <c r="H503" t="s">
        <v>815</v>
      </c>
      <c r="I503" t="s">
        <v>30</v>
      </c>
      <c r="J503">
        <v>2</v>
      </c>
      <c r="K503">
        <v>433</v>
      </c>
      <c r="L503">
        <v>0</v>
      </c>
      <c r="M503">
        <v>866</v>
      </c>
      <c r="N503">
        <v>532.80999999999995</v>
      </c>
      <c r="O503">
        <v>333.19000000000005</v>
      </c>
      <c r="P503" s="19">
        <f>Tabuľka4[[#This Row],[Zisk]]/Tabuľka4[[#This Row],[Trzba]]</f>
        <v>0.38474595842956127</v>
      </c>
      <c r="Q503">
        <v>2026</v>
      </c>
      <c r="R503" t="str">
        <f>TEXT(Tabuľka4[[#This Row],[Datum]],"MMMM")</f>
        <v>apríl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Hárky</vt:lpstr>
      </vt:variant>
      <vt:variant>
        <vt:i4>3</vt:i4>
      </vt:variant>
    </vt:vector>
  </HeadingPairs>
  <TitlesOfParts>
    <vt:vector size="3" baseType="lpstr">
      <vt:lpstr>Dashboard predaj</vt:lpstr>
      <vt:lpstr>Pomocne KT</vt:lpstr>
      <vt:lpstr>Predaje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Magdaléna Šimová</cp:lastModifiedBy>
  <cp:revision>0</cp:revision>
  <dcterms:created xsi:type="dcterms:W3CDTF">2026-09-28T10:01:02Z</dcterms:created>
  <dcterms:modified xsi:type="dcterms:W3CDTF">2026-10-03T19:25:42Z</dcterms:modified>
  <dc:language>en-US</dc:language>
</cp:coreProperties>
</file>