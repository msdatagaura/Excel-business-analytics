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us\Desktop\GITHUB\Excel\"/>
    </mc:Choice>
  </mc:AlternateContent>
  <xr:revisionPtr revIDLastSave="0" documentId="13_ncr:1_{B45BA928-D060-43A7-88FE-C744123BA95C}" xr6:coauthVersionLast="47" xr6:coauthVersionMax="47" xr10:uidLastSave="{00000000-0000-0000-0000-000000000000}"/>
  <bookViews>
    <workbookView xWindow="-108" yWindow="-108" windowWidth="23256" windowHeight="12576" tabRatio="500" firstSheet="3" activeTab="7" xr2:uid="{00000000-000D-0000-FFFF-FFFF00000000}"/>
  </bookViews>
  <sheets>
    <sheet name="DH_predaj_kanal" sheetId="12" r:id="rId1"/>
    <sheet name="DH_predaj_region" sheetId="5" r:id="rId2"/>
    <sheet name="DH_predaj_kategorie" sheetId="10" r:id="rId3"/>
    <sheet name="DH_predaj_produkty" sheetId="11" r:id="rId4"/>
    <sheet name="ABC" sheetId="16" r:id="rId5"/>
    <sheet name="ABC Zisk" sheetId="18" r:id="rId6"/>
    <sheet name="Predaje" sheetId="4" r:id="rId7"/>
    <sheet name="Pomocne KT" sheetId="6" r:id="rId8"/>
  </sheets>
  <definedNames>
    <definedName name="Rýchly_filter_Kategorie11">#N/A</definedName>
    <definedName name="Rýchly_filter_Mesiace__Datum1">#N/A</definedName>
    <definedName name="Rýchly_filter_Mesiace1">#N/A</definedName>
    <definedName name="Rýchly_filter_Region">#N/A</definedName>
    <definedName name="Rýchly_filter_Rok11">#N/A</definedName>
    <definedName name="Rýchly_filter_Segment11">#N/A</definedName>
    <definedName name="Rýchly_filter_Trieda">#N/A</definedName>
  </definedNames>
  <calcPr calcId="191029" iterateDelta="1E-4"/>
  <pivotCaches>
    <pivotCache cacheId="0" r:id="rId9"/>
    <pivotCache cacheId="3" r:id="rId10"/>
    <pivotCache cacheId="8" r:id="rId11"/>
  </pivotCaches>
  <extLst>
    <ext xmlns:x14="http://schemas.microsoft.com/office/spreadsheetml/2009/9/main" uri="{BBE1A952-AA13-448e-AADC-164F8A28A991}">
      <x14:slicerCaches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" i="18" l="1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2" i="18"/>
  <c r="C3" i="18"/>
  <c r="C4" i="18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2" i="18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2" i="16"/>
  <c r="C3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2" i="16"/>
  <c r="S70" i="4"/>
  <c r="S90" i="4"/>
  <c r="S195" i="4"/>
  <c r="S169" i="4"/>
  <c r="S101" i="4"/>
  <c r="S63" i="4"/>
  <c r="S98" i="4"/>
  <c r="S218" i="4"/>
  <c r="S43" i="4"/>
  <c r="S71" i="4"/>
  <c r="S89" i="4"/>
  <c r="S20" i="4"/>
  <c r="S68" i="4"/>
  <c r="S115" i="4"/>
  <c r="S138" i="4"/>
  <c r="S222" i="4"/>
  <c r="S335" i="4"/>
  <c r="S74" i="4"/>
  <c r="S256" i="4"/>
  <c r="S228" i="4"/>
  <c r="S330" i="4"/>
  <c r="S241" i="4"/>
  <c r="S254" i="4"/>
  <c r="S29" i="4"/>
  <c r="S149" i="4"/>
  <c r="S189" i="4"/>
  <c r="S102" i="4"/>
  <c r="S21" i="4"/>
  <c r="S117" i="4"/>
  <c r="S64" i="4"/>
  <c r="S25" i="4"/>
  <c r="S54" i="4"/>
  <c r="S61" i="4"/>
  <c r="S135" i="4"/>
  <c r="S19" i="4"/>
  <c r="S58" i="4"/>
  <c r="S209" i="4"/>
  <c r="S224" i="4"/>
  <c r="S127" i="4"/>
  <c r="S282" i="4"/>
  <c r="S359" i="4"/>
  <c r="S197" i="4"/>
  <c r="S248" i="4"/>
  <c r="S226" i="4"/>
  <c r="S382" i="4"/>
  <c r="S144" i="4"/>
  <c r="S235" i="4"/>
  <c r="S182" i="4"/>
  <c r="S247" i="4"/>
  <c r="S159" i="4"/>
  <c r="S238" i="4"/>
  <c r="S132" i="4"/>
  <c r="S180" i="4"/>
  <c r="S264" i="4"/>
  <c r="S327" i="4"/>
  <c r="S293" i="4"/>
  <c r="S280" i="4"/>
  <c r="S231" i="4"/>
  <c r="S183" i="4"/>
  <c r="S150" i="4"/>
  <c r="S300" i="4"/>
  <c r="S160" i="4"/>
  <c r="S111" i="4"/>
  <c r="S259" i="4"/>
  <c r="S220" i="4"/>
  <c r="S108" i="4"/>
  <c r="S245" i="4"/>
  <c r="S166" i="4"/>
  <c r="S297" i="4"/>
  <c r="S100" i="4"/>
  <c r="S295" i="4"/>
  <c r="S155" i="4"/>
  <c r="S79" i="4"/>
  <c r="S229" i="4"/>
  <c r="S77" i="4"/>
  <c r="S471" i="4"/>
  <c r="S468" i="4"/>
  <c r="S321" i="4"/>
  <c r="S473" i="4"/>
  <c r="S419" i="4"/>
  <c r="S462" i="4"/>
  <c r="S428" i="4"/>
  <c r="S346" i="4"/>
  <c r="S57" i="4"/>
  <c r="S119" i="4"/>
  <c r="S30" i="4"/>
  <c r="S34" i="4"/>
  <c r="S33" i="4"/>
  <c r="S106" i="4"/>
  <c r="S66" i="4"/>
  <c r="S28" i="4"/>
  <c r="S133" i="4"/>
  <c r="S67" i="4"/>
  <c r="S14" i="4"/>
  <c r="S42" i="4"/>
  <c r="S141" i="4"/>
  <c r="S84" i="4"/>
  <c r="S308" i="4"/>
  <c r="S208" i="4"/>
  <c r="S361" i="4"/>
  <c r="S104" i="4"/>
  <c r="S91" i="4"/>
  <c r="S203" i="4"/>
  <c r="S136" i="4"/>
  <c r="S76" i="4"/>
  <c r="S276" i="4"/>
  <c r="S215" i="4"/>
  <c r="S190" i="4"/>
  <c r="S486" i="4"/>
  <c r="S452" i="4"/>
  <c r="S484" i="4"/>
  <c r="S493" i="4"/>
  <c r="S463" i="4"/>
  <c r="S480" i="4"/>
  <c r="S501" i="4"/>
  <c r="S448" i="4"/>
  <c r="S458" i="4"/>
  <c r="S503" i="4"/>
  <c r="S499" i="4"/>
  <c r="S497" i="4"/>
  <c r="S464" i="4"/>
  <c r="S488" i="4"/>
  <c r="S333" i="4"/>
  <c r="S306" i="4"/>
  <c r="S302" i="4"/>
  <c r="S393" i="4"/>
  <c r="S299" i="4"/>
  <c r="S344" i="4"/>
  <c r="S430" i="4"/>
  <c r="S261" i="4"/>
  <c r="S270" i="4"/>
  <c r="S398" i="4"/>
  <c r="S376" i="4"/>
  <c r="S400" i="4"/>
  <c r="S404" i="4"/>
  <c r="S418" i="4"/>
  <c r="S436" i="4"/>
  <c r="S260" i="4"/>
  <c r="S340" i="4"/>
  <c r="S406" i="4"/>
  <c r="S322" i="4"/>
  <c r="S257" i="4"/>
  <c r="S324" i="4"/>
  <c r="S252" i="4"/>
  <c r="S263" i="4"/>
  <c r="S343" i="4"/>
  <c r="S332" i="4"/>
  <c r="S312" i="4"/>
  <c r="S95" i="4"/>
  <c r="S179" i="4"/>
  <c r="S194" i="4"/>
  <c r="S319" i="4"/>
  <c r="S309" i="4"/>
  <c r="S348" i="4"/>
  <c r="S113" i="4"/>
  <c r="S353" i="4"/>
  <c r="S303" i="4"/>
  <c r="S230" i="4"/>
  <c r="S390" i="4"/>
  <c r="S329" i="4"/>
  <c r="S311" i="4"/>
  <c r="S405" i="4"/>
  <c r="S82" i="4"/>
  <c r="S185" i="4"/>
  <c r="S265" i="4"/>
  <c r="S325" i="4"/>
  <c r="S283" i="4"/>
  <c r="S146" i="4"/>
  <c r="S139" i="4"/>
  <c r="S53" i="4"/>
  <c r="S255" i="4"/>
  <c r="S51" i="4"/>
  <c r="S188" i="4"/>
  <c r="S126" i="4"/>
  <c r="S164" i="4"/>
  <c r="S210" i="4"/>
  <c r="S110" i="4"/>
  <c r="S148" i="4"/>
  <c r="S193" i="4"/>
  <c r="S240" i="4"/>
  <c r="S122" i="4"/>
  <c r="S174" i="4"/>
  <c r="S233" i="4"/>
  <c r="S290" i="4"/>
  <c r="S301" i="4"/>
  <c r="S328" i="4"/>
  <c r="S347" i="4"/>
  <c r="S130" i="4"/>
  <c r="S358" i="4"/>
  <c r="S253" i="4"/>
  <c r="S294" i="4"/>
  <c r="S198" i="4"/>
  <c r="S268" i="4"/>
  <c r="S202" i="4"/>
  <c r="S271" i="4"/>
  <c r="S192" i="4"/>
  <c r="S364" i="4"/>
  <c r="S287" i="4"/>
  <c r="S171" i="4"/>
  <c r="S184" i="4"/>
  <c r="S354" i="4"/>
  <c r="S121" i="4"/>
  <c r="S236" i="4"/>
  <c r="S284" i="4"/>
  <c r="S285" i="4"/>
  <c r="S409" i="4"/>
  <c r="S459" i="4"/>
  <c r="S477" i="4"/>
  <c r="S494" i="4"/>
  <c r="S455" i="4"/>
  <c r="S478" i="4"/>
  <c r="S450" i="4"/>
  <c r="S492" i="4"/>
  <c r="S422" i="4"/>
  <c r="S444" i="4"/>
  <c r="S447" i="4"/>
  <c r="S434" i="4"/>
  <c r="S479" i="4"/>
  <c r="S175" i="4"/>
  <c r="S317" i="4"/>
  <c r="S212" i="4"/>
  <c r="S204" i="4"/>
  <c r="S379" i="4"/>
  <c r="S172" i="4"/>
  <c r="S337" i="4"/>
  <c r="S142" i="4"/>
  <c r="S357" i="4"/>
  <c r="S288" i="4"/>
  <c r="S421" i="4"/>
  <c r="S396" i="4"/>
  <c r="S326" i="4"/>
  <c r="S275" i="4"/>
  <c r="S237" i="4"/>
  <c r="S351" i="4"/>
  <c r="S498" i="4"/>
  <c r="S481" i="4"/>
  <c r="S502" i="4"/>
  <c r="S482" i="4"/>
  <c r="S487" i="4"/>
  <c r="S491" i="4"/>
  <c r="S470" i="4"/>
  <c r="S495" i="4"/>
  <c r="S500" i="4"/>
  <c r="S466" i="4"/>
  <c r="S476" i="4"/>
  <c r="S496" i="4"/>
  <c r="S439" i="4"/>
  <c r="S443" i="4"/>
  <c r="S403" i="4"/>
  <c r="S440" i="4"/>
  <c r="S453" i="4"/>
  <c r="S460" i="4"/>
  <c r="S381" i="4"/>
  <c r="S407" i="4"/>
  <c r="S410" i="4"/>
  <c r="S490" i="4"/>
  <c r="S489" i="4"/>
  <c r="S451" i="4"/>
  <c r="S331" i="4"/>
  <c r="S187" i="4"/>
  <c r="S369" i="4"/>
  <c r="S292" i="4"/>
  <c r="S269" i="4"/>
  <c r="S176" i="4"/>
  <c r="S281" i="4"/>
  <c r="S244" i="4"/>
  <c r="S305" i="4"/>
  <c r="S274" i="4"/>
  <c r="S124" i="4"/>
  <c r="S221" i="4"/>
  <c r="S277" i="4"/>
  <c r="S367" i="4"/>
  <c r="S232" i="4"/>
  <c r="S345" i="4"/>
  <c r="S307" i="4"/>
  <c r="S352" i="4"/>
  <c r="S17" i="4"/>
  <c r="S5" i="4"/>
  <c r="S13" i="4"/>
  <c r="S47" i="4"/>
  <c r="S9" i="4"/>
  <c r="S7" i="4"/>
  <c r="S15" i="4"/>
  <c r="S26" i="4"/>
  <c r="S8" i="4"/>
  <c r="S4" i="4"/>
  <c r="S18" i="4"/>
  <c r="S11" i="4"/>
  <c r="S37" i="4"/>
  <c r="S22" i="4"/>
  <c r="S10" i="4"/>
  <c r="S6" i="4"/>
  <c r="S39" i="4"/>
  <c r="S249" i="4"/>
  <c r="S158" i="4"/>
  <c r="S315" i="4"/>
  <c r="S412" i="4"/>
  <c r="S389" i="4"/>
  <c r="S151" i="4"/>
  <c r="S310" i="4"/>
  <c r="S402" i="4"/>
  <c r="S341" i="4"/>
  <c r="S196" i="4"/>
  <c r="S242" i="4"/>
  <c r="S391" i="4"/>
  <c r="S267" i="4"/>
  <c r="S258" i="4"/>
  <c r="S27" i="4"/>
  <c r="S86" i="4"/>
  <c r="S165" i="4"/>
  <c r="S181" i="4"/>
  <c r="S50" i="4"/>
  <c r="S48" i="4"/>
  <c r="S99" i="4"/>
  <c r="S36" i="4"/>
  <c r="S60" i="4"/>
  <c r="S75" i="4"/>
  <c r="S80" i="4"/>
  <c r="S52" i="4"/>
  <c r="S45" i="4"/>
  <c r="S31" i="4"/>
  <c r="S118" i="4"/>
  <c r="S170" i="4"/>
  <c r="S162" i="4"/>
  <c r="S97" i="4"/>
  <c r="S227" i="4"/>
  <c r="S191" i="4"/>
  <c r="S206" i="4"/>
  <c r="S243" i="4"/>
  <c r="S289" i="4"/>
  <c r="S217" i="4"/>
  <c r="S186" i="4"/>
  <c r="S374" i="4"/>
  <c r="S85" i="4"/>
  <c r="S216" i="4"/>
  <c r="S234" i="4"/>
  <c r="S200" i="4"/>
  <c r="S472" i="4"/>
  <c r="S413" i="4"/>
  <c r="S437" i="4"/>
  <c r="S432" i="4"/>
  <c r="S441" i="4"/>
  <c r="S457" i="4"/>
  <c r="S475" i="4"/>
  <c r="S423" i="4"/>
  <c r="S474" i="4"/>
  <c r="S424" i="4"/>
  <c r="S360" i="4"/>
  <c r="S414" i="4"/>
  <c r="S442" i="4"/>
  <c r="S469" i="4"/>
  <c r="S416" i="4"/>
  <c r="S446" i="4"/>
  <c r="S435" i="4"/>
  <c r="S465" i="4"/>
  <c r="S467" i="4"/>
  <c r="S433" i="4"/>
  <c r="S355" i="4"/>
  <c r="S454" i="4"/>
  <c r="S349" i="4"/>
  <c r="S429" i="4"/>
  <c r="S334" i="4"/>
  <c r="S272" i="4"/>
  <c r="S485" i="4"/>
  <c r="S456" i="4"/>
  <c r="S431" i="4"/>
  <c r="S397" i="4"/>
  <c r="S415" i="4"/>
  <c r="S427" i="4"/>
  <c r="S363" i="4"/>
  <c r="S246" i="4"/>
  <c r="S368" i="4"/>
  <c r="S461" i="4"/>
  <c r="S483" i="4"/>
  <c r="S438" i="4"/>
  <c r="S318" i="4"/>
  <c r="S384" i="4"/>
  <c r="S449" i="4"/>
  <c r="S445" i="4"/>
  <c r="S392" i="4"/>
  <c r="S383" i="4"/>
  <c r="S336" i="4"/>
  <c r="S388" i="4"/>
  <c r="S279" i="4"/>
  <c r="S425" i="4"/>
  <c r="S278" i="4"/>
  <c r="S408" i="4"/>
  <c r="S313" i="4"/>
  <c r="S213" i="4"/>
  <c r="S69" i="4"/>
  <c r="S93" i="4"/>
  <c r="S262" i="4"/>
  <c r="S105" i="4"/>
  <c r="S137" i="4"/>
  <c r="S339" i="4"/>
  <c r="S114" i="4"/>
  <c r="S38" i="4"/>
  <c r="S250" i="4"/>
  <c r="S219" i="4"/>
  <c r="S342" i="4"/>
  <c r="S49" i="4"/>
  <c r="S201" i="4"/>
  <c r="S320" i="4"/>
  <c r="S109" i="4"/>
  <c r="S128" i="4"/>
  <c r="S225" i="4"/>
  <c r="S239" i="4"/>
  <c r="S378" i="4"/>
  <c r="S362" i="4"/>
  <c r="S323" i="4"/>
  <c r="S96" i="4"/>
  <c r="S46" i="4"/>
  <c r="S103" i="4"/>
  <c r="S173" i="4"/>
  <c r="S41" i="4"/>
  <c r="S65" i="4"/>
  <c r="S12" i="4"/>
  <c r="S112" i="4"/>
  <c r="S23" i="4"/>
  <c r="S16" i="4"/>
  <c r="S131" i="4"/>
  <c r="S207" i="4"/>
  <c r="S107" i="4"/>
  <c r="S40" i="4"/>
  <c r="S72" i="4"/>
  <c r="S44" i="4"/>
  <c r="S78" i="4"/>
  <c r="S62" i="4"/>
  <c r="S55" i="4"/>
  <c r="S24" i="4"/>
  <c r="S94" i="4"/>
  <c r="S120" i="4"/>
  <c r="S356" i="4"/>
  <c r="S377" i="4"/>
  <c r="S177" i="4"/>
  <c r="S366" i="4"/>
  <c r="S420" i="4"/>
  <c r="S316" i="4"/>
  <c r="S167" i="4"/>
  <c r="S394" i="4"/>
  <c r="S426" i="4"/>
  <c r="S370" i="4"/>
  <c r="S350" i="4"/>
  <c r="S373" i="4"/>
  <c r="S372" i="4"/>
  <c r="S411" i="4"/>
  <c r="S314" i="4"/>
  <c r="S375" i="4"/>
  <c r="S338" i="4"/>
  <c r="S417" i="4"/>
  <c r="S291" i="4"/>
  <c r="S163" i="4"/>
  <c r="S266" i="4"/>
  <c r="S153" i="4"/>
  <c r="S298" i="4"/>
  <c r="S92" i="4"/>
  <c r="S147" i="4"/>
  <c r="S56" i="4"/>
  <c r="S35" i="4"/>
  <c r="S123" i="4"/>
  <c r="S59" i="4"/>
  <c r="S81" i="4"/>
  <c r="S134" i="4"/>
  <c r="S199" i="4"/>
  <c r="S140" i="4"/>
  <c r="S154" i="4"/>
  <c r="S73" i="4"/>
  <c r="S214" i="4"/>
  <c r="S32" i="4"/>
  <c r="S129" i="4"/>
  <c r="S83" i="4"/>
  <c r="S273" i="4"/>
  <c r="S161" i="4"/>
  <c r="S143" i="4"/>
  <c r="S152" i="4"/>
  <c r="S365" i="4"/>
  <c r="S157" i="4"/>
  <c r="S380" i="4"/>
  <c r="S168" i="4"/>
  <c r="S223" i="4"/>
  <c r="S156" i="4"/>
  <c r="S87" i="4"/>
  <c r="S88" i="4"/>
  <c r="S145" i="4"/>
  <c r="S178" i="4"/>
  <c r="S251" i="4"/>
  <c r="S116" i="4"/>
  <c r="S211" i="4"/>
  <c r="S401" i="4"/>
  <c r="S387" i="4"/>
  <c r="S286" i="4"/>
  <c r="S371" i="4"/>
  <c r="S395" i="4"/>
  <c r="S205" i="4"/>
  <c r="S399" i="4"/>
  <c r="S304" i="4"/>
  <c r="S296" i="4"/>
  <c r="S386" i="4"/>
  <c r="S385" i="4"/>
  <c r="S125" i="4"/>
  <c r="A2" i="12"/>
  <c r="A2" i="11"/>
  <c r="A2" i="10"/>
  <c r="Q70" i="4"/>
  <c r="Q90" i="4"/>
  <c r="Q195" i="4"/>
  <c r="Q169" i="4"/>
  <c r="Q101" i="4"/>
  <c r="Q63" i="4"/>
  <c r="Q98" i="4"/>
  <c r="Q218" i="4"/>
  <c r="Q43" i="4"/>
  <c r="Q71" i="4"/>
  <c r="Q89" i="4"/>
  <c r="Q20" i="4"/>
  <c r="Q68" i="4"/>
  <c r="Q115" i="4"/>
  <c r="Q138" i="4"/>
  <c r="Q222" i="4"/>
  <c r="Q335" i="4"/>
  <c r="Q74" i="4"/>
  <c r="Q256" i="4"/>
  <c r="Q228" i="4"/>
  <c r="Q330" i="4"/>
  <c r="Q241" i="4"/>
  <c r="Q254" i="4"/>
  <c r="Q29" i="4"/>
  <c r="Q149" i="4"/>
  <c r="Q189" i="4"/>
  <c r="Q102" i="4"/>
  <c r="Q21" i="4"/>
  <c r="Q117" i="4"/>
  <c r="Q64" i="4"/>
  <c r="Q25" i="4"/>
  <c r="Q54" i="4"/>
  <c r="Q61" i="4"/>
  <c r="Q135" i="4"/>
  <c r="Q19" i="4"/>
  <c r="Q58" i="4"/>
  <c r="Q209" i="4"/>
  <c r="Q224" i="4"/>
  <c r="Q127" i="4"/>
  <c r="Q282" i="4"/>
  <c r="Q359" i="4"/>
  <c r="Q197" i="4"/>
  <c r="Q248" i="4"/>
  <c r="Q226" i="4"/>
  <c r="Q382" i="4"/>
  <c r="Q144" i="4"/>
  <c r="Q235" i="4"/>
  <c r="Q182" i="4"/>
  <c r="Q247" i="4"/>
  <c r="Q159" i="4"/>
  <c r="Q238" i="4"/>
  <c r="Q132" i="4"/>
  <c r="Q180" i="4"/>
  <c r="Q264" i="4"/>
  <c r="Q327" i="4"/>
  <c r="Q293" i="4"/>
  <c r="Q280" i="4"/>
  <c r="Q231" i="4"/>
  <c r="Q183" i="4"/>
  <c r="Q150" i="4"/>
  <c r="Q300" i="4"/>
  <c r="Q160" i="4"/>
  <c r="Q111" i="4"/>
  <c r="Q259" i="4"/>
  <c r="Q220" i="4"/>
  <c r="Q108" i="4"/>
  <c r="Q245" i="4"/>
  <c r="Q166" i="4"/>
  <c r="Q297" i="4"/>
  <c r="Q100" i="4"/>
  <c r="Q295" i="4"/>
  <c r="Q155" i="4"/>
  <c r="Q79" i="4"/>
  <c r="Q229" i="4"/>
  <c r="Q77" i="4"/>
  <c r="Q471" i="4"/>
  <c r="Q468" i="4"/>
  <c r="Q321" i="4"/>
  <c r="Q473" i="4"/>
  <c r="Q419" i="4"/>
  <c r="Q462" i="4"/>
  <c r="Q428" i="4"/>
  <c r="Q346" i="4"/>
  <c r="Q57" i="4"/>
  <c r="Q119" i="4"/>
  <c r="Q30" i="4"/>
  <c r="Q34" i="4"/>
  <c r="Q33" i="4"/>
  <c r="Q106" i="4"/>
  <c r="Q66" i="4"/>
  <c r="Q28" i="4"/>
  <c r="Q133" i="4"/>
  <c r="Q67" i="4"/>
  <c r="Q14" i="4"/>
  <c r="Q42" i="4"/>
  <c r="Q141" i="4"/>
  <c r="Q84" i="4"/>
  <c r="Q308" i="4"/>
  <c r="Q208" i="4"/>
  <c r="Q361" i="4"/>
  <c r="Q104" i="4"/>
  <c r="Q91" i="4"/>
  <c r="Q203" i="4"/>
  <c r="Q136" i="4"/>
  <c r="Q76" i="4"/>
  <c r="Q276" i="4"/>
  <c r="Q215" i="4"/>
  <c r="Q190" i="4"/>
  <c r="Q486" i="4"/>
  <c r="Q452" i="4"/>
  <c r="Q484" i="4"/>
  <c r="Q493" i="4"/>
  <c r="Q463" i="4"/>
  <c r="Q480" i="4"/>
  <c r="Q501" i="4"/>
  <c r="Q448" i="4"/>
  <c r="Q458" i="4"/>
  <c r="Q503" i="4"/>
  <c r="Q499" i="4"/>
  <c r="Q497" i="4"/>
  <c r="Q464" i="4"/>
  <c r="Q488" i="4"/>
  <c r="Q333" i="4"/>
  <c r="Q306" i="4"/>
  <c r="Q302" i="4"/>
  <c r="Q393" i="4"/>
  <c r="Q299" i="4"/>
  <c r="Q344" i="4"/>
  <c r="Q430" i="4"/>
  <c r="Q261" i="4"/>
  <c r="Q270" i="4"/>
  <c r="Q398" i="4"/>
  <c r="Q376" i="4"/>
  <c r="Q400" i="4"/>
  <c r="Q404" i="4"/>
  <c r="Q418" i="4"/>
  <c r="Q436" i="4"/>
  <c r="Q260" i="4"/>
  <c r="Q340" i="4"/>
  <c r="Q406" i="4"/>
  <c r="Q322" i="4"/>
  <c r="Q257" i="4"/>
  <c r="Q324" i="4"/>
  <c r="Q252" i="4"/>
  <c r="Q263" i="4"/>
  <c r="Q343" i="4"/>
  <c r="Q332" i="4"/>
  <c r="Q312" i="4"/>
  <c r="Q95" i="4"/>
  <c r="Q179" i="4"/>
  <c r="Q194" i="4"/>
  <c r="Q319" i="4"/>
  <c r="Q309" i="4"/>
  <c r="Q348" i="4"/>
  <c r="Q113" i="4"/>
  <c r="Q353" i="4"/>
  <c r="Q303" i="4"/>
  <c r="Q230" i="4"/>
  <c r="Q390" i="4"/>
  <c r="Q329" i="4"/>
  <c r="Q311" i="4"/>
  <c r="Q405" i="4"/>
  <c r="Q82" i="4"/>
  <c r="Q185" i="4"/>
  <c r="Q265" i="4"/>
  <c r="Q325" i="4"/>
  <c r="Q283" i="4"/>
  <c r="Q146" i="4"/>
  <c r="Q139" i="4"/>
  <c r="Q53" i="4"/>
  <c r="Q255" i="4"/>
  <c r="Q51" i="4"/>
  <c r="Q188" i="4"/>
  <c r="Q126" i="4"/>
  <c r="Q164" i="4"/>
  <c r="Q210" i="4"/>
  <c r="Q110" i="4"/>
  <c r="Q148" i="4"/>
  <c r="Q193" i="4"/>
  <c r="Q240" i="4"/>
  <c r="Q122" i="4"/>
  <c r="Q174" i="4"/>
  <c r="Q233" i="4"/>
  <c r="Q290" i="4"/>
  <c r="Q301" i="4"/>
  <c r="Q328" i="4"/>
  <c r="Q347" i="4"/>
  <c r="Q130" i="4"/>
  <c r="Q358" i="4"/>
  <c r="Q253" i="4"/>
  <c r="Q294" i="4"/>
  <c r="Q198" i="4"/>
  <c r="Q268" i="4"/>
  <c r="Q202" i="4"/>
  <c r="Q271" i="4"/>
  <c r="Q192" i="4"/>
  <c r="Q364" i="4"/>
  <c r="Q287" i="4"/>
  <c r="Q171" i="4"/>
  <c r="Q184" i="4"/>
  <c r="Q354" i="4"/>
  <c r="Q121" i="4"/>
  <c r="Q236" i="4"/>
  <c r="Q284" i="4"/>
  <c r="Q285" i="4"/>
  <c r="Q409" i="4"/>
  <c r="Q459" i="4"/>
  <c r="Q477" i="4"/>
  <c r="Q494" i="4"/>
  <c r="Q455" i="4"/>
  <c r="Q478" i="4"/>
  <c r="Q450" i="4"/>
  <c r="Q492" i="4"/>
  <c r="Q422" i="4"/>
  <c r="Q444" i="4"/>
  <c r="Q447" i="4"/>
  <c r="Q434" i="4"/>
  <c r="Q479" i="4"/>
  <c r="Q175" i="4"/>
  <c r="Q317" i="4"/>
  <c r="Q212" i="4"/>
  <c r="Q204" i="4"/>
  <c r="Q379" i="4"/>
  <c r="Q172" i="4"/>
  <c r="Q337" i="4"/>
  <c r="Q142" i="4"/>
  <c r="Q357" i="4"/>
  <c r="Q288" i="4"/>
  <c r="Q421" i="4"/>
  <c r="Q396" i="4"/>
  <c r="Q326" i="4"/>
  <c r="Q275" i="4"/>
  <c r="Q237" i="4"/>
  <c r="Q351" i="4"/>
  <c r="Q498" i="4"/>
  <c r="Q481" i="4"/>
  <c r="Q502" i="4"/>
  <c r="Q482" i="4"/>
  <c r="Q487" i="4"/>
  <c r="Q491" i="4"/>
  <c r="Q470" i="4"/>
  <c r="Q495" i="4"/>
  <c r="Q500" i="4"/>
  <c r="Q466" i="4"/>
  <c r="Q476" i="4"/>
  <c r="Q496" i="4"/>
  <c r="Q439" i="4"/>
  <c r="Q443" i="4"/>
  <c r="Q403" i="4"/>
  <c r="Q440" i="4"/>
  <c r="Q453" i="4"/>
  <c r="Q460" i="4"/>
  <c r="Q381" i="4"/>
  <c r="Q407" i="4"/>
  <c r="Q410" i="4"/>
  <c r="Q490" i="4"/>
  <c r="Q489" i="4"/>
  <c r="Q451" i="4"/>
  <c r="Q331" i="4"/>
  <c r="Q187" i="4"/>
  <c r="Q369" i="4"/>
  <c r="Q292" i="4"/>
  <c r="Q269" i="4"/>
  <c r="Q176" i="4"/>
  <c r="Q281" i="4"/>
  <c r="Q244" i="4"/>
  <c r="Q305" i="4"/>
  <c r="Q274" i="4"/>
  <c r="Q124" i="4"/>
  <c r="Q221" i="4"/>
  <c r="Q277" i="4"/>
  <c r="Q367" i="4"/>
  <c r="Q232" i="4"/>
  <c r="Q345" i="4"/>
  <c r="Q307" i="4"/>
  <c r="Q352" i="4"/>
  <c r="Q17" i="4"/>
  <c r="Q5" i="4"/>
  <c r="Q13" i="4"/>
  <c r="Q47" i="4"/>
  <c r="Q9" i="4"/>
  <c r="Q7" i="4"/>
  <c r="Q15" i="4"/>
  <c r="Q26" i="4"/>
  <c r="Q8" i="4"/>
  <c r="Q4" i="4"/>
  <c r="Q18" i="4"/>
  <c r="Q11" i="4"/>
  <c r="Q37" i="4"/>
  <c r="Q22" i="4"/>
  <c r="Q10" i="4"/>
  <c r="Q6" i="4"/>
  <c r="Q39" i="4"/>
  <c r="Q249" i="4"/>
  <c r="Q158" i="4"/>
  <c r="Q315" i="4"/>
  <c r="Q412" i="4"/>
  <c r="Q389" i="4"/>
  <c r="Q151" i="4"/>
  <c r="Q310" i="4"/>
  <c r="Q402" i="4"/>
  <c r="Q341" i="4"/>
  <c r="Q196" i="4"/>
  <c r="Q242" i="4"/>
  <c r="Q391" i="4"/>
  <c r="Q267" i="4"/>
  <c r="Q258" i="4"/>
  <c r="Q27" i="4"/>
  <c r="Q86" i="4"/>
  <c r="Q165" i="4"/>
  <c r="Q181" i="4"/>
  <c r="Q50" i="4"/>
  <c r="Q48" i="4"/>
  <c r="Q99" i="4"/>
  <c r="Q36" i="4"/>
  <c r="Q60" i="4"/>
  <c r="Q75" i="4"/>
  <c r="Q80" i="4"/>
  <c r="Q52" i="4"/>
  <c r="Q45" i="4"/>
  <c r="Q31" i="4"/>
  <c r="Q118" i="4"/>
  <c r="Q170" i="4"/>
  <c r="Q162" i="4"/>
  <c r="Q97" i="4"/>
  <c r="Q227" i="4"/>
  <c r="Q191" i="4"/>
  <c r="Q206" i="4"/>
  <c r="Q243" i="4"/>
  <c r="Q289" i="4"/>
  <c r="Q217" i="4"/>
  <c r="Q186" i="4"/>
  <c r="Q374" i="4"/>
  <c r="Q85" i="4"/>
  <c r="Q216" i="4"/>
  <c r="Q234" i="4"/>
  <c r="Q200" i="4"/>
  <c r="Q472" i="4"/>
  <c r="Q413" i="4"/>
  <c r="Q437" i="4"/>
  <c r="Q432" i="4"/>
  <c r="Q441" i="4"/>
  <c r="Q457" i="4"/>
  <c r="Q475" i="4"/>
  <c r="Q423" i="4"/>
  <c r="Q474" i="4"/>
  <c r="Q424" i="4"/>
  <c r="Q360" i="4"/>
  <c r="Q414" i="4"/>
  <c r="Q442" i="4"/>
  <c r="Q469" i="4"/>
  <c r="Q416" i="4"/>
  <c r="Q446" i="4"/>
  <c r="Q435" i="4"/>
  <c r="Q465" i="4"/>
  <c r="Q467" i="4"/>
  <c r="Q433" i="4"/>
  <c r="Q355" i="4"/>
  <c r="Q454" i="4"/>
  <c r="Q349" i="4"/>
  <c r="Q429" i="4"/>
  <c r="Q334" i="4"/>
  <c r="Q272" i="4"/>
  <c r="Q485" i="4"/>
  <c r="Q456" i="4"/>
  <c r="Q431" i="4"/>
  <c r="Q397" i="4"/>
  <c r="Q415" i="4"/>
  <c r="Q427" i="4"/>
  <c r="Q363" i="4"/>
  <c r="Q246" i="4"/>
  <c r="Q368" i="4"/>
  <c r="Q461" i="4"/>
  <c r="Q483" i="4"/>
  <c r="Q438" i="4"/>
  <c r="Q318" i="4"/>
  <c r="Q384" i="4"/>
  <c r="Q449" i="4"/>
  <c r="Q445" i="4"/>
  <c r="Q392" i="4"/>
  <c r="Q383" i="4"/>
  <c r="Q336" i="4"/>
  <c r="Q388" i="4"/>
  <c r="Q279" i="4"/>
  <c r="Q425" i="4"/>
  <c r="Q278" i="4"/>
  <c r="Q408" i="4"/>
  <c r="Q313" i="4"/>
  <c r="Q213" i="4"/>
  <c r="Q69" i="4"/>
  <c r="Q93" i="4"/>
  <c r="Q262" i="4"/>
  <c r="Q105" i="4"/>
  <c r="Q137" i="4"/>
  <c r="Q339" i="4"/>
  <c r="Q114" i="4"/>
  <c r="Q38" i="4"/>
  <c r="Q250" i="4"/>
  <c r="Q219" i="4"/>
  <c r="Q342" i="4"/>
  <c r="Q49" i="4"/>
  <c r="Q201" i="4"/>
  <c r="Q320" i="4"/>
  <c r="Q109" i="4"/>
  <c r="Q128" i="4"/>
  <c r="Q225" i="4"/>
  <c r="Q239" i="4"/>
  <c r="Q378" i="4"/>
  <c r="Q362" i="4"/>
  <c r="Q323" i="4"/>
  <c r="Q96" i="4"/>
  <c r="Q46" i="4"/>
  <c r="Q103" i="4"/>
  <c r="Q173" i="4"/>
  <c r="Q41" i="4"/>
  <c r="Q65" i="4"/>
  <c r="Q12" i="4"/>
  <c r="Q112" i="4"/>
  <c r="Q23" i="4"/>
  <c r="Q16" i="4"/>
  <c r="Q131" i="4"/>
  <c r="Q207" i="4"/>
  <c r="Q107" i="4"/>
  <c r="Q40" i="4"/>
  <c r="Q72" i="4"/>
  <c r="Q44" i="4"/>
  <c r="Q78" i="4"/>
  <c r="Q62" i="4"/>
  <c r="Q55" i="4"/>
  <c r="Q24" i="4"/>
  <c r="Q94" i="4"/>
  <c r="Q120" i="4"/>
  <c r="Q356" i="4"/>
  <c r="Q377" i="4"/>
  <c r="Q177" i="4"/>
  <c r="Q366" i="4"/>
  <c r="Q420" i="4"/>
  <c r="Q316" i="4"/>
  <c r="Q167" i="4"/>
  <c r="Q394" i="4"/>
  <c r="Q426" i="4"/>
  <c r="Q370" i="4"/>
  <c r="Q350" i="4"/>
  <c r="Q373" i="4"/>
  <c r="Q372" i="4"/>
  <c r="Q411" i="4"/>
  <c r="Q314" i="4"/>
  <c r="Q375" i="4"/>
  <c r="Q338" i="4"/>
  <c r="Q417" i="4"/>
  <c r="Q291" i="4"/>
  <c r="Q163" i="4"/>
  <c r="Q266" i="4"/>
  <c r="Q153" i="4"/>
  <c r="Q298" i="4"/>
  <c r="Q92" i="4"/>
  <c r="Q147" i="4"/>
  <c r="Q56" i="4"/>
  <c r="Q35" i="4"/>
  <c r="Q123" i="4"/>
  <c r="Q59" i="4"/>
  <c r="Q81" i="4"/>
  <c r="Q134" i="4"/>
  <c r="Q199" i="4"/>
  <c r="Q140" i="4"/>
  <c r="Q154" i="4"/>
  <c r="Q73" i="4"/>
  <c r="Q214" i="4"/>
  <c r="Q32" i="4"/>
  <c r="Q129" i="4"/>
  <c r="Q83" i="4"/>
  <c r="Q273" i="4"/>
  <c r="Q161" i="4"/>
  <c r="Q143" i="4"/>
  <c r="Q152" i="4"/>
  <c r="Q365" i="4"/>
  <c r="Q157" i="4"/>
  <c r="Q380" i="4"/>
  <c r="Q168" i="4"/>
  <c r="Q223" i="4"/>
  <c r="Q156" i="4"/>
  <c r="Q87" i="4"/>
  <c r="Q88" i="4"/>
  <c r="Q145" i="4"/>
  <c r="Q178" i="4"/>
  <c r="Q251" i="4"/>
  <c r="Q116" i="4"/>
  <c r="Q211" i="4"/>
  <c r="Q401" i="4"/>
  <c r="Q387" i="4"/>
  <c r="Q286" i="4"/>
  <c r="Q371" i="4"/>
  <c r="Q395" i="4"/>
  <c r="Q205" i="4"/>
  <c r="Q399" i="4"/>
  <c r="Q304" i="4"/>
  <c r="Q296" i="4"/>
  <c r="Q386" i="4"/>
  <c r="Q385" i="4"/>
  <c r="Q125" i="4"/>
  <c r="A2" i="5"/>
</calcChain>
</file>

<file path=xl/sharedStrings.xml><?xml version="1.0" encoding="utf-8"?>
<sst xmlns="http://schemas.openxmlformats.org/spreadsheetml/2006/main" count="4871" uniqueCount="880">
  <si>
    <t>Praha</t>
  </si>
  <si>
    <t>Podrobnosti o Súčet z Zisk</t>
  </si>
  <si>
    <t>Datum</t>
  </si>
  <si>
    <t>ObjednavkaID</t>
  </si>
  <si>
    <t>Zakaznik</t>
  </si>
  <si>
    <t>Segment</t>
  </si>
  <si>
    <t>Region</t>
  </si>
  <si>
    <t>Kanal</t>
  </si>
  <si>
    <t>Kategorie</t>
  </si>
  <si>
    <t>Produkt</t>
  </si>
  <si>
    <t>Obchodnik</t>
  </si>
  <si>
    <t>Mnozstvi</t>
  </si>
  <si>
    <t>JednCena</t>
  </si>
  <si>
    <t>SlevaPct</t>
  </si>
  <si>
    <t>Trzba</t>
  </si>
  <si>
    <t>Naklad</t>
  </si>
  <si>
    <t>Zisk</t>
  </si>
  <si>
    <t>Rok</t>
  </si>
  <si>
    <t>ORD-240208-0021</t>
  </si>
  <si>
    <t>Jana Hájek</t>
  </si>
  <si>
    <t>B2C</t>
  </si>
  <si>
    <t>Čechy</t>
  </si>
  <si>
    <t>E-shop</t>
  </si>
  <si>
    <t>Kancelář</t>
  </si>
  <si>
    <t>Židle ergonomická</t>
  </si>
  <si>
    <t>Beneš</t>
  </si>
  <si>
    <t>ORD-240328-0044</t>
  </si>
  <si>
    <t>Daniel Novák</t>
  </si>
  <si>
    <t>ORD-240525-0077</t>
  </si>
  <si>
    <t>Alena Pokorný</t>
  </si>
  <si>
    <t>Fiala</t>
  </si>
  <si>
    <t>ORD-240802-0109</t>
  </si>
  <si>
    <t>Alena Hájek</t>
  </si>
  <si>
    <t>Veselý</t>
  </si>
  <si>
    <t>ORD-241004-0147</t>
  </si>
  <si>
    <t>Jana Pokorný</t>
  </si>
  <si>
    <t>ORD-241030-0167</t>
  </si>
  <si>
    <t>Kateřina Veselý</t>
  </si>
  <si>
    <t>Novák</t>
  </si>
  <si>
    <t>ORD-241101-0169</t>
  </si>
  <si>
    <t>Daniel Pokorný</t>
  </si>
  <si>
    <t>ORD-250111-0222</t>
  </si>
  <si>
    <t>Tomáš Jelínek</t>
  </si>
  <si>
    <t>Prodejna</t>
  </si>
  <si>
    <t>ORD-250629-0312</t>
  </si>
  <si>
    <t>Martina Jelínek</t>
  </si>
  <si>
    <t>Dvořák</t>
  </si>
  <si>
    <t>ORD-250810-0331</t>
  </si>
  <si>
    <t>Orion a.s.</t>
  </si>
  <si>
    <t>B2B</t>
  </si>
  <si>
    <t>Slezsko</t>
  </si>
  <si>
    <t>Svoboda</t>
  </si>
  <si>
    <t>ORD-250903-0343</t>
  </si>
  <si>
    <t>Radek Veselý</t>
  </si>
  <si>
    <t>ORD-251010-0352</t>
  </si>
  <si>
    <t>Anna Novák</t>
  </si>
  <si>
    <t>ORD-251102-0371</t>
  </si>
  <si>
    <t>Omega s.r.o.</t>
  </si>
  <si>
    <t>Velkoobchod</t>
  </si>
  <si>
    <t>ORD-260316-0451</t>
  </si>
  <si>
    <t>Karel Novák</t>
  </si>
  <si>
    <t>ORD-260323-0459</t>
  </si>
  <si>
    <t>Martin Hájek</t>
  </si>
  <si>
    <t>Kučera</t>
  </si>
  <si>
    <t>ORD-260327-0463</t>
  </si>
  <si>
    <t>Tomáš Horák</t>
  </si>
  <si>
    <t>ORD-260423-0478</t>
  </si>
  <si>
    <t>Tereza Hájek</t>
  </si>
  <si>
    <t>Morava</t>
  </si>
  <si>
    <t>ORD-240415-0057</t>
  </si>
  <si>
    <t>Petr Horák</t>
  </si>
  <si>
    <t>Elektronika</t>
  </si>
  <si>
    <t>Webkamera HD</t>
  </si>
  <si>
    <t>ORD-241206-0192</t>
  </si>
  <si>
    <t>Kappa s.r.o.</t>
  </si>
  <si>
    <t>ORD-241219-0202</t>
  </si>
  <si>
    <t>Markéta Novák</t>
  </si>
  <si>
    <t>ORD-250218-0246</t>
  </si>
  <si>
    <t>Tomáš Beneš</t>
  </si>
  <si>
    <t>ORD-251015-0359</t>
  </si>
  <si>
    <t>Anna Veselý</t>
  </si>
  <si>
    <t>ORD-251019-0362</t>
  </si>
  <si>
    <t>Jan Svoboda</t>
  </si>
  <si>
    <t>ORD-251115-0379</t>
  </si>
  <si>
    <t>Tereza Horák</t>
  </si>
  <si>
    <t>ORD-240206-0018</t>
  </si>
  <si>
    <t>Domácnost</t>
  </si>
  <si>
    <t>Vysavač tyčový</t>
  </si>
  <si>
    <t>Král</t>
  </si>
  <si>
    <t>ORD-240430-0065</t>
  </si>
  <si>
    <t>Václav Novotný</t>
  </si>
  <si>
    <t>ORD-241127-0185</t>
  </si>
  <si>
    <t>Alena Černý</t>
  </si>
  <si>
    <t>ORD-241206-0190</t>
  </si>
  <si>
    <t>Radek Král</t>
  </si>
  <si>
    <t>ORD-241231-0217</t>
  </si>
  <si>
    <t>Alfa s.r.o.</t>
  </si>
  <si>
    <t>ORD-250122-0234</t>
  </si>
  <si>
    <t>Michal Fiala</t>
  </si>
  <si>
    <t>ORD-250222-0249</t>
  </si>
  <si>
    <t>Lukáš Veselý</t>
  </si>
  <si>
    <t>ORD-250625-0310</t>
  </si>
  <si>
    <t>Eliška Fiala</t>
  </si>
  <si>
    <t>ORD-251021-0364</t>
  </si>
  <si>
    <t>Martin Procházka</t>
  </si>
  <si>
    <t>ORD-251129-0385</t>
  </si>
  <si>
    <t>Michal Pospíšil</t>
  </si>
  <si>
    <t>ORD-251214-0396</t>
  </si>
  <si>
    <t>Markéta Černý</t>
  </si>
  <si>
    <t>ORD-260129-0426</t>
  </si>
  <si>
    <t>ORD-260329-0464</t>
  </si>
  <si>
    <t>Jiří Horák</t>
  </si>
  <si>
    <t>ORD-260415-0473</t>
  </si>
  <si>
    <t>Karel Svoboda</t>
  </si>
  <si>
    <t>ORD-260520-0493</t>
  </si>
  <si>
    <t>Václav Němec</t>
  </si>
  <si>
    <t>ORD-260528-0499</t>
  </si>
  <si>
    <t>Karolína Kučera</t>
  </si>
  <si>
    <t>ORD-240327-0043</t>
  </si>
  <si>
    <t>Eliška Pokorný</t>
  </si>
  <si>
    <t>Topinkovač</t>
  </si>
  <si>
    <t>ORD-240426-0063</t>
  </si>
  <si>
    <t>Jana Beneš</t>
  </si>
  <si>
    <t>ORD-240518-0073</t>
  </si>
  <si>
    <t>Delta a.s.</t>
  </si>
  <si>
    <t>ORD-240726-0107</t>
  </si>
  <si>
    <t>David Procházka</t>
  </si>
  <si>
    <t>ORD-241021-0163</t>
  </si>
  <si>
    <t>Václav Svoboda</t>
  </si>
  <si>
    <t>ORD-241211-0196</t>
  </si>
  <si>
    <t>Ondřej Pokorný</t>
  </si>
  <si>
    <t>ORD-241224-0210</t>
  </si>
  <si>
    <t>Beta a.s.</t>
  </si>
  <si>
    <t>ORD-241229-0216</t>
  </si>
  <si>
    <t>Karolína Beneš</t>
  </si>
  <si>
    <t>ORD-250509-0284</t>
  </si>
  <si>
    <t>Anna Svoboda</t>
  </si>
  <si>
    <t>ORD-250512-0285</t>
  </si>
  <si>
    <t>Radek Černý</t>
  </si>
  <si>
    <t>ORD-250516-0286</t>
  </si>
  <si>
    <t>ORD-250519-0288</t>
  </si>
  <si>
    <t>Lukáš Svoboda</t>
  </si>
  <si>
    <t>ORD-250621-0305</t>
  </si>
  <si>
    <t>ORD-251026-0367</t>
  </si>
  <si>
    <t>ORD-251209-0391</t>
  </si>
  <si>
    <t>Anna Kučera</t>
  </si>
  <si>
    <t>ORD-260101-0410</t>
  </si>
  <si>
    <t>Martin Novotný</t>
  </si>
  <si>
    <t>ORD-260303-0446</t>
  </si>
  <si>
    <t>Michal Beneš</t>
  </si>
  <si>
    <t>ORD-260319-0456</t>
  </si>
  <si>
    <t>Veronika Dvořák</t>
  </si>
  <si>
    <t>ORD-240501-0066</t>
  </si>
  <si>
    <t>Radek Jelínek</t>
  </si>
  <si>
    <t>Toner HP 12A</t>
  </si>
  <si>
    <t>ORD-240927-0144</t>
  </si>
  <si>
    <t>Eliška Dvořák</t>
  </si>
  <si>
    <t>ORD-241010-0151</t>
  </si>
  <si>
    <t>Eliška Němec</t>
  </si>
  <si>
    <t>ORD-241017-0159</t>
  </si>
  <si>
    <t>Lukáš Fiala</t>
  </si>
  <si>
    <t>ORD-241218-0199</t>
  </si>
  <si>
    <t>ORD-241223-0207</t>
  </si>
  <si>
    <t>Jiří Novotný</t>
  </si>
  <si>
    <t>ORD-250113-0223</t>
  </si>
  <si>
    <t>Daniel Svoboda</t>
  </si>
  <si>
    <t>ORD-250121-0233</t>
  </si>
  <si>
    <t>Daniel Veselý</t>
  </si>
  <si>
    <t>ORD-250212-0241</t>
  </si>
  <si>
    <t>ORD-250322-0259</t>
  </si>
  <si>
    <t>Petra Dvořák</t>
  </si>
  <si>
    <t>ORD-250718-0323</t>
  </si>
  <si>
    <t>Martina Veselý</t>
  </si>
  <si>
    <t>ORD-250821-0337</t>
  </si>
  <si>
    <t>Veronika Pospíšil</t>
  </si>
  <si>
    <t>ORD-260101-0411</t>
  </si>
  <si>
    <t>Karolína Hájek</t>
  </si>
  <si>
    <t>ORD-260123-0424</t>
  </si>
  <si>
    <t>Filip Černý</t>
  </si>
  <si>
    <t>ORD-260201-0429</t>
  </si>
  <si>
    <t>Radek Beneš</t>
  </si>
  <si>
    <t>ORD-260405-0468</t>
  </si>
  <si>
    <t>ORD-260428-0479</t>
  </si>
  <si>
    <t>Lucie Dvořák</t>
  </si>
  <si>
    <t>ORD-260515-0488</t>
  </si>
  <si>
    <t>Vltava s.r.o.</t>
  </si>
  <si>
    <t>ORD-240413-0054</t>
  </si>
  <si>
    <t>Veronika Veselý</t>
  </si>
  <si>
    <t>Sport</t>
  </si>
  <si>
    <t>Švihadlo</t>
  </si>
  <si>
    <t>ORD-250121-0231</t>
  </si>
  <si>
    <t>ORD-250214-0242</t>
  </si>
  <si>
    <t>ORD-250222-0248</t>
  </si>
  <si>
    <t>ORD-250411-0270</t>
  </si>
  <si>
    <t>Tereza Novák</t>
  </si>
  <si>
    <t>ORD-250916-0348</t>
  </si>
  <si>
    <t>Tomáš Kučera</t>
  </si>
  <si>
    <t>ORD-251031-0370</t>
  </si>
  <si>
    <t>Radek Horák</t>
  </si>
  <si>
    <t>ORD-260109-0416</t>
  </si>
  <si>
    <t>ORD-240201-0015</t>
  </si>
  <si>
    <t>Karolína Veselý</t>
  </si>
  <si>
    <t>Stůl kancelářský</t>
  </si>
  <si>
    <t>ORD-240522-0074</t>
  </si>
  <si>
    <t>Michal Pokorný</t>
  </si>
  <si>
    <t>ORD-240529-0079</t>
  </si>
  <si>
    <t>Radek Novotný</t>
  </si>
  <si>
    <t>ORD-240609-0086</t>
  </si>
  <si>
    <t>Tomáš Němec</t>
  </si>
  <si>
    <t>ORD-240902-0127</t>
  </si>
  <si>
    <t>Kateřina Horák</t>
  </si>
  <si>
    <t>ORD-241017-0160</t>
  </si>
  <si>
    <t>Martina Novák</t>
  </si>
  <si>
    <t>ORD-241118-0179</t>
  </si>
  <si>
    <t>Jiří Hájek</t>
  </si>
  <si>
    <t>ORD-250113-0224</t>
  </si>
  <si>
    <t>ORD-250131-0239</t>
  </si>
  <si>
    <t>Kateřina Němec</t>
  </si>
  <si>
    <t>ORD-250225-0252</t>
  </si>
  <si>
    <t>Jan Kučera</t>
  </si>
  <si>
    <t>ORD-250417-0272</t>
  </si>
  <si>
    <t>ORD-250612-0301</t>
  </si>
  <si>
    <t>David Hájek</t>
  </si>
  <si>
    <t>ORD-250821-0336</t>
  </si>
  <si>
    <t>Michal Horák</t>
  </si>
  <si>
    <t>ORD-251213-0395</t>
  </si>
  <si>
    <t>Ondřej Král</t>
  </si>
  <si>
    <t>ORD-240219-0025</t>
  </si>
  <si>
    <t>Radek Hájek</t>
  </si>
  <si>
    <t>Sluchátka BT</t>
  </si>
  <si>
    <t>ORD-240329-0046</t>
  </si>
  <si>
    <t>ORD-241014-0155</t>
  </si>
  <si>
    <t>Petra Fiala</t>
  </si>
  <si>
    <t>ORD-250417-0271</t>
  </si>
  <si>
    <t>ORD-250826-0340</t>
  </si>
  <si>
    <t>Gama s.r.o.</t>
  </si>
  <si>
    <t>ORD-250902-0342</t>
  </si>
  <si>
    <t>Martina Dvořák</t>
  </si>
  <si>
    <t>ORD-251210-0393</t>
  </si>
  <si>
    <t>ORD-251230-0407</t>
  </si>
  <si>
    <t>ORD-260102-0412</t>
  </si>
  <si>
    <t>Eliška Horák</t>
  </si>
  <si>
    <t>ORD-260327-0462</t>
  </si>
  <si>
    <t>Lukáš Král</t>
  </si>
  <si>
    <t>ORD-260418-0476</t>
  </si>
  <si>
    <t>Lucie Veselý</t>
  </si>
  <si>
    <t>ORD-240212-0023</t>
  </si>
  <si>
    <t>Ondřej Pospíšil</t>
  </si>
  <si>
    <t>Sešit A5</t>
  </si>
  <si>
    <t>ORD-240416-0058</t>
  </si>
  <si>
    <t>ORD-240511-0071</t>
  </si>
  <si>
    <t>Karolína Procházka</t>
  </si>
  <si>
    <t>ORD-240620-0088</t>
  </si>
  <si>
    <t>ORD-240623-0093</t>
  </si>
  <si>
    <t>Lucie Pospíšil</t>
  </si>
  <si>
    <t>ORD-241103-0170</t>
  </si>
  <si>
    <t>ORD-241108-0171</t>
  </si>
  <si>
    <t>Ondřej Němec</t>
  </si>
  <si>
    <t>ORD-241219-0201</t>
  </si>
  <si>
    <t>ORD-250121-0232</t>
  </si>
  <si>
    <t>ORD-250304-0255</t>
  </si>
  <si>
    <t>Jana Svoboda</t>
  </si>
  <si>
    <t>ORD-250613-0302</t>
  </si>
  <si>
    <t>Veronika Beneš</t>
  </si>
  <si>
    <t>ORD-251215-0397</t>
  </si>
  <si>
    <t>ORD-260413-0472</t>
  </si>
  <si>
    <t>Eliška Král</t>
  </si>
  <si>
    <t>ORD-260530-0500</t>
  </si>
  <si>
    <t>Karolína Horák</t>
  </si>
  <si>
    <t>ORD-240113-0003</t>
  </si>
  <si>
    <t>Jana Horák</t>
  </si>
  <si>
    <t>Sada dóz</t>
  </si>
  <si>
    <t>ORD-240126-0010</t>
  </si>
  <si>
    <t>Petra Jelínek</t>
  </si>
  <si>
    <t>ORD-240323-0042</t>
  </si>
  <si>
    <t>ORD-240609-0087</t>
  </si>
  <si>
    <t>Radek Procházka</t>
  </si>
  <si>
    <t>ORD-240701-0098</t>
  </si>
  <si>
    <t>Filip Veselý</t>
  </si>
  <si>
    <t>ORD-241129-0186</t>
  </si>
  <si>
    <t>Markéta Dvořák</t>
  </si>
  <si>
    <t>ORD-241226-0214</t>
  </si>
  <si>
    <t>Ondřej Procházka</t>
  </si>
  <si>
    <t>ORD-250217-0245</t>
  </si>
  <si>
    <t>ORD-250607-0297</t>
  </si>
  <si>
    <t>Anna Fiala</t>
  </si>
  <si>
    <t>ORD-250607-0299</t>
  </si>
  <si>
    <t>Martina Pospíšil</t>
  </si>
  <si>
    <t>ORD-250621-0307</t>
  </si>
  <si>
    <t>ORD-250714-0321</t>
  </si>
  <si>
    <t>Lukáš Dvořák</t>
  </si>
  <si>
    <t>ORD-250828-0341</t>
  </si>
  <si>
    <t>Veronika Němec</t>
  </si>
  <si>
    <t>ORD-250907-0345</t>
  </si>
  <si>
    <t>ORD-250914-0347</t>
  </si>
  <si>
    <t>Karel Němec</t>
  </si>
  <si>
    <t>ORD-251013-0356</t>
  </si>
  <si>
    <t>Alena Novák</t>
  </si>
  <si>
    <t>ORD-251215-0398</t>
  </si>
  <si>
    <t>ORD-260215-0440</t>
  </si>
  <si>
    <t>Lukáš Jelínek</t>
  </si>
  <si>
    <t>ORD-260318-0453</t>
  </si>
  <si>
    <t>ORD-260417-0474</t>
  </si>
  <si>
    <t>ORD-260420-0477</t>
  </si>
  <si>
    <t>Eliška Novotný</t>
  </si>
  <si>
    <t>ORD-260508-0484</t>
  </si>
  <si>
    <t>ORD-260517-0490</t>
  </si>
  <si>
    <t>ORD-260520-0494</t>
  </si>
  <si>
    <t>Eliška Jelínek</t>
  </si>
  <si>
    <t>ORD-240120-0008</t>
  </si>
  <si>
    <t>Rychlovarná konvice</t>
  </si>
  <si>
    <t>ORD-240202-0016</t>
  </si>
  <si>
    <t>ORD-240322-0041</t>
  </si>
  <si>
    <t>ORD-240418-0060</t>
  </si>
  <si>
    <t>Petr Němec</t>
  </si>
  <si>
    <t>ORD-240720-0105</t>
  </si>
  <si>
    <t>ORD-240812-0115</t>
  </si>
  <si>
    <t>ORD-241016-0158</t>
  </si>
  <si>
    <t>Veronika Pokorný</t>
  </si>
  <si>
    <t>ORD-241109-0172</t>
  </si>
  <si>
    <t>Markéta Fiala</t>
  </si>
  <si>
    <t>ORD-241113-0174</t>
  </si>
  <si>
    <t>ORD-250102-0219</t>
  </si>
  <si>
    <t>ORD-250324-0260</t>
  </si>
  <si>
    <t>ORD-250326-0263</t>
  </si>
  <si>
    <t>ORD-250603-0295</t>
  </si>
  <si>
    <t>Petra Němec</t>
  </si>
  <si>
    <t>ORD-251221-0403</t>
  </si>
  <si>
    <t>ORD-260317-0452</t>
  </si>
  <si>
    <t>Petra Kučera</t>
  </si>
  <si>
    <t>ORD-260429-0481</t>
  </si>
  <si>
    <t>Martin Veselý</t>
  </si>
  <si>
    <t>ORD-240208-0022</t>
  </si>
  <si>
    <t>Reproduktor BT</t>
  </si>
  <si>
    <t>ORD-240309-0034</t>
  </si>
  <si>
    <t>ORD-240408-0050</t>
  </si>
  <si>
    <t>Kateřina Pospíšil</t>
  </si>
  <si>
    <t>ORD-240417-0059</t>
  </si>
  <si>
    <t>ORD-240701-0099</t>
  </si>
  <si>
    <t>Lucie Němec</t>
  </si>
  <si>
    <t>ORD-240715-0103</t>
  </si>
  <si>
    <t>Martina Horák</t>
  </si>
  <si>
    <t>ORD-240811-0114</t>
  </si>
  <si>
    <t>ORD-240816-0116</t>
  </si>
  <si>
    <t>ORD-240923-0138</t>
  </si>
  <si>
    <t>Martin Jelínek</t>
  </si>
  <si>
    <t>ORD-241026-0164</t>
  </si>
  <si>
    <t>ORD-241114-0175</t>
  </si>
  <si>
    <t>Radek Pospíšil</t>
  </si>
  <si>
    <t>ORD-241222-0206</t>
  </si>
  <si>
    <t>ORD-250427-0278</t>
  </si>
  <si>
    <t>ORD-250522-0289</t>
  </si>
  <si>
    <t>Tomáš Král</t>
  </si>
  <si>
    <t>ORD-250626-0311</t>
  </si>
  <si>
    <t>Jan Dvořák</t>
  </si>
  <si>
    <t>ORD-251021-0363</t>
  </si>
  <si>
    <t>ORD-251022-0366</t>
  </si>
  <si>
    <t>Ondřej Veselý</t>
  </si>
  <si>
    <t>ORD-251104-0372</t>
  </si>
  <si>
    <t>Václav Veselý</t>
  </si>
  <si>
    <t>ORD-251114-0377</t>
  </si>
  <si>
    <t>ORD-260101-0409</t>
  </si>
  <si>
    <t>Markéta Svoboda</t>
  </si>
  <si>
    <t>ORD-260123-0423</t>
  </si>
  <si>
    <t>Lucie Horák</t>
  </si>
  <si>
    <t>ORD-240309-0032</t>
  </si>
  <si>
    <t>Ondřej Novotný</t>
  </si>
  <si>
    <t>Powerbanka 20k</t>
  </si>
  <si>
    <t>ORD-240313-0038</t>
  </si>
  <si>
    <t>Eliška Novák</t>
  </si>
  <si>
    <t>ORD-240525-0078</t>
  </si>
  <si>
    <t>Alena Němec</t>
  </si>
  <si>
    <t>ORD-240802-0110</t>
  </si>
  <si>
    <t>Lukáš Kučera</t>
  </si>
  <si>
    <t>ORD-240903-0128</t>
  </si>
  <si>
    <t>ORD-241114-0176</t>
  </si>
  <si>
    <t>David Pospíšil</t>
  </si>
  <si>
    <t>ORD-241125-0184</t>
  </si>
  <si>
    <t>Markéta Pokorný</t>
  </si>
  <si>
    <t>ORD-241216-0198</t>
  </si>
  <si>
    <t>Petra Beneš</t>
  </si>
  <si>
    <t>ORD-250101-0218</t>
  </si>
  <si>
    <t>ORD-250418-0273</t>
  </si>
  <si>
    <t>Alena Fiala</t>
  </si>
  <si>
    <t>ORD-251018-0361</t>
  </si>
  <si>
    <t>Václav Fiala</t>
  </si>
  <si>
    <t>ORD-251022-0365</t>
  </si>
  <si>
    <t>Michal Hájek</t>
  </si>
  <si>
    <t>ORD-251114-0378</t>
  </si>
  <si>
    <t>Jiří Němec</t>
  </si>
  <si>
    <t>ORD-251203-0386</t>
  </si>
  <si>
    <t>Anna Pospíšil</t>
  </si>
  <si>
    <t>ORD-251222-0404</t>
  </si>
  <si>
    <t>ORD-260120-0421</t>
  </si>
  <si>
    <t>ORD-260209-0435</t>
  </si>
  <si>
    <t>ORD-260215-0441</t>
  </si>
  <si>
    <t>Martina Beneš</t>
  </si>
  <si>
    <t>ORD-260304-0447</t>
  </si>
  <si>
    <t>ORD-260407-0470</t>
  </si>
  <si>
    <t>Filip Jelínek</t>
  </si>
  <si>
    <t>ORD-260410-0471</t>
  </si>
  <si>
    <t>Tomáš Novák</t>
  </si>
  <si>
    <t>ORD-260501-0482</t>
  </si>
  <si>
    <t>Jiří Černý</t>
  </si>
  <si>
    <t>ORD-240412-0053</t>
  </si>
  <si>
    <t>Pořadač pákový</t>
  </si>
  <si>
    <t>ORD-240510-0070</t>
  </si>
  <si>
    <t>ORD-240713-0101</t>
  </si>
  <si>
    <t>ORD-240907-0130</t>
  </si>
  <si>
    <t>David Novák</t>
  </si>
  <si>
    <t>ORD-240910-0132</t>
  </si>
  <si>
    <t>ORD-240917-0134</t>
  </si>
  <si>
    <t>ORD-240929-0145</t>
  </si>
  <si>
    <t>Jan Fiala</t>
  </si>
  <si>
    <t>ORD-241124-0183</t>
  </si>
  <si>
    <t>Petr Fiala</t>
  </si>
  <si>
    <t>ORD-241221-0204</t>
  </si>
  <si>
    <t>ORD-250127-0237</t>
  </si>
  <si>
    <t>ORD-250629-0313</t>
  </si>
  <si>
    <t>ORD-251009-0351</t>
  </si>
  <si>
    <t>Petra Procházka</t>
  </si>
  <si>
    <t>ORD-260401-0466</t>
  </si>
  <si>
    <t>Martin Král</t>
  </si>
  <si>
    <t>ORD-240312-0036</t>
  </si>
  <si>
    <t>Podložka na jógu</t>
  </si>
  <si>
    <t>ORD-240507-0069</t>
  </si>
  <si>
    <t>ORD-240516-0072</t>
  </si>
  <si>
    <t>Lukáš Hájek</t>
  </si>
  <si>
    <t>ORD-240605-0083</t>
  </si>
  <si>
    <t>ORD-240829-0123</t>
  </si>
  <si>
    <t>David Pokorný</t>
  </si>
  <si>
    <t>ORD-240920-0135</t>
  </si>
  <si>
    <t>ORD-241224-0211</t>
  </si>
  <si>
    <t>ORD-250115-0225</t>
  </si>
  <si>
    <t>ORD-250331-0264</t>
  </si>
  <si>
    <t>ORD-250406-0266</t>
  </si>
  <si>
    <t>ORD-250420-0275</t>
  </si>
  <si>
    <t>ORD-250724-0325</t>
  </si>
  <si>
    <t>ORD-251013-0355</t>
  </si>
  <si>
    <t>Tereza Dvořák</t>
  </si>
  <si>
    <t>ORD-251014-0358</t>
  </si>
  <si>
    <t>ORD-260201-0430</t>
  </si>
  <si>
    <t>Jan Veselý</t>
  </si>
  <si>
    <t>ORD-260212-0439</t>
  </si>
  <si>
    <t>Václav Dvořák</t>
  </si>
  <si>
    <t>ORD-240120-0007</t>
  </si>
  <si>
    <t>Eliška Svoboda</t>
  </si>
  <si>
    <t>Pero gelové</t>
  </si>
  <si>
    <t>ORD-240302-0029</t>
  </si>
  <si>
    <t>Jiří Svoboda</t>
  </si>
  <si>
    <t>ORD-240309-0031</t>
  </si>
  <si>
    <t>Martin Dvořák</t>
  </si>
  <si>
    <t>ORD-240808-0111</t>
  </si>
  <si>
    <t>ORD-240830-0126</t>
  </si>
  <si>
    <t>ORD-241117-0177</t>
  </si>
  <si>
    <t>Kateřina Svoboda</t>
  </si>
  <si>
    <t>ORD-250103-0220</t>
  </si>
  <si>
    <t>Lucie Černý</t>
  </si>
  <si>
    <t>ORD-250608-0300</t>
  </si>
  <si>
    <t>Alena Král</t>
  </si>
  <si>
    <t>ORD-250621-0306</t>
  </si>
  <si>
    <t>Radek Pokorný</t>
  </si>
  <si>
    <t>ORD-250712-0319</t>
  </si>
  <si>
    <t>Markéta Pospíšil</t>
  </si>
  <si>
    <t>ORD-260120-0420</t>
  </si>
  <si>
    <t>ORD-260126-0425</t>
  </si>
  <si>
    <t>Karolína Novotný</t>
  </si>
  <si>
    <t>ORD-260309-0448</t>
  </si>
  <si>
    <t>ORD-240228-0026</t>
  </si>
  <si>
    <t>Papír A4 80g</t>
  </si>
  <si>
    <t>ORD-240228-0027</t>
  </si>
  <si>
    <t>ORD-240501-0067</t>
  </si>
  <si>
    <t>Lucie Beneš</t>
  </si>
  <si>
    <t>ORD-240607-0085</t>
  </si>
  <si>
    <t>ORD-240909-0131</t>
  </si>
  <si>
    <t>ORD-241006-0148</t>
  </si>
  <si>
    <t>ORD-241101-0168</t>
  </si>
  <si>
    <t>ORD-241223-0209</t>
  </si>
  <si>
    <t>ORD-250715-0322</t>
  </si>
  <si>
    <t>ORD-260219-0442</t>
  </si>
  <si>
    <t>Petr Svoboda</t>
  </si>
  <si>
    <t>ORD-260321-0457</t>
  </si>
  <si>
    <t>ORD-240119-0006</t>
  </si>
  <si>
    <t>Pánev 28 cm</t>
  </si>
  <si>
    <t>ORD-240305-0030</t>
  </si>
  <si>
    <t>ORD-240321-0040</t>
  </si>
  <si>
    <t>Tomáš Černý</t>
  </si>
  <si>
    <t>ORD-240926-0142</t>
  </si>
  <si>
    <t>ORD-241018-0161</t>
  </si>
  <si>
    <t>Alena Beneš</t>
  </si>
  <si>
    <t>ORD-241223-0208</t>
  </si>
  <si>
    <t>ORD-250116-0226</t>
  </si>
  <si>
    <t>Karolína Černý</t>
  </si>
  <si>
    <t>ORD-250128-0238</t>
  </si>
  <si>
    <t>ORD-250303-0254</t>
  </si>
  <si>
    <t>ORD-250307-0256</t>
  </si>
  <si>
    <t>Ondřej Dvořák</t>
  </si>
  <si>
    <t>ORD-250925-0349</t>
  </si>
  <si>
    <t>ORD-251118-0381</t>
  </si>
  <si>
    <t>David Kučera</t>
  </si>
  <si>
    <t>ORD-251121-0383</t>
  </si>
  <si>
    <t>Lukáš Novotný</t>
  </si>
  <si>
    <t>ORD-251206-0389</t>
  </si>
  <si>
    <t>Jana Fiala</t>
  </si>
  <si>
    <t>ORD-251219-0401</t>
  </si>
  <si>
    <t>ORD-260203-0433</t>
  </si>
  <si>
    <t>ORD-260315-0449</t>
  </si>
  <si>
    <t>ORD-260522-0498</t>
  </si>
  <si>
    <t>Filip Dvořák</t>
  </si>
  <si>
    <t>ORD-240126-0011</t>
  </si>
  <si>
    <t>Veronika Svoboda</t>
  </si>
  <si>
    <t>Notebook 14"</t>
  </si>
  <si>
    <t>ORD-240331-0047</t>
  </si>
  <si>
    <t>ORD-240420-0061</t>
  </si>
  <si>
    <t>David Novotný</t>
  </si>
  <si>
    <t>ORD-240817-0117</t>
  </si>
  <si>
    <t>Martin Kučera</t>
  </si>
  <si>
    <t>ORD-240824-0119</t>
  </si>
  <si>
    <t>Daniel Hájek</t>
  </si>
  <si>
    <t>ORD-240829-0124</t>
  </si>
  <si>
    <t>ORD-240924-0139</t>
  </si>
  <si>
    <t>Petra Hájek</t>
  </si>
  <si>
    <t>ORD-241124-0182</t>
  </si>
  <si>
    <t>Veronika Černý</t>
  </si>
  <si>
    <t>ORD-250714-0320</t>
  </si>
  <si>
    <t>Petra Král</t>
  </si>
  <si>
    <t>ORD-251030-0369</t>
  </si>
  <si>
    <t>ORD-251110-0374</t>
  </si>
  <si>
    <t>ORD-251210-0392</t>
  </si>
  <si>
    <t>ORD-251230-0408</t>
  </si>
  <si>
    <t>Jana Černý</t>
  </si>
  <si>
    <t>ORD-260131-0428</t>
  </si>
  <si>
    <t>David Král</t>
  </si>
  <si>
    <t>ORD-260211-0437</t>
  </si>
  <si>
    <t>ORD-260318-0454</t>
  </si>
  <si>
    <t>ORD-260326-0461</t>
  </si>
  <si>
    <t>ORD-240118-0004</t>
  </si>
  <si>
    <t>Myš bezdrátová</t>
  </si>
  <si>
    <t>ORD-240409-0051</t>
  </si>
  <si>
    <t>ORD-240424-0062</t>
  </si>
  <si>
    <t>ORD-250107-0221</t>
  </si>
  <si>
    <t>Karel Král</t>
  </si>
  <si>
    <t>ORD-250325-0262</t>
  </si>
  <si>
    <t>Anna Beneš</t>
  </si>
  <si>
    <t>ORD-250421-0276</t>
  </si>
  <si>
    <t>ORD-250607-0298</t>
  </si>
  <si>
    <t>Martin Fiala</t>
  </si>
  <si>
    <t>ORD-250906-0344</t>
  </si>
  <si>
    <t>ORD-251013-0354</t>
  </si>
  <si>
    <t>ORD-251111-0376</t>
  </si>
  <si>
    <t>ORD-260226-0444</t>
  </si>
  <si>
    <t>Petra Černý</t>
  </si>
  <si>
    <t>ORD-260511-0486</t>
  </si>
  <si>
    <t>Petr Hájek</t>
  </si>
  <si>
    <t>ORD-260522-0496</t>
  </si>
  <si>
    <t>Karel Dvořák</t>
  </si>
  <si>
    <t>ORD-260522-0497</t>
  </si>
  <si>
    <t>ORD-240201-0014</t>
  </si>
  <si>
    <t>Monitor 27"</t>
  </si>
  <si>
    <t>ORD-240203-0017</t>
  </si>
  <si>
    <t>ORD-240311-0035</t>
  </si>
  <si>
    <t>Kateřina Procházka</t>
  </si>
  <si>
    <t>ORD-240622-0091</t>
  </si>
  <si>
    <t>Alena Pospíšil</t>
  </si>
  <si>
    <t>ORD-241013-0154</t>
  </si>
  <si>
    <t>ORD-241204-0189</t>
  </si>
  <si>
    <t>ORD-241209-0194</t>
  </si>
  <si>
    <t>ORD-250122-0235</t>
  </si>
  <si>
    <t>ORD-250201-0240</t>
  </si>
  <si>
    <t>Tereza Král</t>
  </si>
  <si>
    <t>ORD-250224-0251</t>
  </si>
  <si>
    <t>Filip Pokorný</t>
  </si>
  <si>
    <t>ORD-250318-0258</t>
  </si>
  <si>
    <t>Václav Černý</t>
  </si>
  <si>
    <t>ORD-250502-0281</t>
  </si>
  <si>
    <t>ORD-250618-0303</t>
  </si>
  <si>
    <t>ORD-251109-0373</t>
  </si>
  <si>
    <t>Karel Jelínek</t>
  </si>
  <si>
    <t>ORD-251227-0406</t>
  </si>
  <si>
    <t>Daniel Novotný</t>
  </si>
  <si>
    <t>ORD-260113-0417</t>
  </si>
  <si>
    <t>Karolína Pokorný</t>
  </si>
  <si>
    <t>ORD-260220-0443</t>
  </si>
  <si>
    <t>ORD-260322-0458</t>
  </si>
  <si>
    <t>ORD-240118-0005</t>
  </si>
  <si>
    <t>Martin Němec</t>
  </si>
  <si>
    <t>Mixér stolní</t>
  </si>
  <si>
    <t>ORD-240127-0012</t>
  </si>
  <si>
    <t>Karel Fiala</t>
  </si>
  <si>
    <t>ORD-240309-0033</t>
  </si>
  <si>
    <t>Markéta Procházka</t>
  </si>
  <si>
    <t>ORD-240829-0125</t>
  </si>
  <si>
    <t>ORD-240924-0140</t>
  </si>
  <si>
    <t>Jan Procházka</t>
  </si>
  <si>
    <t>ORD-241010-0152</t>
  </si>
  <si>
    <t>ORD-241015-0157</t>
  </si>
  <si>
    <t>Lukáš Procházka</t>
  </si>
  <si>
    <t>ORD-250226-0253</t>
  </si>
  <si>
    <t>Markéta Horák</t>
  </si>
  <si>
    <t>ORD-250401-0265</t>
  </si>
  <si>
    <t>ORD-251205-0388</t>
  </si>
  <si>
    <t>ORD-260103-0414</t>
  </si>
  <si>
    <t>ORD-260404-0467</t>
  </si>
  <si>
    <t>ORD-240622-0090</t>
  </si>
  <si>
    <t>LED žárovka 10W</t>
  </si>
  <si>
    <t>ORD-240811-0113</t>
  </si>
  <si>
    <t>ORD-240825-0120</t>
  </si>
  <si>
    <t>ORD-241014-0156</t>
  </si>
  <si>
    <t>Martin Pospíšil</t>
  </si>
  <si>
    <t>ORD-241204-0188</t>
  </si>
  <si>
    <t>ORD-241212-0197</t>
  </si>
  <si>
    <t>Jan Černý</t>
  </si>
  <si>
    <t>ORD-241225-0213</t>
  </si>
  <si>
    <t>Martina Němec</t>
  </si>
  <si>
    <t>ORD-250422-0277</t>
  </si>
  <si>
    <t>Karel Pokorný</t>
  </si>
  <si>
    <t>ORD-250525-0292</t>
  </si>
  <si>
    <t>Tereza Novotný</t>
  </si>
  <si>
    <t>ORD-250704-0314</t>
  </si>
  <si>
    <t>ORD-250820-0335</t>
  </si>
  <si>
    <t>ORD-250822-0338</t>
  </si>
  <si>
    <t>ORD-251030-0368</t>
  </si>
  <si>
    <t>ORD-251116-0380</t>
  </si>
  <si>
    <t>ORD-251121-0384</t>
  </si>
  <si>
    <t>ORD-251220-0402</t>
  </si>
  <si>
    <t>ORD-260210-0436</t>
  </si>
  <si>
    <t>Jana Dvořák</t>
  </si>
  <si>
    <t>ORD-260319-0455</t>
  </si>
  <si>
    <t>ORD-260417-0475</t>
  </si>
  <si>
    <t>ORD-260428-0480</t>
  </si>
  <si>
    <t>Karel Procházka</t>
  </si>
  <si>
    <t>ORD-240408-0049</t>
  </si>
  <si>
    <t>Laminovací fólie</t>
  </si>
  <si>
    <t>ORD-240525-0076</t>
  </si>
  <si>
    <t>ORD-240602-0082</t>
  </si>
  <si>
    <t>ORD-240810-0112</t>
  </si>
  <si>
    <t>Karolína Pospíšil</t>
  </si>
  <si>
    <t>ORD-240905-0129</t>
  </si>
  <si>
    <t>ORD-240910-0133</t>
  </si>
  <si>
    <t>ORD-241112-0173</t>
  </si>
  <si>
    <t>Jan Pospíšil</t>
  </si>
  <si>
    <t>ORD-250223-0250</t>
  </si>
  <si>
    <t>Daniel Horák</t>
  </si>
  <si>
    <t>ORD-250418-0274</t>
  </si>
  <si>
    <t>ORD-250428-0279</t>
  </si>
  <si>
    <t>ORD-250501-0280</t>
  </si>
  <si>
    <t>ORD-250811-0332</t>
  </si>
  <si>
    <t>Alena Svoboda</t>
  </si>
  <si>
    <t>ORD-250908-0346</t>
  </si>
  <si>
    <t>Daniel Jelínek</t>
  </si>
  <si>
    <t>ORD-251013-0357</t>
  </si>
  <si>
    <t>ORD-251120-0382</t>
  </si>
  <si>
    <t>Kateřina Pokorný</t>
  </si>
  <si>
    <t>ORD-260114-0419</t>
  </si>
  <si>
    <t>ORD-260122-0422</t>
  </si>
  <si>
    <t>Lucie Pokorný</t>
  </si>
  <si>
    <t>ORD-260201-0431</t>
  </si>
  <si>
    <t>ORD-260211-0438</t>
  </si>
  <si>
    <t>ORD-260514-0487</t>
  </si>
  <si>
    <t>ORD-260516-0489</t>
  </si>
  <si>
    <t>Anna Dvořák</t>
  </si>
  <si>
    <t>ORD-260519-0491</t>
  </si>
  <si>
    <t>ORD-240124-0009</t>
  </si>
  <si>
    <t>Láhev 1l</t>
  </si>
  <si>
    <t>ORD-240623-0092</t>
  </si>
  <si>
    <t>ORD-240629-0097</t>
  </si>
  <si>
    <t>Lukáš Pokorný</t>
  </si>
  <si>
    <t>ORD-240723-0106</t>
  </si>
  <si>
    <t>ORD-240927-0143</t>
  </si>
  <si>
    <t>ORD-241207-0193</t>
  </si>
  <si>
    <t>Karolína Král</t>
  </si>
  <si>
    <t>ORD-241224-0212</t>
  </si>
  <si>
    <t>ORD-250806-0330</t>
  </si>
  <si>
    <t>ORD-251218-0400</t>
  </si>
  <si>
    <t>ORD-240410-0052</t>
  </si>
  <si>
    <t>Klávesnice mechanická</t>
  </si>
  <si>
    <t>ORD-240601-0081</t>
  </si>
  <si>
    <t>ORD-240827-0122</t>
  </si>
  <si>
    <t>ORD-250620-0304</t>
  </si>
  <si>
    <t>Petr Černý</t>
  </si>
  <si>
    <t>ORD-250728-0327</t>
  </si>
  <si>
    <t>ORD-251016-0360</t>
  </si>
  <si>
    <t>ORD-251204-0387</t>
  </si>
  <si>
    <t>Petr Kučera</t>
  </si>
  <si>
    <t>ORD-251227-0405</t>
  </si>
  <si>
    <t>ORD-260227-0445</t>
  </si>
  <si>
    <t>ORD-240523-0075</t>
  </si>
  <si>
    <t>Václav Beneš</t>
  </si>
  <si>
    <t>Fitness náramek</t>
  </si>
  <si>
    <t>ORD-240821-0118</t>
  </si>
  <si>
    <t>ORD-241118-0178</t>
  </si>
  <si>
    <t>ORD-241206-0191</t>
  </si>
  <si>
    <t>ORD-241227-0215</t>
  </si>
  <si>
    <t>Jana Novotný</t>
  </si>
  <si>
    <t>ORD-250116-0227</t>
  </si>
  <si>
    <t>Karel Černý</t>
  </si>
  <si>
    <t>ORD-250409-0269</t>
  </si>
  <si>
    <t>ORD-250509-0283</t>
  </si>
  <si>
    <t>ORD-250722-0324</t>
  </si>
  <si>
    <t>Lucie Procházka</t>
  </si>
  <si>
    <t>ORD-250815-0334</t>
  </si>
  <si>
    <t>Michal Svoboda</t>
  </si>
  <si>
    <t>ORD-251212-0394</t>
  </si>
  <si>
    <t>Markéta Hájek</t>
  </si>
  <si>
    <t>ORD-251218-0399</t>
  </si>
  <si>
    <t>Lucie Kučera</t>
  </si>
  <si>
    <t>ORD-260325-0460</t>
  </si>
  <si>
    <t>ORD-260520-0492</t>
  </si>
  <si>
    <t>ORD-240109-0002</t>
  </si>
  <si>
    <t>Čistička vzduchu</t>
  </si>
  <si>
    <t>ORD-240219-0024</t>
  </si>
  <si>
    <t>ORD-240321-0039</t>
  </si>
  <si>
    <t>Jiří Dvořák</t>
  </si>
  <si>
    <t>ORD-240413-0055</t>
  </si>
  <si>
    <t>ORD-240624-0095</t>
  </si>
  <si>
    <t>ORD-240715-0102</t>
  </si>
  <si>
    <t>ORD-240731-0108</t>
  </si>
  <si>
    <t>Petra Novotný</t>
  </si>
  <si>
    <t>ORD-240921-0136</t>
  </si>
  <si>
    <t>ORD-241007-0149</t>
  </si>
  <si>
    <t>ORD-241012-0153</t>
  </si>
  <si>
    <t>Petr Dvořák</t>
  </si>
  <si>
    <t>ORD-241030-0166</t>
  </si>
  <si>
    <t>ORD-241210-0195</t>
  </si>
  <si>
    <t>ORD-241219-0200</t>
  </si>
  <si>
    <t>Jana Veselý</t>
  </si>
  <si>
    <t>ORD-250124-0236</t>
  </si>
  <si>
    <t>ORD-250219-0247</t>
  </si>
  <si>
    <t>Petra Pokorný</t>
  </si>
  <si>
    <t>ORD-250407-0267</t>
  </si>
  <si>
    <t>Filip Pospíšil</t>
  </si>
  <si>
    <t>ORD-250925-0350</t>
  </si>
  <si>
    <t>ORD-251011-0353</t>
  </si>
  <si>
    <t>ORD-260103-0413</t>
  </si>
  <si>
    <t>ORD-260315-0450</t>
  </si>
  <si>
    <t>Ondřej Svoboda</t>
  </si>
  <si>
    <t>ORD-260505-0483</t>
  </si>
  <si>
    <t>ORD-240207-0020</t>
  </si>
  <si>
    <t>Činka 10 kg</t>
  </si>
  <si>
    <t>ORD-240302-0028</t>
  </si>
  <si>
    <t>Veronika Fiala</t>
  </si>
  <si>
    <t>ORD-240414-0056</t>
  </si>
  <si>
    <t>ORD-240606-0084</t>
  </si>
  <si>
    <t>Alena Jelínek</t>
  </si>
  <si>
    <t>ORD-240621-0089</t>
  </si>
  <si>
    <t>ORD-240623-0094</t>
  </si>
  <si>
    <t>ORD-240624-0096</t>
  </si>
  <si>
    <t>ORD-240717-0104</t>
  </si>
  <si>
    <t>Kateřina Fiala</t>
  </si>
  <si>
    <t>ORD-241020-0162</t>
  </si>
  <si>
    <t>Veronika Kučera</t>
  </si>
  <si>
    <t>ORD-241220-0203</t>
  </si>
  <si>
    <t>Alena Horák</t>
  </si>
  <si>
    <t>ORD-250117-0228</t>
  </si>
  <si>
    <t>Ondřej Černý</t>
  </si>
  <si>
    <t>ORD-250216-0244</t>
  </si>
  <si>
    <t>Karolína Jelínek</t>
  </si>
  <si>
    <t>ORD-250324-0261</t>
  </si>
  <si>
    <t>ORD-250504-0282</t>
  </si>
  <si>
    <t>ORD-250602-0293</t>
  </si>
  <si>
    <t>ORD-250602-0294</t>
  </si>
  <si>
    <t>Petr Pospíšil</t>
  </si>
  <si>
    <t>ORD-250604-0296</t>
  </si>
  <si>
    <t>Martina Hájek</t>
  </si>
  <si>
    <t>ORD-250704-0315</t>
  </si>
  <si>
    <t>ORD-250824-0339</t>
  </si>
  <si>
    <t>Jan Pokorný</t>
  </si>
  <si>
    <t>ORD-260104-0415</t>
  </si>
  <si>
    <t>ORD-260114-0418</t>
  </si>
  <si>
    <t>ORD-260202-0432</t>
  </si>
  <si>
    <t>ORD-260509-0485</t>
  </si>
  <si>
    <t>ORD-240407-0048</t>
  </si>
  <si>
    <t>Běžecké boty</t>
  </si>
  <si>
    <t>ORD-240530-0080</t>
  </si>
  <si>
    <t>ORD-240826-0121</t>
  </si>
  <si>
    <t>ORD-240921-0137</t>
  </si>
  <si>
    <t>ORD-241221-0205</t>
  </si>
  <si>
    <t>ORD-250407-0268</t>
  </si>
  <si>
    <t>David Jelínek</t>
  </si>
  <si>
    <t>ORD-250518-0287</t>
  </si>
  <si>
    <t>ORD-250523-0290</t>
  </si>
  <si>
    <t>Anna Hájek</t>
  </si>
  <si>
    <t>ORD-250624-0309</t>
  </si>
  <si>
    <t>ORD-250812-0333</t>
  </si>
  <si>
    <t>Jan Beneš</t>
  </si>
  <si>
    <t>ORD-251110-0375</t>
  </si>
  <si>
    <t>ORD-260204-0434</t>
  </si>
  <si>
    <t>ORD-260406-0469</t>
  </si>
  <si>
    <t>Eliška Pospíšil</t>
  </si>
  <si>
    <t>ORD-260521-0495</t>
  </si>
  <si>
    <t>ORD-240101-0001</t>
  </si>
  <si>
    <t>Batoh sportovní</t>
  </si>
  <si>
    <t>ORD-240128-0013</t>
  </si>
  <si>
    <t>ORD-240206-0019</t>
  </si>
  <si>
    <t>ORD-240427-0064</t>
  </si>
  <si>
    <t>Daniel Pospíšil</t>
  </si>
  <si>
    <t>ORD-240502-0068</t>
  </si>
  <si>
    <t>ORD-240708-0100</t>
  </si>
  <si>
    <t>ORD-241028-0165</t>
  </si>
  <si>
    <t>ORD-241121-0180</t>
  </si>
  <si>
    <t>ORD-241121-0181</t>
  </si>
  <si>
    <t>ORD-241201-0187</t>
  </si>
  <si>
    <t>ORD-250120-0230</t>
  </si>
  <si>
    <t>Tereza Jelínek</t>
  </si>
  <si>
    <t>ORD-250316-0257</t>
  </si>
  <si>
    <t>ORD-250524-0291</t>
  </si>
  <si>
    <t>ORD-250622-0308</t>
  </si>
  <si>
    <t>ORD-250706-0316</t>
  </si>
  <si>
    <t>Petr Beneš</t>
  </si>
  <si>
    <t>ORD-250708-0317</t>
  </si>
  <si>
    <t>Václav Novák</t>
  </si>
  <si>
    <t>ORD-250711-0318</t>
  </si>
  <si>
    <t>ORD-250805-0329</t>
  </si>
  <si>
    <t>ORD-260131-0427</t>
  </si>
  <si>
    <t>ORD-240312-0037</t>
  </si>
  <si>
    <t>Bandáž kolene</t>
  </si>
  <si>
    <t>ORD-240329-0045</t>
  </si>
  <si>
    <t>Alena Kučera</t>
  </si>
  <si>
    <t>ORD-240925-0141</t>
  </si>
  <si>
    <t>ORD-241003-0146</t>
  </si>
  <si>
    <t>ORD-241010-0150</t>
  </si>
  <si>
    <t>ORD-250118-0229</t>
  </si>
  <si>
    <t>ORD-250215-0243</t>
  </si>
  <si>
    <t>ORD-250727-0326</t>
  </si>
  <si>
    <t>ORD-250802-0328</t>
  </si>
  <si>
    <t>ORD-251206-0390</t>
  </si>
  <si>
    <t>ORD-260401-0465</t>
  </si>
  <si>
    <t>Súčet z Trzba</t>
  </si>
  <si>
    <t>Označenia riadkov</t>
  </si>
  <si>
    <t>Celkový súčet</t>
  </si>
  <si>
    <t>Prehľad predajov</t>
  </si>
  <si>
    <t>Marža</t>
  </si>
  <si>
    <t>Dnešný dátum</t>
  </si>
  <si>
    <t>Pomocné Kontingenčné tabuľky</t>
  </si>
  <si>
    <t>Tržba segment</t>
  </si>
  <si>
    <t>Tržba kategórie</t>
  </si>
  <si>
    <t>Tržba podla kanala</t>
  </si>
  <si>
    <t>Označenia stĺpcov</t>
  </si>
  <si>
    <t>Súčet z Zisk</t>
  </si>
  <si>
    <t>Marza podla kategorie</t>
  </si>
  <si>
    <t>Marza %</t>
  </si>
  <si>
    <t>Marza_pr%</t>
  </si>
  <si>
    <t>Tržba</t>
  </si>
  <si>
    <t>Zisk Kč</t>
  </si>
  <si>
    <t>Náklady</t>
  </si>
  <si>
    <t>Trzba podla krajov</t>
  </si>
  <si>
    <t>Mesiace</t>
  </si>
  <si>
    <t>január</t>
  </si>
  <si>
    <t>február</t>
  </si>
  <si>
    <t>marec</t>
  </si>
  <si>
    <t>apríl</t>
  </si>
  <si>
    <t>máj</t>
  </si>
  <si>
    <t>jún</t>
  </si>
  <si>
    <t>júl</t>
  </si>
  <si>
    <t>august</t>
  </si>
  <si>
    <t>september</t>
  </si>
  <si>
    <t>október</t>
  </si>
  <si>
    <t>november</t>
  </si>
  <si>
    <t>december</t>
  </si>
  <si>
    <t>Tržba podla kategorie</t>
  </si>
  <si>
    <t>Top 5 produktov podla kanala trzby</t>
  </si>
  <si>
    <t>Porovnanie krajov podla kanalov a  trzby</t>
  </si>
  <si>
    <t>Stat</t>
  </si>
  <si>
    <t>Česká republika</t>
  </si>
  <si>
    <t>Top 3 produktov podla kategorie</t>
  </si>
  <si>
    <t>Trieda</t>
  </si>
  <si>
    <t>C</t>
  </si>
  <si>
    <t>B</t>
  </si>
  <si>
    <t>A</t>
  </si>
  <si>
    <t xml:space="preserve">Trzba </t>
  </si>
  <si>
    <t>KP</t>
  </si>
  <si>
    <t xml:space="preserve">Zisk </t>
  </si>
  <si>
    <t>Trzba podla kategorie</t>
  </si>
  <si>
    <t>Top 10 prodktov podla zisku a trzby</t>
  </si>
  <si>
    <t>Produtky ABC trzba</t>
  </si>
  <si>
    <t>Súčet z Rok</t>
  </si>
  <si>
    <t>B2B mesiace, trzba, zisk</t>
  </si>
  <si>
    <t>Kumulativny_podiel_%</t>
  </si>
  <si>
    <t>Zisk_ABC</t>
  </si>
  <si>
    <t>Produkty ABC trzba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</si>
</sst>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* #,##0.00\ [$Kč-405]_-;\-* #,##0.00\ [$Kč-405]_-;_-* &quot;-&quot;??\ [$Kč-405]_-;_-@_-"/>
    <numFmt numFmtId="165" formatCode="_-* #,##0\ [$Kč-405]_-;\-* #,##0\ [$Kč-405]_-;_-* &quot;-&quot;??\ [$Kč-405]_-;_-@_-"/>
    <numFmt numFmtId="166" formatCode="[$-F800]dddd\,\ mmmm\ dd\,\ yyyy"/>
    <numFmt numFmtId="167" formatCode="#,##0\ [$Kč-405]"/>
  </numFmts>
  <fonts count="1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238"/>
      <scheme val="minor"/>
    </font>
    <font>
      <b/>
      <sz val="15"/>
      <color theme="1"/>
      <name val="Calibri"/>
      <family val="2"/>
      <charset val="238"/>
    </font>
    <font>
      <b/>
      <sz val="12"/>
      <color theme="1"/>
      <name val="Calibri"/>
      <family val="2"/>
      <charset val="238"/>
    </font>
    <font>
      <b/>
      <sz val="14"/>
      <color theme="1"/>
      <name val="Calibri"/>
      <family val="2"/>
      <charset val="238"/>
    </font>
    <font>
      <sz val="11"/>
      <color theme="1"/>
      <name val="Calibri"/>
      <family val="2"/>
      <charset val="1"/>
    </font>
    <font>
      <b/>
      <sz val="10"/>
      <color rgb="FFFFFFFF"/>
      <name val="Arial"/>
      <family val="2"/>
      <charset val="238"/>
    </font>
    <font>
      <sz val="10"/>
      <name val="Arial"/>
      <family val="2"/>
      <charset val="238"/>
    </font>
    <font>
      <b/>
      <sz val="11"/>
      <color theme="0"/>
      <name val="Calibri"/>
      <family val="2"/>
      <charset val="1"/>
    </font>
    <font>
      <b/>
      <sz val="10"/>
      <color theme="0"/>
      <name val="Arial"/>
      <family val="2"/>
      <charset val="238"/>
    </font>
    <font>
      <sz val="11"/>
      <color theme="9" tint="0.79998168889431442"/>
      <name val="Calibri"/>
      <family val="2"/>
      <charset val="1"/>
    </font>
    <font>
      <sz val="1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7" tint="0.39997558519241921"/>
      </bottom>
      <diagonal/>
    </border>
    <border>
      <left/>
      <right/>
      <top style="thick">
        <color theme="5"/>
      </top>
      <bottom/>
      <diagonal/>
    </border>
    <border>
      <left/>
      <right/>
      <top/>
      <bottom style="thick">
        <color rgb="FFC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2" borderId="0" xfId="0" applyFill="1"/>
    <xf numFmtId="0" fontId="0" fillId="2" borderId="0" xfId="0" applyFill="1" applyAlignment="1">
      <alignment horizontal="left"/>
    </xf>
    <xf numFmtId="165" fontId="0" fillId="2" borderId="0" xfId="0" applyNumberFormat="1" applyFill="1"/>
    <xf numFmtId="165" fontId="3" fillId="2" borderId="0" xfId="0" applyNumberFormat="1" applyFont="1" applyFill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66" fontId="3" fillId="2" borderId="2" xfId="0" applyNumberFormat="1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left"/>
    </xf>
    <xf numFmtId="0" fontId="0" fillId="3" borderId="0" xfId="0" applyFill="1"/>
    <xf numFmtId="0" fontId="3" fillId="0" borderId="0" xfId="0" applyFont="1"/>
    <xf numFmtId="10" fontId="0" fillId="2" borderId="0" xfId="0" applyNumberFormat="1" applyFill="1"/>
    <xf numFmtId="9" fontId="0" fillId="2" borderId="0" xfId="0" applyNumberFormat="1" applyFill="1"/>
    <xf numFmtId="164" fontId="3" fillId="2" borderId="2" xfId="0" applyNumberFormat="1" applyFont="1" applyFill="1" applyBorder="1" applyAlignment="1">
      <alignment horizontal="center" vertical="center"/>
    </xf>
    <xf numFmtId="0" fontId="3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164" fontId="0" fillId="2" borderId="0" xfId="0" applyNumberFormat="1" applyFill="1"/>
    <xf numFmtId="9" fontId="0" fillId="0" borderId="0" xfId="1" applyFont="1"/>
    <xf numFmtId="10" fontId="3" fillId="2" borderId="0" xfId="0" applyNumberFormat="1" applyFont="1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167" fontId="0" fillId="2" borderId="0" xfId="0" applyNumberFormat="1" applyFill="1"/>
    <xf numFmtId="0" fontId="0" fillId="2" borderId="0" xfId="0" applyFill="1" applyAlignment="1">
      <alignment horizontal="left" indent="1"/>
    </xf>
    <xf numFmtId="0" fontId="7" fillId="0" borderId="4" xfId="0" applyFont="1" applyBorder="1"/>
    <xf numFmtId="165" fontId="0" fillId="0" borderId="0" xfId="0" applyNumberFormat="1"/>
    <xf numFmtId="0" fontId="0" fillId="0" borderId="0" xfId="0" applyAlignment="1">
      <alignment horizontal="left"/>
    </xf>
    <xf numFmtId="9" fontId="0" fillId="0" borderId="0" xfId="0" applyNumberFormat="1"/>
    <xf numFmtId="9" fontId="7" fillId="0" borderId="4" xfId="1" applyFont="1" applyBorder="1"/>
    <xf numFmtId="49" fontId="0" fillId="0" borderId="0" xfId="0" applyNumberFormat="1"/>
    <xf numFmtId="167" fontId="0" fillId="0" borderId="0" xfId="0" applyNumberFormat="1"/>
    <xf numFmtId="0" fontId="6" fillId="5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8" fillId="4" borderId="5" xfId="0" applyFont="1" applyFill="1" applyBorder="1"/>
    <xf numFmtId="0" fontId="8" fillId="4" borderId="6" xfId="0" applyFont="1" applyFill="1" applyBorder="1"/>
    <xf numFmtId="0" fontId="8" fillId="4" borderId="7" xfId="0" applyFont="1" applyFill="1" applyBorder="1"/>
    <xf numFmtId="0" fontId="0" fillId="0" borderId="0" xfId="0" pivotButton="1"/>
    <xf numFmtId="0" fontId="0" fillId="0" borderId="0" xfId="0" applyAlignment="1">
      <alignment horizontal="left" inden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0" fontId="0" fillId="0" borderId="0" xfId="0" applyNumberFormat="1"/>
    <xf numFmtId="0" fontId="0" fillId="2" borderId="0" xfId="0" applyNumberFormat="1" applyFill="1"/>
    <xf numFmtId="0" fontId="3" fillId="0" borderId="0" xfId="0" applyFont="1" applyAlignment="1">
      <alignment horizontal="left"/>
    </xf>
    <xf numFmtId="0" fontId="10" fillId="2" borderId="0" xfId="0" applyFont="1" applyFill="1"/>
    <xf numFmtId="0" fontId="11" fillId="2" borderId="0" xfId="0" applyFont="1" applyFill="1"/>
  </cellXfs>
  <cellStyles count="2">
    <cellStyle name="Normálna" xfId="0" builtinId="0"/>
    <cellStyle name="Percentá" xfId="1" builtinId="5"/>
  </cellStyles>
  <dxfs count="459"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4" formatCode="_-* #,##0.00\ [$Kč-405]_-;\-* #,##0.00\ [$Kč-405]_-;_-* &quot;-&quot;??\ [$Kč-405]_-;_-@_-"/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numFmt numFmtId="164" formatCode="_-* #,##0.00\ [$Kč-405]_-;\-* #,##0.00\ [$Kč-405]_-;_-* &quot;-&quot;??\ [$Kč-405]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5" formatCode="_-* #,##0\ [$Kč-405]_-;\-* #,##0\ [$Kč-405]_-;_-* &quot;-&quot;??\ [$Kč-405]_-;_-@_-"/>
    </dxf>
    <dxf>
      <numFmt numFmtId="164" formatCode="_-* #,##0.00\ [$Kč-405]_-;\-* #,##0.00\ [$Kč-405]_-;_-* &quot;-&quot;??\ [$Kč-405]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4" formatCode="0.00%"/>
    </dxf>
    <dxf>
      <numFmt numFmtId="14" formatCode="0.00%"/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numFmt numFmtId="164" formatCode="_-* #,##0.00\ [$Kč-405]_-;\-* #,##0.00\ [$Kč-405]_-;_-* &quot;-&quot;??\ [$Kč-405]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7" formatCode="#,##0\ [$Kč-405]"/>
    </dxf>
    <dxf>
      <numFmt numFmtId="165" formatCode="_-* #,##0\ [$Kč-405]_-;\-* #,##0\ [$Kč-405]_-;_-* &quot;-&quot;??\ [$Kč-405]_-;_-@_-"/>
    </dxf>
    <dxf>
      <numFmt numFmtId="164" formatCode="_-* #,##0.00\ [$Kč-405]_-;\-* #,##0.00\ [$Kč-405]_-;_-* &quot;-&quot;??\ [$Kč-405]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numFmt numFmtId="164" formatCode="_-* #,##0.00\ [$Kč-405]_-;\-* #,##0.00\ [$Kč-405]_-;_-* &quot;-&quot;??\ [$Kč-405]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7" formatCode="#,##0\ [$Kč-405]"/>
    </dxf>
    <dxf>
      <numFmt numFmtId="167" formatCode="#,##0\ [$Kč-405]"/>
    </dxf>
    <dxf>
      <numFmt numFmtId="167" formatCode="#,##0\ [$Kč-405]"/>
    </dxf>
    <dxf>
      <numFmt numFmtId="167" formatCode="#,##0\ [$Kč-405]"/>
    </dxf>
    <dxf>
      <numFmt numFmtId="167" formatCode="#,##0\ [$Kč-405]"/>
    </dxf>
    <dxf>
      <numFmt numFmtId="167" formatCode="#,##0\ [$Kč-405]"/>
    </dxf>
    <dxf>
      <numFmt numFmtId="167" formatCode="#,##0\ [$Kč-405]"/>
    </dxf>
    <dxf>
      <numFmt numFmtId="165" formatCode="_-* #,##0\ [$Kč-405]_-;\-* #,##0\ [$Kč-405]_-;_-* &quot;-&quot;??\ [$Kč-405]_-;_-@_-"/>
    </dxf>
    <dxf>
      <numFmt numFmtId="164" formatCode="_-* #,##0.00\ [$Kč-405]_-;\-* #,##0.00\ [$Kč-405]_-;_-* &quot;-&quot;??\ [$Kč-405]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4" formatCode="0.00%"/>
    </dxf>
    <dxf>
      <numFmt numFmtId="165" formatCode="_-* #,##0\ [$Kč-405]_-;\-* #,##0\ [$Kč-405]_-;_-* &quot;-&quot;??\ [$Kč-405]_-;_-@_-"/>
    </dxf>
    <dxf>
      <numFmt numFmtId="164" formatCode="_-* #,##0.00\ [$Kč-405]_-;\-* #,##0.00\ [$Kč-405]_-;_-* &quot;-&quot;??\ [$Kč-405]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7" formatCode="#,##0\ [$Kč-405]"/>
    </dxf>
    <dxf>
      <numFmt numFmtId="165" formatCode="_-* #,##0\ [$Kč-405]_-;\-* #,##0\ [$Kč-405]_-;_-* &quot;-&quot;??\ [$Kč-405]_-;_-@_-"/>
    </dxf>
    <dxf>
      <numFmt numFmtId="164" formatCode="_-* #,##0.00\ [$Kč-405]_-;\-* #,##0.00\ [$Kč-405]_-;_-* &quot;-&quot;??\ [$Kč-405]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3" formatCode="0%"/>
    </dxf>
    <dxf>
      <numFmt numFmtId="167" formatCode="#,##0\ [$Kč-405]"/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numFmt numFmtId="164" formatCode="_-* #,##0.00\ [$Kč-405]_-;\-* #,##0.00\ [$Kč-405]_-;_-* &quot;-&quot;??\ [$Kč-405]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5" formatCode="_-* #,##0\ [$Kč-405]_-;\-* #,##0\ [$Kč-405]_-;_-* &quot;-&quot;??\ [$Kč-405]_-;_-@_-"/>
    </dxf>
    <dxf>
      <numFmt numFmtId="164" formatCode="_-* #,##0.00\ [$Kč-405]_-;\-* #,##0.00\ [$Kč-405]_-;_-* &quot;-&quot;??\ [$Kč-405]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7" formatCode="#,##0\ [$Kč-405]"/>
    </dxf>
    <dxf>
      <numFmt numFmtId="165" formatCode="_-* #,##0\ [$Kč-405]_-;\-* #,##0\ [$Kč-405]_-;_-* &quot;-&quot;??\ [$Kč-405]_-;_-@_-"/>
    </dxf>
    <dxf>
      <numFmt numFmtId="164" formatCode="_-* #,##0.00\ [$Kč-405]_-;\-* #,##0.00\ [$Kč-405]_-;_-* &quot;-&quot;??\ [$Kč-405]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</dxf>
    <dxf>
      <numFmt numFmtId="165" formatCode="_-* #,##0\ [$Kč-405]_-;\-* #,##0\ [$Kč-405]_-;_-* &quot;-&quot;??\ [$Kč-405]_-;_-@_-"/>
    </dxf>
    <dxf>
      <numFmt numFmtId="30" formatCode="@"/>
    </dxf>
    <dxf>
      <numFmt numFmtId="19" formatCode="d/m/yyyy"/>
    </dxf>
    <dxf>
      <numFmt numFmtId="19" formatCode="d/m/yyyy"/>
    </dxf>
    <dxf>
      <numFmt numFmtId="13" formatCode="0%"/>
    </dxf>
    <dxf>
      <numFmt numFmtId="167" formatCode="#,##0\ [$Kč-405]"/>
    </dxf>
    <dxf>
      <alignment horizontal="left" vertical="bottom" textRotation="0" wrapText="0" indent="0" justifyLastLine="0" shrinkToFit="0" readingOrder="0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"/>
        <scheme val="none"/>
      </font>
      <fill>
        <patternFill patternType="solid">
          <fgColor theme="9"/>
          <bgColor theme="9"/>
        </patternFill>
      </fill>
    </dxf>
    <dxf>
      <numFmt numFmtId="13" formatCode="0%"/>
    </dxf>
    <dxf>
      <numFmt numFmtId="165" formatCode="_-* #,##0\ [$Kč-405]_-;\-* #,##0\ [$Kč-405]_-;_-* &quot;-&quot;??\ [$Kč-405]_-;_-@_-"/>
    </dxf>
    <dxf>
      <alignment horizontal="left" vertical="bottom" textRotation="0" wrapText="0" indent="0" justifyLastLine="0" shrinkToFit="0" readingOrder="0"/>
    </dxf>
    <dxf>
      <numFmt numFmtId="164" formatCode="_-* #,##0.00\ [$Kč-405]_-;\-* #,##0.00\ [$Kč-405]_-;_-* &quot;-&quot;??\ [$Kč-405]_-;_-@_-"/>
    </dxf>
    <dxf>
      <border>
        <top style="thick">
          <color theme="5"/>
        </top>
      </border>
    </dxf>
    <dxf>
      <alignment horizontal="center"/>
    </dxf>
    <dxf>
      <font>
        <b/>
        <charset val="238"/>
      </font>
    </dxf>
    <dxf>
      <font>
        <b/>
        <charset val="238"/>
      </font>
    </dxf>
    <dxf>
      <font>
        <b/>
        <charset val="238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horizontal="general"/>
    </dxf>
    <dxf>
      <alignment vertical="center"/>
    </dxf>
    <dxf>
      <alignment horizontal="center"/>
    </dxf>
    <dxf>
      <alignment vertical="center"/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4" formatCode="_-* #,##0.00\ [$Kč-405]_-;\-* #,##0.00\ [$Kč-405]_-;_-* &quot;-&quot;??\ [$Kč-405]_-;_-@_-"/>
    </dxf>
    <dxf>
      <border>
        <top style="thick">
          <color theme="5"/>
        </top>
      </border>
    </dxf>
    <dxf>
      <alignment horizontal="center"/>
    </dxf>
    <dxf>
      <font>
        <b/>
        <charset val="238"/>
      </font>
    </dxf>
    <dxf>
      <font>
        <b/>
        <charset val="238"/>
      </font>
    </dxf>
    <dxf>
      <font>
        <b/>
        <charset val="238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horizontal="general"/>
    </dxf>
    <dxf>
      <alignment vertical="center"/>
    </dxf>
    <dxf>
      <alignment horizontal="center"/>
    </dxf>
    <dxf>
      <alignment vertical="center"/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border>
        <bottom style="thick">
          <color rgb="FFC00000"/>
        </bottom>
      </border>
    </dxf>
    <dxf>
      <font>
        <sz val="12"/>
      </font>
    </dxf>
    <dxf>
      <font>
        <sz val="12"/>
      </font>
    </dxf>
    <dxf>
      <font>
        <sz val="12"/>
      </font>
    </dxf>
    <dxf>
      <font>
        <b/>
        <charset val="238"/>
      </font>
    </dxf>
    <dxf>
      <font>
        <b/>
        <charset val="238"/>
      </font>
    </dxf>
    <dxf>
      <font>
        <b/>
        <charset val="238"/>
      </font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165" formatCode="_-* #,##0\ [$Kč-405]_-;\-* #,##0\ [$Kč-405]_-;_-* &quot;-&quot;??\ [$Kč-405]_-;_-@_-"/>
    </dxf>
    <dxf>
      <numFmt numFmtId="164" formatCode="_-* #,##0.00\ [$Kč-405]_-;\-* #,##0.00\ [$Kč-405]_-;_-* &quot;-&quot;??\ [$Kč-405]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4" formatCode="_-* #,##0.00\ [$Kč-405]_-;\-* #,##0.00\ [$Kč-405]_-;_-* &quot;-&quot;??\ [$Kč-405]_-;_-@_-"/>
    </dxf>
    <dxf>
      <border>
        <top style="thick">
          <color theme="5"/>
        </top>
      </border>
    </dxf>
    <dxf>
      <alignment horizontal="center"/>
    </dxf>
    <dxf>
      <font>
        <b/>
        <charset val="238"/>
      </font>
    </dxf>
    <dxf>
      <font>
        <b/>
        <charset val="238"/>
      </font>
    </dxf>
    <dxf>
      <font>
        <b/>
        <charset val="238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horizontal="general"/>
    </dxf>
    <dxf>
      <alignment vertical="center"/>
    </dxf>
    <dxf>
      <alignment horizontal="center"/>
    </dxf>
    <dxf>
      <alignment vertical="center"/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4" formatCode="_-* #,##0.00\ [$Kč-405]_-;\-* #,##0.00\ [$Kč-405]_-;_-* &quot;-&quot;??\ [$Kč-405]_-;_-@_-"/>
    </dxf>
    <dxf>
      <border>
        <top style="thick">
          <color theme="5"/>
        </top>
      </border>
    </dxf>
    <dxf>
      <alignment horizontal="center"/>
    </dxf>
    <dxf>
      <font>
        <b/>
        <charset val="238"/>
      </font>
    </dxf>
    <dxf>
      <font>
        <b/>
        <charset val="238"/>
      </font>
    </dxf>
    <dxf>
      <font>
        <b/>
        <charset val="238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horizontal="general"/>
    </dxf>
    <dxf>
      <alignment vertical="center"/>
    </dxf>
    <dxf>
      <alignment horizontal="center"/>
    </dxf>
    <dxf>
      <alignment vertical="center"/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4" formatCode="_-* #,##0.00\ [$Kč-405]_-;\-* #,##0.00\ [$Kč-405]_-;_-* &quot;-&quot;??\ [$Kč-405]_-;_-@_-"/>
    </dxf>
    <dxf>
      <border>
        <top style="thick">
          <color theme="5"/>
        </top>
      </border>
    </dxf>
    <dxf>
      <alignment horizontal="center"/>
    </dxf>
    <dxf>
      <font>
        <b/>
        <charset val="238"/>
      </font>
    </dxf>
    <dxf>
      <font>
        <b/>
        <charset val="238"/>
      </font>
    </dxf>
    <dxf>
      <font>
        <b/>
        <charset val="238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horizontal="general"/>
    </dxf>
    <dxf>
      <alignment vertical="center"/>
    </dxf>
    <dxf>
      <alignment horizontal="center"/>
    </dxf>
    <dxf>
      <alignment vertical="center"/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border>
        <bottom style="thick">
          <color rgb="FFC00000"/>
        </bottom>
      </border>
    </dxf>
    <dxf>
      <font>
        <sz val="12"/>
      </font>
    </dxf>
    <dxf>
      <font>
        <sz val="12"/>
      </font>
    </dxf>
    <dxf>
      <font>
        <sz val="12"/>
      </font>
    </dxf>
    <dxf>
      <font>
        <b/>
        <charset val="238"/>
      </font>
    </dxf>
    <dxf>
      <font>
        <b/>
        <charset val="238"/>
      </font>
    </dxf>
    <dxf>
      <font>
        <b/>
        <charset val="238"/>
      </font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165" formatCode="_-* #,##0\ [$Kč-405]_-;\-* #,##0\ [$Kč-405]_-;_-* &quot;-&quot;??\ [$Kč-405]_-;_-@_-"/>
    </dxf>
    <dxf>
      <numFmt numFmtId="164" formatCode="_-* #,##0.00\ [$Kč-405]_-;\-* #,##0.00\ [$Kč-405]_-;_-* &quot;-&quot;??\ [$Kč-405]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4" formatCode="_-* #,##0.00\ [$Kč-405]_-;\-* #,##0.00\ [$Kč-405]_-;_-* &quot;-&quot;??\ [$Kč-405]_-;_-@_-"/>
    </dxf>
    <dxf>
      <border>
        <top style="thick">
          <color theme="5"/>
        </top>
      </border>
    </dxf>
    <dxf>
      <alignment horizontal="center"/>
    </dxf>
    <dxf>
      <font>
        <b/>
        <charset val="238"/>
      </font>
    </dxf>
    <dxf>
      <font>
        <b/>
        <charset val="238"/>
      </font>
    </dxf>
    <dxf>
      <font>
        <b/>
        <charset val="238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horizontal="general"/>
    </dxf>
    <dxf>
      <alignment vertical="center"/>
    </dxf>
    <dxf>
      <alignment horizontal="center"/>
    </dxf>
    <dxf>
      <alignment vertical="center"/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4" formatCode="_-* #,##0.00\ [$Kč-405]_-;\-* #,##0.00\ [$Kč-405]_-;_-* &quot;-&quot;??\ [$Kč-405]_-;_-@_-"/>
    </dxf>
    <dxf>
      <border>
        <top style="thick">
          <color theme="5"/>
        </top>
      </border>
    </dxf>
    <dxf>
      <alignment horizontal="center"/>
    </dxf>
    <dxf>
      <font>
        <b/>
        <charset val="238"/>
      </font>
    </dxf>
    <dxf>
      <font>
        <b/>
        <charset val="238"/>
      </font>
    </dxf>
    <dxf>
      <font>
        <b/>
        <charset val="238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horizontal="general"/>
    </dxf>
    <dxf>
      <alignment vertical="center"/>
    </dxf>
    <dxf>
      <alignment horizontal="center"/>
    </dxf>
    <dxf>
      <alignment vertical="center"/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border>
        <bottom style="thick">
          <color rgb="FFC00000"/>
        </bottom>
      </border>
    </dxf>
    <dxf>
      <font>
        <sz val="12"/>
      </font>
    </dxf>
    <dxf>
      <font>
        <sz val="12"/>
      </font>
    </dxf>
    <dxf>
      <font>
        <sz val="12"/>
      </font>
    </dxf>
    <dxf>
      <font>
        <b/>
        <charset val="238"/>
      </font>
    </dxf>
    <dxf>
      <font>
        <b/>
        <charset val="238"/>
      </font>
    </dxf>
    <dxf>
      <font>
        <b/>
        <charset val="238"/>
      </font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165" formatCode="_-* #,##0\ [$Kč-405]_-;\-* #,##0\ [$Kč-405]_-;_-* &quot;-&quot;??\ [$Kč-405]_-;_-@_-"/>
    </dxf>
    <dxf>
      <numFmt numFmtId="164" formatCode="_-* #,##0.00\ [$Kč-405]_-;\-* #,##0.00\ [$Kč-405]_-;_-* &quot;-&quot;??\ [$Kč-405]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4" formatCode="_-* #,##0.00\ [$Kč-405]_-;\-* #,##0.00\ [$Kč-405]_-;_-* &quot;-&quot;??\ [$Kč-405]_-;_-@_-"/>
    </dxf>
    <dxf>
      <border>
        <top style="thick">
          <color theme="5"/>
        </top>
      </border>
    </dxf>
    <dxf>
      <alignment horizontal="center"/>
    </dxf>
    <dxf>
      <font>
        <b/>
        <charset val="238"/>
      </font>
    </dxf>
    <dxf>
      <font>
        <b/>
        <charset val="238"/>
      </font>
    </dxf>
    <dxf>
      <font>
        <b/>
        <charset val="238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horizontal="general"/>
    </dxf>
    <dxf>
      <alignment vertical="center"/>
    </dxf>
    <dxf>
      <alignment horizontal="center"/>
    </dxf>
    <dxf>
      <alignment vertical="center"/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4" formatCode="_-* #,##0.00\ [$Kč-405]_-;\-* #,##0.00\ [$Kč-405]_-;_-* &quot;-&quot;??\ [$Kč-405]_-;_-@_-"/>
    </dxf>
    <dxf>
      <border>
        <top style="thick">
          <color theme="5"/>
        </top>
      </border>
    </dxf>
    <dxf>
      <alignment horizontal="center"/>
    </dxf>
    <dxf>
      <font>
        <b/>
        <charset val="238"/>
      </font>
    </dxf>
    <dxf>
      <font>
        <b/>
        <charset val="238"/>
      </font>
    </dxf>
    <dxf>
      <font>
        <b/>
        <charset val="238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horizontal="general"/>
    </dxf>
    <dxf>
      <alignment vertical="center"/>
    </dxf>
    <dxf>
      <alignment horizontal="center"/>
    </dxf>
    <dxf>
      <alignment vertical="center"/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border>
        <bottom style="thick">
          <color rgb="FFC00000"/>
        </bottom>
      </border>
    </dxf>
    <dxf>
      <font>
        <sz val="12"/>
      </font>
    </dxf>
    <dxf>
      <font>
        <sz val="12"/>
      </font>
    </dxf>
    <dxf>
      <font>
        <sz val="12"/>
      </font>
    </dxf>
    <dxf>
      <font>
        <b/>
        <charset val="238"/>
      </font>
    </dxf>
    <dxf>
      <font>
        <b/>
        <charset val="238"/>
      </font>
    </dxf>
    <dxf>
      <font>
        <b/>
        <charset val="238"/>
      </font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165" formatCode="_-* #,##0\ [$Kč-405]_-;\-* #,##0\ [$Kč-405]_-;_-* &quot;-&quot;??\ [$Kč-405]_-;_-@_-"/>
    </dxf>
    <dxf>
      <numFmt numFmtId="164" formatCode="_-* #,##0.00\ [$Kč-405]_-;\-* #,##0.00\ [$Kč-405]_-;_-* &quot;-&quot;??\ [$Kč-405]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4" formatCode="_-* #,##0.00\ [$Kč-405]_-;\-* #,##0.00\ [$Kč-405]_-;_-* &quot;-&quot;??\ [$Kč-405]_-;_-@_-"/>
    </dxf>
    <dxf>
      <border>
        <top style="thick">
          <color theme="5"/>
        </top>
      </border>
    </dxf>
    <dxf>
      <alignment horizontal="center"/>
    </dxf>
    <dxf>
      <font>
        <b/>
        <charset val="238"/>
      </font>
    </dxf>
    <dxf>
      <font>
        <b/>
        <charset val="238"/>
      </font>
    </dxf>
    <dxf>
      <font>
        <b/>
        <charset val="238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horizontal="general"/>
    </dxf>
    <dxf>
      <alignment vertical="center"/>
    </dxf>
    <dxf>
      <alignment horizontal="center"/>
    </dxf>
    <dxf>
      <alignment vertical="center"/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4" formatCode="_-* #,##0.00\ [$Kč-405]_-;\-* #,##0.00\ [$Kč-405]_-;_-* &quot;-&quot;??\ [$Kč-405]_-;_-@_-"/>
    </dxf>
    <dxf>
      <border>
        <top style="thick">
          <color theme="5"/>
        </top>
      </border>
    </dxf>
    <dxf>
      <alignment horizontal="center"/>
    </dxf>
    <dxf>
      <font>
        <b/>
        <charset val="238"/>
      </font>
    </dxf>
    <dxf>
      <font>
        <b/>
        <charset val="238"/>
      </font>
    </dxf>
    <dxf>
      <font>
        <b/>
        <charset val="238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horizontal="general"/>
    </dxf>
    <dxf>
      <alignment vertical="center"/>
    </dxf>
    <dxf>
      <alignment horizontal="center"/>
    </dxf>
    <dxf>
      <alignment vertical="center"/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4" formatCode="_-* #,##0.00\ [$Kč-405]_-;\-* #,##0.00\ [$Kč-405]_-;_-* &quot;-&quot;??\ [$Kč-405]_-;_-@_-"/>
    </dxf>
    <dxf>
      <border>
        <top style="thick">
          <color theme="5"/>
        </top>
      </border>
    </dxf>
    <dxf>
      <alignment horizontal="center"/>
    </dxf>
    <dxf>
      <font>
        <b/>
        <charset val="238"/>
      </font>
    </dxf>
    <dxf>
      <font>
        <b/>
        <charset val="238"/>
      </font>
    </dxf>
    <dxf>
      <font>
        <b/>
        <charset val="238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horizontal="general"/>
    </dxf>
    <dxf>
      <alignment vertical="center"/>
    </dxf>
    <dxf>
      <alignment horizontal="center"/>
    </dxf>
    <dxf>
      <alignment vertical="center"/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numFmt numFmtId="165" formatCode="_-* #,##0\ [$Kč-405]_-;\-* #,##0\ [$Kč-405]_-;_-* &quot;-&quot;??\ [$Kč-405]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border>
        <left style="thin">
          <color theme="3" tint="-0.24994659260841701"/>
        </left>
        <right style="thin">
          <color theme="3" tint="-0.24994659260841701"/>
        </right>
        <top style="thin">
          <color theme="3" tint="-0.24994659260841701"/>
        </top>
        <bottom style="thin">
          <color theme="3" tint="-0.24994659260841701"/>
        </bottom>
        <vertical/>
        <horizontal style="dotted">
          <color theme="3" tint="-0.24994659260841701"/>
        </horizontal>
      </border>
    </dxf>
    <dxf>
      <border>
        <left style="thin">
          <color theme="3" tint="-0.24994659260841701"/>
        </left>
        <right style="thin">
          <color theme="3" tint="-0.24994659260841701"/>
        </right>
        <top style="thin">
          <color theme="3" tint="-0.24994659260841701"/>
        </top>
        <bottom style="thin">
          <color theme="3" tint="-0.24994659260841701"/>
        </bottom>
        <vertical/>
        <horizontal style="dotted">
          <color theme="3" tint="-0.24994659260841701"/>
        </horizontal>
      </border>
    </dxf>
    <dxf>
      <font>
        <b/>
        <i val="0"/>
        <color theme="0"/>
      </font>
      <fill>
        <patternFill>
          <bgColor theme="3" tint="-0.24994659260841701"/>
        </patternFill>
      </fill>
      <border>
        <left style="thin">
          <color theme="3" tint="-0.24994659260841701"/>
        </left>
        <right style="thin">
          <color theme="3" tint="-0.24994659260841701"/>
        </right>
        <top style="thin">
          <color theme="3" tint="-0.24994659260841701"/>
        </top>
        <bottom style="thin">
          <color theme="3" tint="-0.24994659260841701"/>
        </bottom>
      </border>
    </dxf>
  </dxfs>
  <tableStyles count="1" defaultTableStyle="TableStyleMedium2" defaultPivotStyle="PivotStyleLight16">
    <tableStyle name="Table Style 1" pivot="0" count="3" xr9:uid="{9FD1B297-100C-40EC-9451-90A03831DB5F}">
      <tableStyleElement type="headerRow" dxfId="458"/>
      <tableStyleElement type="firstRowStripe" dxfId="457"/>
      <tableStyleElement type="secondRowStripe" dxfId="456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2.xml"/><Relationship Id="rId18" Type="http://schemas.microsoft.com/office/2007/relationships/slicerCache" Target="slicerCaches/slicerCache7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microsoft.com/office/2007/relationships/slicerCache" Target="slicerCaches/slicerCache6.xml"/><Relationship Id="rId2" Type="http://schemas.openxmlformats.org/officeDocument/2006/relationships/worksheet" Target="worksheets/sheet2.xml"/><Relationship Id="rId16" Type="http://schemas.microsoft.com/office/2007/relationships/slicerCache" Target="slicerCaches/slicerCache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microsoft.com/office/2007/relationships/slicerCache" Target="slicerCaches/slicerCache4.xml"/><Relationship Id="rId10" Type="http://schemas.openxmlformats.org/officeDocument/2006/relationships/pivotCacheDefinition" Target="pivotCache/pivotCacheDefinition2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07/relationships/slicerCache" Target="slicerCaches/slicerCache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[prehlad-predajov-eshop-category.xlsx]Pomocne KT!Trzba_segment</c:name>
    <c:fmtId val="19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2">
              <a:shade val="7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2">
              <a:tint val="77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2">
              <a:shade val="7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2">
              <a:tint val="77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2">
              <a:shade val="7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2">
              <a:tint val="77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2">
              <a:shade val="7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5"/>
        <c:spPr>
          <a:solidFill>
            <a:schemeClr val="accent2">
              <a:tint val="77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6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2">
              <a:shade val="7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8"/>
        <c:spPr>
          <a:solidFill>
            <a:schemeClr val="accent2">
              <a:tint val="77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9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solidFill>
            <a:schemeClr val="accent2">
              <a:shade val="7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1"/>
        <c:spPr>
          <a:solidFill>
            <a:schemeClr val="accent2">
              <a:tint val="77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2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3"/>
        <c:spPr>
          <a:solidFill>
            <a:schemeClr val="accent2">
              <a:shade val="7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4"/>
        <c:spPr>
          <a:solidFill>
            <a:schemeClr val="accent2">
              <a:tint val="77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'Pomocne KT'!$B$7</c:f>
              <c:strCache>
                <c:ptCount val="1"/>
                <c:pt idx="0">
                  <c:v>Celková hodnota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A2C-4757-8118-A792AA9F6129}"/>
              </c:ext>
            </c:extLst>
          </c:dPt>
          <c:dPt>
            <c:idx val="1"/>
            <c:bubble3D val="0"/>
            <c:spPr>
              <a:solidFill>
                <a:schemeClr val="accent2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A2C-4757-8118-A792AA9F612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'Pomocne KT'!$A$8:$A$10</c:f>
              <c:strCache>
                <c:ptCount val="2"/>
                <c:pt idx="0">
                  <c:v>B2B</c:v>
                </c:pt>
                <c:pt idx="1">
                  <c:v>B2C</c:v>
                </c:pt>
              </c:strCache>
            </c:strRef>
          </c:cat>
          <c:val>
            <c:numRef>
              <c:f>'Pomocne KT'!$B$8:$B$10</c:f>
              <c:numCache>
                <c:formatCode>_-* #\ ##0\ [$Kč-405]_-;\-* #\ ##0\ [$Kč-405]_-;_-* "-"??\ [$Kč-405]_-;_-@_-</c:formatCode>
                <c:ptCount val="2"/>
                <c:pt idx="0">
                  <c:v>1867860</c:v>
                </c:pt>
                <c:pt idx="1">
                  <c:v>2357486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2C-4757-8118-A792AA9F6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[prehlad-predajov-eshop-category.xlsx]Pomocne KT!Trzba_podla_kanala</c:name>
    <c:fmtId val="26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'Pomocne KT'!$B$25:$B$26</c:f>
              <c:strCache>
                <c:ptCount val="1"/>
                <c:pt idx="0">
                  <c:v>E-shop</c:v>
                </c:pt>
              </c:strCache>
            </c:strRef>
          </c:tx>
          <c:spPr>
            <a:solidFill>
              <a:schemeClr val="accent2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'Pomocne KT'!$A$27:$A$39</c:f>
              <c:strCache>
                <c:ptCount val="12"/>
                <c:pt idx="0">
                  <c:v>január</c:v>
                </c:pt>
                <c:pt idx="1">
                  <c:v>február</c:v>
                </c:pt>
                <c:pt idx="2">
                  <c:v>marec</c:v>
                </c:pt>
                <c:pt idx="3">
                  <c:v>apríl</c:v>
                </c:pt>
                <c:pt idx="4">
                  <c:v>máj</c:v>
                </c:pt>
                <c:pt idx="5">
                  <c:v>jún</c:v>
                </c:pt>
                <c:pt idx="6">
                  <c:v>júl</c:v>
                </c:pt>
                <c:pt idx="7">
                  <c:v>august</c:v>
                </c:pt>
                <c:pt idx="8">
                  <c:v>september</c:v>
                </c:pt>
                <c:pt idx="9">
                  <c:v>október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'Pomocne KT'!$B$27:$B$39</c:f>
              <c:numCache>
                <c:formatCode>0.00%</c:formatCode>
                <c:ptCount val="12"/>
                <c:pt idx="0">
                  <c:v>0.60819703515420476</c:v>
                </c:pt>
                <c:pt idx="1">
                  <c:v>0.40512718944091491</c:v>
                </c:pt>
                <c:pt idx="2">
                  <c:v>0.17208701153270023</c:v>
                </c:pt>
                <c:pt idx="3">
                  <c:v>0.40850479216199492</c:v>
                </c:pt>
                <c:pt idx="4">
                  <c:v>0.44968570130263558</c:v>
                </c:pt>
                <c:pt idx="5">
                  <c:v>0.34323430795563786</c:v>
                </c:pt>
                <c:pt idx="6">
                  <c:v>0.53851676698194328</c:v>
                </c:pt>
                <c:pt idx="7">
                  <c:v>0.24184885882550503</c:v>
                </c:pt>
                <c:pt idx="8">
                  <c:v>0.71972618133623856</c:v>
                </c:pt>
                <c:pt idx="9">
                  <c:v>0.2031830347643987</c:v>
                </c:pt>
                <c:pt idx="10">
                  <c:v>0.3681190741773564</c:v>
                </c:pt>
                <c:pt idx="11">
                  <c:v>0.39890466160809307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D4-443B-B297-154B7D2A9904}"/>
            </c:ext>
          </c:extLst>
        </c:ser>
        <c:ser>
          <c:idx val="1"/>
          <c:order val="1"/>
          <c:tx>
            <c:strRef>
              <c:f>'Pomocne KT'!$C$25:$C$26</c:f>
              <c:strCache>
                <c:ptCount val="1"/>
                <c:pt idx="0">
                  <c:v>Prodejna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'Pomocne KT'!$A$27:$A$39</c:f>
              <c:strCache>
                <c:ptCount val="12"/>
                <c:pt idx="0">
                  <c:v>január</c:v>
                </c:pt>
                <c:pt idx="1">
                  <c:v>február</c:v>
                </c:pt>
                <c:pt idx="2">
                  <c:v>marec</c:v>
                </c:pt>
                <c:pt idx="3">
                  <c:v>apríl</c:v>
                </c:pt>
                <c:pt idx="4">
                  <c:v>máj</c:v>
                </c:pt>
                <c:pt idx="5">
                  <c:v>jún</c:v>
                </c:pt>
                <c:pt idx="6">
                  <c:v>júl</c:v>
                </c:pt>
                <c:pt idx="7">
                  <c:v>august</c:v>
                </c:pt>
                <c:pt idx="8">
                  <c:v>september</c:v>
                </c:pt>
                <c:pt idx="9">
                  <c:v>október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'Pomocne KT'!$C$27:$C$39</c:f>
              <c:numCache>
                <c:formatCode>0.00%</c:formatCode>
                <c:ptCount val="12"/>
                <c:pt idx="0">
                  <c:v>0.11810022904091137</c:v>
                </c:pt>
                <c:pt idx="1">
                  <c:v>0.48009760754858793</c:v>
                </c:pt>
                <c:pt idx="2">
                  <c:v>0.16482090138305144</c:v>
                </c:pt>
                <c:pt idx="3">
                  <c:v>0.29104722877725109</c:v>
                </c:pt>
                <c:pt idx="4">
                  <c:v>0.26734701605574068</c:v>
                </c:pt>
                <c:pt idx="5">
                  <c:v>0.46307299116040235</c:v>
                </c:pt>
                <c:pt idx="6">
                  <c:v>0.10391229578675838</c:v>
                </c:pt>
                <c:pt idx="7">
                  <c:v>0.29646084182057619</c:v>
                </c:pt>
                <c:pt idx="8">
                  <c:v>5.5449995067489606E-2</c:v>
                </c:pt>
                <c:pt idx="9">
                  <c:v>0.75751337307616218</c:v>
                </c:pt>
                <c:pt idx="10">
                  <c:v>0.40181957612939206</c:v>
                </c:pt>
                <c:pt idx="11">
                  <c:v>0.39732437177306051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0A-4937-B3FB-1ACA0D83A302}"/>
            </c:ext>
          </c:extLst>
        </c:ser>
        <c:ser>
          <c:idx val="2"/>
          <c:order val="2"/>
          <c:tx>
            <c:strRef>
              <c:f>'Pomocne KT'!$D$25:$D$26</c:f>
              <c:strCache>
                <c:ptCount val="1"/>
                <c:pt idx="0">
                  <c:v>Velkoobchod</c:v>
                </c:pt>
              </c:strCache>
            </c:strRef>
          </c:tx>
          <c:spPr>
            <a:solidFill>
              <a:schemeClr val="accent2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'Pomocne KT'!$A$27:$A$39</c:f>
              <c:strCache>
                <c:ptCount val="12"/>
                <c:pt idx="0">
                  <c:v>január</c:v>
                </c:pt>
                <c:pt idx="1">
                  <c:v>február</c:v>
                </c:pt>
                <c:pt idx="2">
                  <c:v>marec</c:v>
                </c:pt>
                <c:pt idx="3">
                  <c:v>apríl</c:v>
                </c:pt>
                <c:pt idx="4">
                  <c:v>máj</c:v>
                </c:pt>
                <c:pt idx="5">
                  <c:v>jún</c:v>
                </c:pt>
                <c:pt idx="6">
                  <c:v>júl</c:v>
                </c:pt>
                <c:pt idx="7">
                  <c:v>august</c:v>
                </c:pt>
                <c:pt idx="8">
                  <c:v>september</c:v>
                </c:pt>
                <c:pt idx="9">
                  <c:v>október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'Pomocne KT'!$D$27:$D$39</c:f>
              <c:numCache>
                <c:formatCode>0.00%</c:formatCode>
                <c:ptCount val="12"/>
                <c:pt idx="0">
                  <c:v>0.27370273580488391</c:v>
                </c:pt>
                <c:pt idx="1">
                  <c:v>0.11477520301049712</c:v>
                </c:pt>
                <c:pt idx="2">
                  <c:v>0.66309208708424838</c:v>
                </c:pt>
                <c:pt idx="3">
                  <c:v>0.30044797906075399</c:v>
                </c:pt>
                <c:pt idx="4">
                  <c:v>0.28296728264162374</c:v>
                </c:pt>
                <c:pt idx="5">
                  <c:v>0.19369270088395976</c:v>
                </c:pt>
                <c:pt idx="6">
                  <c:v>0.35757093723129835</c:v>
                </c:pt>
                <c:pt idx="7">
                  <c:v>0.46169029935391875</c:v>
                </c:pt>
                <c:pt idx="8">
                  <c:v>0.22482382359627187</c:v>
                </c:pt>
                <c:pt idx="9">
                  <c:v>3.9303592159439169E-2</c:v>
                </c:pt>
                <c:pt idx="10">
                  <c:v>0.23006134969325154</c:v>
                </c:pt>
                <c:pt idx="11">
                  <c:v>0.20377096661884644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0A-4937-B3FB-1ACA0D83A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overlap val="100"/>
        <c:axId val="438018680"/>
        <c:axId val="438019040"/>
      </c:barChart>
      <c:catAx>
        <c:axId val="438018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438019040"/>
        <c:crosses val="autoZero"/>
        <c:auto val="1"/>
        <c:lblAlgn val="ctr"/>
        <c:lblOffset val="100"/>
        <c:noMultiLvlLbl val="0"/>
      </c:catAx>
      <c:valAx>
        <c:axId val="438019040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43801868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29141621186240607"/>
          <c:y val="2.7920422990604443E-2"/>
          <c:w val="0.28665611243039063"/>
          <c:h val="8.22374176912096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[prehlad-predajov-eshop-category.xlsx]Pomocne KT!Tryba_kanal_katgoria</c:name>
    <c:fmtId val="37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'Pomocne KT'!$I$25:$I$26</c:f>
              <c:strCache>
                <c:ptCount val="1"/>
                <c:pt idx="0">
                  <c:v>E-shop</c:v>
                </c:pt>
              </c:strCache>
            </c:strRef>
          </c:tx>
          <c:spPr>
            <a:solidFill>
              <a:schemeClr val="accent2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'Pomocne KT'!$H$27:$H$31</c:f>
              <c:strCache>
                <c:ptCount val="4"/>
                <c:pt idx="0">
                  <c:v>Domácnost</c:v>
                </c:pt>
                <c:pt idx="1">
                  <c:v>Elektronika</c:v>
                </c:pt>
                <c:pt idx="2">
                  <c:v>Kancelář</c:v>
                </c:pt>
                <c:pt idx="3">
                  <c:v>Sport</c:v>
                </c:pt>
              </c:strCache>
            </c:strRef>
          </c:cat>
          <c:val>
            <c:numRef>
              <c:f>'Pomocne KT'!$I$27:$I$31</c:f>
              <c:numCache>
                <c:formatCode>#\ ##0\ [$Kč-405]</c:formatCode>
                <c:ptCount val="4"/>
                <c:pt idx="0">
                  <c:v>324639</c:v>
                </c:pt>
                <c:pt idx="1">
                  <c:v>763551</c:v>
                </c:pt>
                <c:pt idx="2">
                  <c:v>370705</c:v>
                </c:pt>
                <c:pt idx="3">
                  <c:v>140083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01-42DC-89AA-9A84057D7B9E}"/>
            </c:ext>
          </c:extLst>
        </c:ser>
        <c:ser>
          <c:idx val="1"/>
          <c:order val="1"/>
          <c:tx>
            <c:strRef>
              <c:f>'Pomocne KT'!$J$25:$J$26</c:f>
              <c:strCache>
                <c:ptCount val="1"/>
                <c:pt idx="0">
                  <c:v>Prodejna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'Pomocne KT'!$H$27:$H$31</c:f>
              <c:strCache>
                <c:ptCount val="4"/>
                <c:pt idx="0">
                  <c:v>Domácnost</c:v>
                </c:pt>
                <c:pt idx="1">
                  <c:v>Elektronika</c:v>
                </c:pt>
                <c:pt idx="2">
                  <c:v>Kancelář</c:v>
                </c:pt>
                <c:pt idx="3">
                  <c:v>Sport</c:v>
                </c:pt>
              </c:strCache>
            </c:strRef>
          </c:cat>
          <c:val>
            <c:numRef>
              <c:f>'Pomocne KT'!$J$27:$J$31</c:f>
              <c:numCache>
                <c:formatCode>#\ ##0\ [$Kč-405]</c:formatCode>
                <c:ptCount val="4"/>
                <c:pt idx="0">
                  <c:v>427866</c:v>
                </c:pt>
                <c:pt idx="1">
                  <c:v>747627</c:v>
                </c:pt>
                <c:pt idx="2">
                  <c:v>136492</c:v>
                </c:pt>
                <c:pt idx="3">
                  <c:v>106374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4-4193-8793-474BA87D8B13}"/>
            </c:ext>
          </c:extLst>
        </c:ser>
        <c:ser>
          <c:idx val="2"/>
          <c:order val="2"/>
          <c:tx>
            <c:strRef>
              <c:f>'Pomocne KT'!$K$25:$K$26</c:f>
              <c:strCache>
                <c:ptCount val="1"/>
                <c:pt idx="0">
                  <c:v>Velkoobchod</c:v>
                </c:pt>
              </c:strCache>
            </c:strRef>
          </c:tx>
          <c:spPr>
            <a:solidFill>
              <a:schemeClr val="accent2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'Pomocne KT'!$H$27:$H$31</c:f>
              <c:strCache>
                <c:ptCount val="4"/>
                <c:pt idx="0">
                  <c:v>Domácnost</c:v>
                </c:pt>
                <c:pt idx="1">
                  <c:v>Elektronika</c:v>
                </c:pt>
                <c:pt idx="2">
                  <c:v>Kancelář</c:v>
                </c:pt>
                <c:pt idx="3">
                  <c:v>Sport</c:v>
                </c:pt>
              </c:strCache>
            </c:strRef>
          </c:cat>
          <c:val>
            <c:numRef>
              <c:f>'Pomocne KT'!$K$27:$K$31</c:f>
              <c:numCache>
                <c:formatCode>#\ ##0\ [$Kč-405]</c:formatCode>
                <c:ptCount val="4"/>
                <c:pt idx="0">
                  <c:v>233446</c:v>
                </c:pt>
                <c:pt idx="1">
                  <c:v>580580</c:v>
                </c:pt>
                <c:pt idx="2">
                  <c:v>151944</c:v>
                </c:pt>
                <c:pt idx="3">
                  <c:v>242039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C4-4193-8793-474BA87D8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5072424"/>
        <c:axId val="345072064"/>
      </c:barChart>
      <c:catAx>
        <c:axId val="345072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345072064"/>
        <c:crosses val="autoZero"/>
        <c:auto val="1"/>
        <c:lblAlgn val="ctr"/>
        <c:lblOffset val="100"/>
        <c:noMultiLvlLbl val="0"/>
      </c:catAx>
      <c:valAx>
        <c:axId val="345072064"/>
        <c:scaling>
          <c:orientation val="minMax"/>
        </c:scaling>
        <c:delete val="0"/>
        <c:axPos val="l"/>
        <c:numFmt formatCode="#\ ##0\ [$Kč-405]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345072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[prehlad-predajov-eshop-category.xlsx]Pomocne KT!Top 5 produktov_podla_kanala_trzby</c:name>
    <c:fmtId val="45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'Pomocne KT'!$O$25:$O$26</c:f>
              <c:strCache>
                <c:ptCount val="1"/>
                <c:pt idx="0">
                  <c:v>E-shop</c:v>
                </c:pt>
              </c:strCache>
            </c:strRef>
          </c:tx>
          <c:spPr>
            <a:solidFill>
              <a:schemeClr val="accent2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'Pomocne KT'!$N$27:$N$32</c:f>
              <c:strCache>
                <c:ptCount val="5"/>
                <c:pt idx="0">
                  <c:v>Čistička vzduchu</c:v>
                </c:pt>
                <c:pt idx="1">
                  <c:v>Monitor 27"</c:v>
                </c:pt>
                <c:pt idx="2">
                  <c:v>Notebook 14"</c:v>
                </c:pt>
                <c:pt idx="3">
                  <c:v>Stůl kancelářský</c:v>
                </c:pt>
                <c:pt idx="4">
                  <c:v>Vysavač tyčový</c:v>
                </c:pt>
              </c:strCache>
            </c:strRef>
          </c:cat>
          <c:val>
            <c:numRef>
              <c:f>'Pomocne KT'!$O$27:$O$32</c:f>
              <c:numCache>
                <c:formatCode>#\ ##0\ [$Kč-405]</c:formatCode>
                <c:ptCount val="5"/>
                <c:pt idx="0">
                  <c:v>164787</c:v>
                </c:pt>
                <c:pt idx="1">
                  <c:v>164261</c:v>
                </c:pt>
                <c:pt idx="2">
                  <c:v>450607</c:v>
                </c:pt>
                <c:pt idx="3">
                  <c:v>181813</c:v>
                </c:pt>
                <c:pt idx="4">
                  <c:v>50604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F-4EEA-BCDE-3871E715C4CD}"/>
            </c:ext>
          </c:extLst>
        </c:ser>
        <c:ser>
          <c:idx val="1"/>
          <c:order val="1"/>
          <c:tx>
            <c:strRef>
              <c:f>'Pomocne KT'!$P$25:$P$26</c:f>
              <c:strCache>
                <c:ptCount val="1"/>
                <c:pt idx="0">
                  <c:v>Prodejna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'Pomocne KT'!$N$27:$N$32</c:f>
              <c:strCache>
                <c:ptCount val="5"/>
                <c:pt idx="0">
                  <c:v>Čistička vzduchu</c:v>
                </c:pt>
                <c:pt idx="1">
                  <c:v>Monitor 27"</c:v>
                </c:pt>
                <c:pt idx="2">
                  <c:v>Notebook 14"</c:v>
                </c:pt>
                <c:pt idx="3">
                  <c:v>Stůl kancelářský</c:v>
                </c:pt>
                <c:pt idx="4">
                  <c:v>Vysavač tyčový</c:v>
                </c:pt>
              </c:strCache>
            </c:strRef>
          </c:cat>
          <c:val>
            <c:numRef>
              <c:f>'Pomocne KT'!$P$27:$P$32</c:f>
              <c:numCache>
                <c:formatCode>#\ ##0\ [$Kč-405]</c:formatCode>
                <c:ptCount val="5"/>
                <c:pt idx="0">
                  <c:v>169287</c:v>
                </c:pt>
                <c:pt idx="1">
                  <c:v>88425</c:v>
                </c:pt>
                <c:pt idx="2">
                  <c:v>515348</c:v>
                </c:pt>
                <c:pt idx="3">
                  <c:v>46126</c:v>
                </c:pt>
                <c:pt idx="4">
                  <c:v>191863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07-4F88-86D2-F4CE996DA8F4}"/>
            </c:ext>
          </c:extLst>
        </c:ser>
        <c:ser>
          <c:idx val="2"/>
          <c:order val="2"/>
          <c:tx>
            <c:strRef>
              <c:f>'Pomocne KT'!$Q$25:$Q$26</c:f>
              <c:strCache>
                <c:ptCount val="1"/>
                <c:pt idx="0">
                  <c:v>Velkoobchod</c:v>
                </c:pt>
              </c:strCache>
            </c:strRef>
          </c:tx>
          <c:spPr>
            <a:solidFill>
              <a:schemeClr val="accent2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'Pomocne KT'!$N$27:$N$32</c:f>
              <c:strCache>
                <c:ptCount val="5"/>
                <c:pt idx="0">
                  <c:v>Čistička vzduchu</c:v>
                </c:pt>
                <c:pt idx="1">
                  <c:v>Monitor 27"</c:v>
                </c:pt>
                <c:pt idx="2">
                  <c:v>Notebook 14"</c:v>
                </c:pt>
                <c:pt idx="3">
                  <c:v>Stůl kancelářský</c:v>
                </c:pt>
                <c:pt idx="4">
                  <c:v>Vysavač tyčový</c:v>
                </c:pt>
              </c:strCache>
            </c:strRef>
          </c:cat>
          <c:val>
            <c:numRef>
              <c:f>'Pomocne KT'!$Q$27:$Q$32</c:f>
              <c:numCache>
                <c:formatCode>#\ ##0\ [$Kč-405]</c:formatCode>
                <c:ptCount val="5"/>
                <c:pt idx="0">
                  <c:v>99051</c:v>
                </c:pt>
                <c:pt idx="1">
                  <c:v>22735</c:v>
                </c:pt>
                <c:pt idx="2">
                  <c:v>417067</c:v>
                </c:pt>
                <c:pt idx="3">
                  <c:v>71155</c:v>
                </c:pt>
                <c:pt idx="4">
                  <c:v>48492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07-4F88-86D2-F4CE996DA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1199648"/>
        <c:axId val="733731896"/>
      </c:barChart>
      <c:catAx>
        <c:axId val="65119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733731896"/>
        <c:crosses val="autoZero"/>
        <c:auto val="1"/>
        <c:lblAlgn val="ctr"/>
        <c:lblOffset val="100"/>
        <c:noMultiLvlLbl val="0"/>
      </c:catAx>
      <c:valAx>
        <c:axId val="733731896"/>
        <c:scaling>
          <c:orientation val="minMax"/>
        </c:scaling>
        <c:delete val="0"/>
        <c:axPos val="l"/>
        <c:numFmt formatCode="#\ ##0\ [$Kč-405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5119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[prehlad-predajov-eshop-category.xlsx]Pomocne KT!Trzba_podla_krajov</c:name>
    <c:fmtId val="31"/>
  </c:pivotSource>
  <c:chart>
    <c:autoTitleDeleted val="1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2892639474917957E-2"/>
          <c:y val="5.4466230936819175E-2"/>
          <c:w val="0.97421472105016405"/>
          <c:h val="0.813734925291201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'Pomocne KT'!$J$7:$J$8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'Pomocne KT'!$I$9:$I$13</c:f>
              <c:strCache>
                <c:ptCount val="4"/>
                <c:pt idx="0">
                  <c:v>Praha</c:v>
                </c:pt>
                <c:pt idx="1">
                  <c:v>Čechy</c:v>
                </c:pt>
                <c:pt idx="2">
                  <c:v>Morava</c:v>
                </c:pt>
                <c:pt idx="3">
                  <c:v>Slezsko</c:v>
                </c:pt>
              </c:strCache>
            </c:strRef>
          </c:cat>
          <c:val>
            <c:numRef>
              <c:f>'Pomocne KT'!$J$9:$J$13</c:f>
              <c:numCache>
                <c:formatCode>General</c:formatCode>
                <c:ptCount val="4"/>
                <c:pt idx="0">
                  <c:v>416848</c:v>
                </c:pt>
                <c:pt idx="1">
                  <c:v>660343</c:v>
                </c:pt>
                <c:pt idx="2">
                  <c:v>705403</c:v>
                </c:pt>
                <c:pt idx="3">
                  <c:v>116713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5-4EA7-8129-89E0630DD480}"/>
            </c:ext>
          </c:extLst>
        </c:ser>
        <c:ser>
          <c:idx val="1"/>
          <c:order val="1"/>
          <c:tx>
            <c:strRef>
              <c:f>'Pomocne KT'!$K$7:$K$8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'Pomocne KT'!$I$9:$I$13</c:f>
              <c:strCache>
                <c:ptCount val="4"/>
                <c:pt idx="0">
                  <c:v>Praha</c:v>
                </c:pt>
                <c:pt idx="1">
                  <c:v>Čechy</c:v>
                </c:pt>
                <c:pt idx="2">
                  <c:v>Morava</c:v>
                </c:pt>
                <c:pt idx="3">
                  <c:v>Slezsko</c:v>
                </c:pt>
              </c:strCache>
            </c:strRef>
          </c:cat>
          <c:val>
            <c:numRef>
              <c:f>'Pomocne KT'!$K$9:$K$13</c:f>
              <c:numCache>
                <c:formatCode>General</c:formatCode>
                <c:ptCount val="4"/>
                <c:pt idx="0">
                  <c:v>525020</c:v>
                </c:pt>
                <c:pt idx="1">
                  <c:v>489707</c:v>
                </c:pt>
                <c:pt idx="2">
                  <c:v>486498</c:v>
                </c:pt>
                <c:pt idx="3">
                  <c:v>121966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18-499B-B846-9EB7BBF54FC8}"/>
            </c:ext>
          </c:extLst>
        </c:ser>
        <c:ser>
          <c:idx val="2"/>
          <c:order val="2"/>
          <c:tx>
            <c:strRef>
              <c:f>'Pomocne KT'!$L$7:$L$8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2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'Pomocne KT'!$I$9:$I$13</c:f>
              <c:strCache>
                <c:ptCount val="4"/>
                <c:pt idx="0">
                  <c:v>Praha</c:v>
                </c:pt>
                <c:pt idx="1">
                  <c:v>Čechy</c:v>
                </c:pt>
                <c:pt idx="2">
                  <c:v>Morava</c:v>
                </c:pt>
                <c:pt idx="3">
                  <c:v>Slezsko</c:v>
                </c:pt>
              </c:strCache>
            </c:strRef>
          </c:cat>
          <c:val>
            <c:numRef>
              <c:f>'Pomocne KT'!$L$9:$L$13</c:f>
              <c:numCache>
                <c:formatCode>General</c:formatCode>
                <c:ptCount val="4"/>
                <c:pt idx="0">
                  <c:v>260918</c:v>
                </c:pt>
                <c:pt idx="1">
                  <c:v>279610</c:v>
                </c:pt>
                <c:pt idx="2">
                  <c:v>98499</c:v>
                </c:pt>
                <c:pt idx="3">
                  <c:v>63821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18-499B-B846-9EB7BBF54F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666556944"/>
        <c:axId val="666562344"/>
      </c:barChart>
      <c:catAx>
        <c:axId val="66655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66562344"/>
        <c:crosses val="autoZero"/>
        <c:auto val="1"/>
        <c:lblAlgn val="ctr"/>
        <c:lblOffset val="100"/>
        <c:noMultiLvlLbl val="0"/>
      </c:catAx>
      <c:valAx>
        <c:axId val="66656234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665569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[prehlad-predajov-eshop-category.xlsx]Pomocne KT!Porovnanie_krajov_kanalov_trzby</c:name>
    <c:fmtId val="50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\ [$Kč-405]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'Pomocne KT'!$I$38</c:f>
              <c:strCache>
                <c:ptCount val="1"/>
                <c:pt idx="0">
                  <c:v>Celková hodnota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\ [$Kč-405]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'Pomocne KT'!$H$39:$H$54</c:f>
              <c:multiLvlStrCache>
                <c:ptCount val="12"/>
                <c:lvl>
                  <c:pt idx="0">
                    <c:v>Praha</c:v>
                  </c:pt>
                  <c:pt idx="1">
                    <c:v>Čechy</c:v>
                  </c:pt>
                  <c:pt idx="2">
                    <c:v>Morava</c:v>
                  </c:pt>
                  <c:pt idx="3">
                    <c:v>Slezsko</c:v>
                  </c:pt>
                  <c:pt idx="4">
                    <c:v>Praha</c:v>
                  </c:pt>
                  <c:pt idx="5">
                    <c:v>Čechy</c:v>
                  </c:pt>
                  <c:pt idx="6">
                    <c:v>Morava</c:v>
                  </c:pt>
                  <c:pt idx="7">
                    <c:v>Slezsko</c:v>
                  </c:pt>
                  <c:pt idx="8">
                    <c:v>Praha</c:v>
                  </c:pt>
                  <c:pt idx="9">
                    <c:v>Čechy</c:v>
                  </c:pt>
                  <c:pt idx="10">
                    <c:v>Morava</c:v>
                  </c:pt>
                  <c:pt idx="11">
                    <c:v>Slezsko</c:v>
                  </c:pt>
                </c:lvl>
                <c:lvl>
                  <c:pt idx="0">
                    <c:v>E-shop</c:v>
                  </c:pt>
                  <c:pt idx="4">
                    <c:v>Prodejna</c:v>
                  </c:pt>
                  <c:pt idx="8">
                    <c:v>Velkoobchod</c:v>
                  </c:pt>
                </c:lvl>
              </c:multiLvlStrCache>
            </c:multiLvlStrRef>
          </c:cat>
          <c:val>
            <c:numRef>
              <c:f>'Pomocne KT'!$I$39:$I$54</c:f>
              <c:numCache>
                <c:formatCode>General</c:formatCode>
                <c:ptCount val="12"/>
                <c:pt idx="0">
                  <c:v>546928</c:v>
                </c:pt>
                <c:pt idx="1">
                  <c:v>653974</c:v>
                </c:pt>
                <c:pt idx="2">
                  <c:v>294403</c:v>
                </c:pt>
                <c:pt idx="3">
                  <c:v>103673</c:v>
                </c:pt>
                <c:pt idx="4">
                  <c:v>313696</c:v>
                </c:pt>
                <c:pt idx="5">
                  <c:v>457838</c:v>
                </c:pt>
                <c:pt idx="6">
                  <c:v>525604</c:v>
                </c:pt>
                <c:pt idx="7">
                  <c:v>121221</c:v>
                </c:pt>
                <c:pt idx="8">
                  <c:v>342162</c:v>
                </c:pt>
                <c:pt idx="9">
                  <c:v>317848</c:v>
                </c:pt>
                <c:pt idx="10">
                  <c:v>470393</c:v>
                </c:pt>
                <c:pt idx="11">
                  <c:v>77606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B6-4528-85E9-832961BD8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3621816"/>
        <c:axId val="453622536"/>
      </c:barChart>
      <c:catAx>
        <c:axId val="453621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453622536"/>
        <c:crosses val="autoZero"/>
        <c:auto val="1"/>
        <c:lblAlgn val="ctr"/>
        <c:lblOffset val="100"/>
        <c:noMultiLvlLbl val="0"/>
      </c:catAx>
      <c:valAx>
        <c:axId val="4536225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3621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[prehlad-predajov-eshop-category.xlsx]Pomocne KT!Trzba_kategorie</c:name>
    <c:fmtId val="28"/>
  </c:pivotSource>
  <c:chart>
    <c:autoTitleDeleted val="1"/>
    <c:pivotFmts>
      <c:pivotFmt>
        <c:idx val="0"/>
      </c:pivotFmt>
      <c:pivotFmt>
        <c:idx val="1"/>
      </c:pivotFmt>
      <c:pivotFmt>
        <c:idx val="2"/>
        <c:spPr>
          <a:gradFill>
            <a:gsLst>
              <a:gs pos="0">
                <a:schemeClr val="accent2">
                  <a:shade val="51000"/>
                </a:schemeClr>
              </a:gs>
              <a:gs pos="80000">
                <a:schemeClr val="accent2">
                  <a:shade val="93000"/>
                </a:schemeClr>
              </a:gs>
              <a:gs pos="100000">
                <a:schemeClr val="accent2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2">
                  <a:shade val="51000"/>
                </a:schemeClr>
              </a:gs>
              <a:gs pos="80000">
                <a:schemeClr val="accent2">
                  <a:shade val="93000"/>
                </a:schemeClr>
              </a:gs>
              <a:gs pos="100000">
                <a:schemeClr val="accent2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chemeClr val="accent2">
                  <a:shade val="51000"/>
                </a:schemeClr>
              </a:gs>
              <a:gs pos="80000">
                <a:schemeClr val="accent2">
                  <a:shade val="93000"/>
                </a:schemeClr>
              </a:gs>
              <a:gs pos="100000">
                <a:schemeClr val="accent2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'Pomocne KT'!$B$15</c:f>
              <c:strCache>
                <c:ptCount val="1"/>
                <c:pt idx="0">
                  <c:v>Celková hodnota</c:v>
                </c:pt>
              </c:strCache>
            </c:strRef>
          </c:tx>
          <c:spPr>
            <a:gradFill>
              <a:gsLst>
                <a:gs pos="0">
                  <a:schemeClr val="accent2">
                    <a:shade val="51000"/>
                  </a:schemeClr>
                </a:gs>
                <a:gs pos="80000">
                  <a:schemeClr val="accent2">
                    <a:shade val="93000"/>
                  </a:schemeClr>
                </a:gs>
                <a:gs pos="100000">
                  <a:schemeClr val="accent2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'Pomocne KT'!$A$16:$A$20</c:f>
              <c:strCache>
                <c:ptCount val="4"/>
                <c:pt idx="0">
                  <c:v>Sport</c:v>
                </c:pt>
                <c:pt idx="1">
                  <c:v>Kancelář</c:v>
                </c:pt>
                <c:pt idx="2">
                  <c:v>Domácnost</c:v>
                </c:pt>
                <c:pt idx="3">
                  <c:v>Elektronika</c:v>
                </c:pt>
              </c:strCache>
            </c:strRef>
          </c:cat>
          <c:val>
            <c:numRef>
              <c:f>'Pomocne KT'!$B$16:$B$20</c:f>
              <c:numCache>
                <c:formatCode>_-* #\ ##0\ [$Kč-405]_-;\-* #\ ##0\ [$Kč-405]_-;_-* "-"??\ [$Kč-405]_-;_-@_-</c:formatCode>
                <c:ptCount val="4"/>
                <c:pt idx="0">
                  <c:v>488496</c:v>
                </c:pt>
                <c:pt idx="1">
                  <c:v>659141</c:v>
                </c:pt>
                <c:pt idx="2">
                  <c:v>985951</c:v>
                </c:pt>
                <c:pt idx="3">
                  <c:v>2091758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55-4D97-9E52-11DEFD6A5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4"/>
        <c:axId val="1046391696"/>
        <c:axId val="1046392416"/>
      </c:barChart>
      <c:catAx>
        <c:axId val="1046391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046392416"/>
        <c:crosses val="autoZero"/>
        <c:auto val="1"/>
        <c:lblAlgn val="ctr"/>
        <c:lblOffset val="100"/>
        <c:noMultiLvlLbl val="0"/>
      </c:catAx>
      <c:valAx>
        <c:axId val="1046392416"/>
        <c:scaling>
          <c:orientation val="minMax"/>
        </c:scaling>
        <c:delete val="1"/>
        <c:axPos val="l"/>
        <c:numFmt formatCode="_-* #\ ##0\ [$Kč-405]_-;\-* #\ ##0\ [$Kč-405]_-;_-* &quot;-&quot;??\ [$Kč-405]_-;_-@_-" sourceLinked="1"/>
        <c:majorTickMark val="none"/>
        <c:minorTickMark val="none"/>
        <c:tickLblPos val="nextTo"/>
        <c:crossAx val="1046391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[prehlad-predajov-eshop-category.xlsx]Pomocne KT!Kontingenčná tabuľka3</c:name>
    <c:fmtId val="33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'Pomocne KT'!$B$44</c:f>
              <c:strCache>
                <c:ptCount val="1"/>
                <c:pt idx="0">
                  <c:v>Celková hodnota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'Pomocne KT'!$A$45:$A$49</c:f>
              <c:strCache>
                <c:ptCount val="4"/>
                <c:pt idx="0">
                  <c:v>Domácnost</c:v>
                </c:pt>
                <c:pt idx="1">
                  <c:v>Elektronika</c:v>
                </c:pt>
                <c:pt idx="2">
                  <c:v>Kancelář</c:v>
                </c:pt>
                <c:pt idx="3">
                  <c:v>Sport</c:v>
                </c:pt>
              </c:strCache>
            </c:strRef>
          </c:cat>
          <c:val>
            <c:numRef>
              <c:f>'Pomocne KT'!$B$45:$B$49</c:f>
              <c:numCache>
                <c:formatCode>0.00%</c:formatCode>
                <c:ptCount val="4"/>
                <c:pt idx="0">
                  <c:v>0.31789627476416166</c:v>
                </c:pt>
                <c:pt idx="1">
                  <c:v>0.24755654812841629</c:v>
                </c:pt>
                <c:pt idx="2">
                  <c:v>0.33168009576099811</c:v>
                </c:pt>
                <c:pt idx="3">
                  <c:v>0.36715854377517915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EF-493E-838A-3DF3C060B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-27"/>
        <c:axId val="512958040"/>
        <c:axId val="512959840"/>
      </c:barChart>
      <c:catAx>
        <c:axId val="512958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512959840"/>
        <c:crosses val="autoZero"/>
        <c:auto val="1"/>
        <c:lblAlgn val="ctr"/>
        <c:lblOffset val="100"/>
        <c:noMultiLvlLbl val="0"/>
      </c:catAx>
      <c:valAx>
        <c:axId val="512959840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crossAx val="512958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[prehlad-predajov-eshop-category.xlsx]Pomocne KT!Top_3_produktov_podla_kategorie</c:name>
    <c:fmtId val="62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'Pomocne KT'!$M$38</c:f>
              <c:strCache>
                <c:ptCount val="1"/>
                <c:pt idx="0">
                  <c:v>Celková hodnota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'Pomocne KT'!$L$39:$L$55</c:f>
              <c:multiLvlStrCache>
                <c:ptCount val="12"/>
                <c:lvl>
                  <c:pt idx="0">
                    <c:v>Batoh sportovní</c:v>
                  </c:pt>
                  <c:pt idx="1">
                    <c:v>Běžecké boty</c:v>
                  </c:pt>
                  <c:pt idx="2">
                    <c:v>Fitness náramek</c:v>
                  </c:pt>
                  <c:pt idx="3">
                    <c:v>Stůl kancelářský</c:v>
                  </c:pt>
                  <c:pt idx="4">
                    <c:v>Toner HP 12A</c:v>
                  </c:pt>
                  <c:pt idx="5">
                    <c:v>Židle ergonomická</c:v>
                  </c:pt>
                  <c:pt idx="6">
                    <c:v>Čistička vzduchu</c:v>
                  </c:pt>
                  <c:pt idx="7">
                    <c:v>Topinkovač</c:v>
                  </c:pt>
                  <c:pt idx="8">
                    <c:v>Vysavač tyčový</c:v>
                  </c:pt>
                  <c:pt idx="9">
                    <c:v>Monitor 27"</c:v>
                  </c:pt>
                  <c:pt idx="10">
                    <c:v>Notebook 14"</c:v>
                  </c:pt>
                  <c:pt idx="11">
                    <c:v>Reproduktor BT</c:v>
                  </c:pt>
                </c:lvl>
                <c:lvl>
                  <c:pt idx="0">
                    <c:v>Sport</c:v>
                  </c:pt>
                  <c:pt idx="3">
                    <c:v>Kancelář</c:v>
                  </c:pt>
                  <c:pt idx="6">
                    <c:v>Domácnost</c:v>
                  </c:pt>
                  <c:pt idx="9">
                    <c:v>Elektronika</c:v>
                  </c:pt>
                </c:lvl>
              </c:multiLvlStrCache>
            </c:multiLvlStrRef>
          </c:cat>
          <c:val>
            <c:numRef>
              <c:f>'Pomocne KT'!$M$39:$M$55</c:f>
              <c:numCache>
                <c:formatCode>#\ ##0\ [$Kč-405]</c:formatCode>
                <c:ptCount val="12"/>
                <c:pt idx="0">
                  <c:v>119216</c:v>
                </c:pt>
                <c:pt idx="1">
                  <c:v>173537</c:v>
                </c:pt>
                <c:pt idx="2">
                  <c:v>73303</c:v>
                </c:pt>
                <c:pt idx="3">
                  <c:v>299094</c:v>
                </c:pt>
                <c:pt idx="4">
                  <c:v>109564</c:v>
                </c:pt>
                <c:pt idx="5">
                  <c:v>220081</c:v>
                </c:pt>
                <c:pt idx="6">
                  <c:v>433125</c:v>
                </c:pt>
                <c:pt idx="7">
                  <c:v>64103</c:v>
                </c:pt>
                <c:pt idx="8">
                  <c:v>290959</c:v>
                </c:pt>
                <c:pt idx="9">
                  <c:v>275421</c:v>
                </c:pt>
                <c:pt idx="10">
                  <c:v>1383022</c:v>
                </c:pt>
                <c:pt idx="11">
                  <c:v>143338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95-4C4C-8640-1CFFF0E30F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532200304"/>
        <c:axId val="532200664"/>
      </c:barChart>
      <c:catAx>
        <c:axId val="532200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532200664"/>
        <c:crosses val="autoZero"/>
        <c:auto val="1"/>
        <c:lblAlgn val="ctr"/>
        <c:lblOffset val="100"/>
        <c:noMultiLvlLbl val="0"/>
      </c:catAx>
      <c:valAx>
        <c:axId val="532200664"/>
        <c:scaling>
          <c:orientation val="minMax"/>
        </c:scaling>
        <c:delete val="1"/>
        <c:axPos val="b"/>
        <c:numFmt formatCode="#\ ##0\ [$Kč-405]" sourceLinked="1"/>
        <c:majorTickMark val="none"/>
        <c:minorTickMark val="none"/>
        <c:tickLblPos val="nextTo"/>
        <c:crossAx val="53220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[prehlad-predajov-eshop-category.xlsx]Pomocne KT!Top_10_produktov_zisk_trzby</c:name>
    <c:fmtId val="45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829339499003759"/>
          <c:y val="6.5995080532966169E-2"/>
          <c:w val="0.77716898579471461"/>
          <c:h val="0.794247235489006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'Pomocne KT'!$B$62</c:f>
              <c:strCache>
                <c:ptCount val="1"/>
                <c:pt idx="0">
                  <c:v>Súčet z Trzba</c:v>
                </c:pt>
              </c:strCache>
            </c:strRef>
          </c:tx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'Pomocne KT'!$A$63:$A$73</c:f>
              <c:strCache>
                <c:ptCount val="10"/>
                <c:pt idx="0">
                  <c:v>Notebook 14"</c:v>
                </c:pt>
                <c:pt idx="1">
                  <c:v>Čistička vzduchu</c:v>
                </c:pt>
                <c:pt idx="2">
                  <c:v>Stůl kancelářský</c:v>
                </c:pt>
                <c:pt idx="3">
                  <c:v>Vysavač tyčový</c:v>
                </c:pt>
                <c:pt idx="4">
                  <c:v>Monitor 27"</c:v>
                </c:pt>
                <c:pt idx="5">
                  <c:v>Židle ergonomická</c:v>
                </c:pt>
                <c:pt idx="6">
                  <c:v>Běžecké boty</c:v>
                </c:pt>
                <c:pt idx="7">
                  <c:v>Reproduktor BT</c:v>
                </c:pt>
                <c:pt idx="8">
                  <c:v>Batoh sportovní</c:v>
                </c:pt>
                <c:pt idx="9">
                  <c:v>Toner HP 12A</c:v>
                </c:pt>
              </c:strCache>
            </c:strRef>
          </c:cat>
          <c:val>
            <c:numRef>
              <c:f>'Pomocne KT'!$B$63:$B$73</c:f>
              <c:numCache>
                <c:formatCode>#\ ##0\ [$Kč-405]</c:formatCode>
                <c:ptCount val="10"/>
                <c:pt idx="0">
                  <c:v>1383022</c:v>
                </c:pt>
                <c:pt idx="1">
                  <c:v>433125</c:v>
                </c:pt>
                <c:pt idx="2">
                  <c:v>299094</c:v>
                </c:pt>
                <c:pt idx="3">
                  <c:v>290959</c:v>
                </c:pt>
                <c:pt idx="4">
                  <c:v>275421</c:v>
                </c:pt>
                <c:pt idx="5">
                  <c:v>220081</c:v>
                </c:pt>
                <c:pt idx="6">
                  <c:v>173537</c:v>
                </c:pt>
                <c:pt idx="7">
                  <c:v>143338</c:v>
                </c:pt>
                <c:pt idx="8">
                  <c:v>119216</c:v>
                </c:pt>
                <c:pt idx="9">
                  <c:v>109564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2E-49A1-8CB5-E56B83C47567}"/>
            </c:ext>
          </c:extLst>
        </c:ser>
        <c:ser>
          <c:idx val="1"/>
          <c:order val="1"/>
          <c:tx>
            <c:strRef>
              <c:f>'Pomocne KT'!$C$62</c:f>
              <c:strCache>
                <c:ptCount val="1"/>
                <c:pt idx="0">
                  <c:v>Súčet z Zisk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'Pomocne KT'!$A$63:$A$73</c:f>
              <c:strCache>
                <c:ptCount val="10"/>
                <c:pt idx="0">
                  <c:v>Notebook 14"</c:v>
                </c:pt>
                <c:pt idx="1">
                  <c:v>Čistička vzduchu</c:v>
                </c:pt>
                <c:pt idx="2">
                  <c:v>Stůl kancelářský</c:v>
                </c:pt>
                <c:pt idx="3">
                  <c:v>Vysavač tyčový</c:v>
                </c:pt>
                <c:pt idx="4">
                  <c:v>Monitor 27"</c:v>
                </c:pt>
                <c:pt idx="5">
                  <c:v>Židle ergonomická</c:v>
                </c:pt>
                <c:pt idx="6">
                  <c:v>Běžecké boty</c:v>
                </c:pt>
                <c:pt idx="7">
                  <c:v>Reproduktor BT</c:v>
                </c:pt>
                <c:pt idx="8">
                  <c:v>Batoh sportovní</c:v>
                </c:pt>
                <c:pt idx="9">
                  <c:v>Toner HP 12A</c:v>
                </c:pt>
              </c:strCache>
            </c:strRef>
          </c:cat>
          <c:val>
            <c:numRef>
              <c:f>'Pomocne KT'!$C$63:$C$73</c:f>
              <c:numCache>
                <c:formatCode>#\ ##0\ [$Kč-405]</c:formatCode>
                <c:ptCount val="10"/>
                <c:pt idx="0">
                  <c:v>338961.91</c:v>
                </c:pt>
                <c:pt idx="1">
                  <c:v>135942.22000000003</c:v>
                </c:pt>
                <c:pt idx="2">
                  <c:v>94047.12999999999</c:v>
                </c:pt>
                <c:pt idx="3">
                  <c:v>93692.069999999978</c:v>
                </c:pt>
                <c:pt idx="4">
                  <c:v>69444.34</c:v>
                </c:pt>
                <c:pt idx="5">
                  <c:v>72549.329999999987</c:v>
                </c:pt>
                <c:pt idx="6">
                  <c:v>59490.469999999994</c:v>
                </c:pt>
                <c:pt idx="7">
                  <c:v>35598.590000000004</c:v>
                </c:pt>
                <c:pt idx="8">
                  <c:v>48276.200000000004</c:v>
                </c:pt>
                <c:pt idx="9">
                  <c:v>41631.060000000005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2E-49A1-8CB5-E56B83C47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58968256"/>
        <c:axId val="558960696"/>
      </c:barChart>
      <c:catAx>
        <c:axId val="558968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558960696"/>
        <c:crosses val="autoZero"/>
        <c:auto val="1"/>
        <c:lblAlgn val="ctr"/>
        <c:lblOffset val="100"/>
        <c:noMultiLvlLbl val="0"/>
      </c:catAx>
      <c:valAx>
        <c:axId val="558960696"/>
        <c:scaling>
          <c:orientation val="minMax"/>
        </c:scaling>
        <c:delete val="0"/>
        <c:axPos val="l"/>
        <c:numFmt formatCode="#\ ##0\ [$Kč-405]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55896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[prehlad-predajov-eshop-category.xlsx]Pomocne KT!Produkty_abc_trzby</c:name>
    <c:fmtId val="21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'Pomocne KT'!$F$78</c:f>
              <c:strCache>
                <c:ptCount val="1"/>
                <c:pt idx="0">
                  <c:v>Súčet z Trzba</c:v>
                </c:pt>
              </c:strCache>
            </c:strRef>
          </c:tx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'Pomocne KT'!$E$79:$E$99</c:f>
              <c:multiLvlStrCache>
                <c:ptCount val="10"/>
                <c:lvl>
                  <c:pt idx="0">
                    <c:v>A</c:v>
                  </c:pt>
                  <c:pt idx="1">
                    <c:v>A</c:v>
                  </c:pt>
                  <c:pt idx="2">
                    <c:v>A</c:v>
                  </c:pt>
                  <c:pt idx="3">
                    <c:v>A</c:v>
                  </c:pt>
                  <c:pt idx="4">
                    <c:v>A</c:v>
                  </c:pt>
                  <c:pt idx="5">
                    <c:v>A</c:v>
                  </c:pt>
                  <c:pt idx="6">
                    <c:v>A</c:v>
                  </c:pt>
                  <c:pt idx="7">
                    <c:v>A</c:v>
                  </c:pt>
                  <c:pt idx="8">
                    <c:v>A</c:v>
                  </c:pt>
                  <c:pt idx="9">
                    <c:v>B</c:v>
                  </c:pt>
                </c:lvl>
                <c:lvl>
                  <c:pt idx="0">
                    <c:v>Notebook 14"</c:v>
                  </c:pt>
                  <c:pt idx="1">
                    <c:v>Čistička vzduchu</c:v>
                  </c:pt>
                  <c:pt idx="2">
                    <c:v>Stůl kancelářský</c:v>
                  </c:pt>
                  <c:pt idx="3">
                    <c:v>Vysavač tyčový</c:v>
                  </c:pt>
                  <c:pt idx="4">
                    <c:v>Monitor 27"</c:v>
                  </c:pt>
                  <c:pt idx="5">
                    <c:v>Židle ergonomická</c:v>
                  </c:pt>
                  <c:pt idx="6">
                    <c:v>Běžecké boty</c:v>
                  </c:pt>
                  <c:pt idx="7">
                    <c:v>Reproduktor BT</c:v>
                  </c:pt>
                  <c:pt idx="8">
                    <c:v>Batoh sportovní</c:v>
                  </c:pt>
                  <c:pt idx="9">
                    <c:v>Toner HP 12A</c:v>
                  </c:pt>
                </c:lvl>
              </c:multiLvlStrCache>
            </c:multiLvlStrRef>
          </c:cat>
          <c:val>
            <c:numRef>
              <c:f>'Pomocne KT'!$F$79:$F$99</c:f>
              <c:numCache>
                <c:formatCode>_-* #\ ##0\ [$Kč-405]_-;\-* #\ ##0\ [$Kč-405]_-;_-* "-"??\ [$Kč-405]_-;_-@_-</c:formatCode>
                <c:ptCount val="10"/>
                <c:pt idx="0">
                  <c:v>1383022</c:v>
                </c:pt>
                <c:pt idx="1">
                  <c:v>433125</c:v>
                </c:pt>
                <c:pt idx="2">
                  <c:v>299094</c:v>
                </c:pt>
                <c:pt idx="3">
                  <c:v>290959</c:v>
                </c:pt>
                <c:pt idx="4">
                  <c:v>275421</c:v>
                </c:pt>
                <c:pt idx="5">
                  <c:v>220081</c:v>
                </c:pt>
                <c:pt idx="6">
                  <c:v>173537</c:v>
                </c:pt>
                <c:pt idx="7">
                  <c:v>143338</c:v>
                </c:pt>
                <c:pt idx="8">
                  <c:v>119216</c:v>
                </c:pt>
                <c:pt idx="9">
                  <c:v>109564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BE-419D-81B2-5B3C25A92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4054128"/>
        <c:axId val="435564648"/>
      </c:barChart>
      <c:lineChart>
        <c:grouping val="standard"/>
        <c:varyColors val="0"/>
        <c:ser>
          <c:idx val="1"/>
          <c:order val="1"/>
          <c:tx>
            <c:strRef>
              <c:f>'Pomocne KT'!$G$78</c:f>
              <c:strCache>
                <c:ptCount val="1"/>
                <c:pt idx="0">
                  <c:v>Kumulativny_podiel_%</c:v>
                </c:pt>
              </c:strCache>
            </c:strRef>
          </c:tx>
          <c:spPr>
            <a:ln w="28575" cap="rnd">
              <a:solidFill>
                <a:schemeClr val="accent2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'Pomocne KT'!$E$79:$E$99</c:f>
              <c:multiLvlStrCache>
                <c:ptCount val="10"/>
                <c:lvl>
                  <c:pt idx="0">
                    <c:v>A</c:v>
                  </c:pt>
                  <c:pt idx="1">
                    <c:v>A</c:v>
                  </c:pt>
                  <c:pt idx="2">
                    <c:v>A</c:v>
                  </c:pt>
                  <c:pt idx="3">
                    <c:v>A</c:v>
                  </c:pt>
                  <c:pt idx="4">
                    <c:v>A</c:v>
                  </c:pt>
                  <c:pt idx="5">
                    <c:v>A</c:v>
                  </c:pt>
                  <c:pt idx="6">
                    <c:v>A</c:v>
                  </c:pt>
                  <c:pt idx="7">
                    <c:v>A</c:v>
                  </c:pt>
                  <c:pt idx="8">
                    <c:v>A</c:v>
                  </c:pt>
                  <c:pt idx="9">
                    <c:v>B</c:v>
                  </c:pt>
                </c:lvl>
                <c:lvl>
                  <c:pt idx="0">
                    <c:v>Notebook 14"</c:v>
                  </c:pt>
                  <c:pt idx="1">
                    <c:v>Čistička vzduchu</c:v>
                  </c:pt>
                  <c:pt idx="2">
                    <c:v>Stůl kancelářský</c:v>
                  </c:pt>
                  <c:pt idx="3">
                    <c:v>Vysavač tyčový</c:v>
                  </c:pt>
                  <c:pt idx="4">
                    <c:v>Monitor 27"</c:v>
                  </c:pt>
                  <c:pt idx="5">
                    <c:v>Židle ergonomická</c:v>
                  </c:pt>
                  <c:pt idx="6">
                    <c:v>Běžecké boty</c:v>
                  </c:pt>
                  <c:pt idx="7">
                    <c:v>Reproduktor BT</c:v>
                  </c:pt>
                  <c:pt idx="8">
                    <c:v>Batoh sportovní</c:v>
                  </c:pt>
                  <c:pt idx="9">
                    <c:v>Toner HP 12A</c:v>
                  </c:pt>
                </c:lvl>
              </c:multiLvlStrCache>
            </c:multiLvlStrRef>
          </c:cat>
          <c:val>
            <c:numRef>
              <c:f>'Pomocne KT'!$G$79:$G$99</c:f>
              <c:numCache>
                <c:formatCode>0.00%</c:formatCode>
                <c:ptCount val="10"/>
                <c:pt idx="0">
                  <c:v>0.40118328330950348</c:v>
                </c:pt>
                <c:pt idx="1">
                  <c:v>0.12563972921864489</c:v>
                </c:pt>
                <c:pt idx="2">
                  <c:v>8.6760379038202315E-2</c:v>
                </c:pt>
                <c:pt idx="3">
                  <c:v>8.440060022794274E-2</c:v>
                </c:pt>
                <c:pt idx="4">
                  <c:v>7.9893379188752431E-2</c:v>
                </c:pt>
                <c:pt idx="5">
                  <c:v>6.3840501578455611E-2</c:v>
                </c:pt>
                <c:pt idx="6">
                  <c:v>5.0339143871667484E-2</c:v>
                </c:pt>
                <c:pt idx="7">
                  <c:v>4.1579099582665792E-2</c:v>
                </c:pt>
                <c:pt idx="8">
                  <c:v>3.4581855026909018E-2</c:v>
                </c:pt>
                <c:pt idx="9">
                  <c:v>3.1782028957256243E-2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BE-419D-81B2-5B3C25A92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5157728"/>
        <c:axId val="435562848"/>
      </c:lineChart>
      <c:catAx>
        <c:axId val="63405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435564648"/>
        <c:crosses val="autoZero"/>
        <c:auto val="1"/>
        <c:lblAlgn val="ctr"/>
        <c:lblOffset val="100"/>
        <c:noMultiLvlLbl val="0"/>
      </c:catAx>
      <c:valAx>
        <c:axId val="435564648"/>
        <c:scaling>
          <c:orientation val="minMax"/>
        </c:scaling>
        <c:delete val="0"/>
        <c:axPos val="l"/>
        <c:numFmt formatCode="_-* #\ ##0\ [$Kč-405]_-;\-* #\ ##0\ [$Kč-405]_-;_-* &quot;-&quot;??\ [$Kč-405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34054128"/>
        <c:crosses val="autoZero"/>
        <c:crossBetween val="between"/>
      </c:valAx>
      <c:valAx>
        <c:axId val="435562848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45157728"/>
        <c:crosses val="max"/>
        <c:crossBetween val="between"/>
      </c:valAx>
      <c:catAx>
        <c:axId val="645157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55628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[prehlad-predajov-eshop-category.xlsx]Pomocne KT!Kontingenčná tabuľka5</c:name>
    <c:fmtId val="8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'Pomocne KT'!$B$127</c:f>
              <c:strCache>
                <c:ptCount val="1"/>
                <c:pt idx="0">
                  <c:v>Súčet z Zisk</c:v>
                </c:pt>
              </c:strCache>
            </c:strRef>
          </c:tx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'Pomocne KT'!$A$128:$A$158</c:f>
              <c:multiLvlStrCache>
                <c:ptCount val="15"/>
                <c:lvl>
                  <c:pt idx="0">
                    <c:v>A</c:v>
                  </c:pt>
                  <c:pt idx="1">
                    <c:v>A</c:v>
                  </c:pt>
                  <c:pt idx="2">
                    <c:v>A</c:v>
                  </c:pt>
                  <c:pt idx="3">
                    <c:v>A</c:v>
                  </c:pt>
                  <c:pt idx="4">
                    <c:v>A</c:v>
                  </c:pt>
                  <c:pt idx="5">
                    <c:v>A</c:v>
                  </c:pt>
                  <c:pt idx="6">
                    <c:v>A</c:v>
                  </c:pt>
                  <c:pt idx="7">
                    <c:v>A</c:v>
                  </c:pt>
                  <c:pt idx="8">
                    <c:v>A</c:v>
                  </c:pt>
                  <c:pt idx="9">
                    <c:v>B</c:v>
                  </c:pt>
                  <c:pt idx="10">
                    <c:v>B</c:v>
                  </c:pt>
                  <c:pt idx="11">
                    <c:v>B</c:v>
                  </c:pt>
                  <c:pt idx="12">
                    <c:v>B</c:v>
                  </c:pt>
                  <c:pt idx="13">
                    <c:v>B</c:v>
                  </c:pt>
                  <c:pt idx="14">
                    <c:v>B</c:v>
                  </c:pt>
                </c:lvl>
                <c:lvl>
                  <c:pt idx="0">
                    <c:v>Notebook 14"</c:v>
                  </c:pt>
                  <c:pt idx="1">
                    <c:v>Čistička vzduchu</c:v>
                  </c:pt>
                  <c:pt idx="2">
                    <c:v>Stůl kancelářský</c:v>
                  </c:pt>
                  <c:pt idx="3">
                    <c:v>Vysavač tyčový</c:v>
                  </c:pt>
                  <c:pt idx="4">
                    <c:v>Židle ergonomická</c:v>
                  </c:pt>
                  <c:pt idx="5">
                    <c:v>Monitor 27"</c:v>
                  </c:pt>
                  <c:pt idx="6">
                    <c:v>Běžecké boty</c:v>
                  </c:pt>
                  <c:pt idx="7">
                    <c:v>Batoh sportovní</c:v>
                  </c:pt>
                  <c:pt idx="8">
                    <c:v>Toner HP 12A</c:v>
                  </c:pt>
                  <c:pt idx="9">
                    <c:v>Reproduktor BT</c:v>
                  </c:pt>
                  <c:pt idx="10">
                    <c:v>Fitness náramek</c:v>
                  </c:pt>
                  <c:pt idx="11">
                    <c:v>Klávesnice mechanická</c:v>
                  </c:pt>
                  <c:pt idx="12">
                    <c:v>Topinkovač</c:v>
                  </c:pt>
                  <c:pt idx="13">
                    <c:v>Powerbanka 20k</c:v>
                  </c:pt>
                  <c:pt idx="14">
                    <c:v>Rychlovarná konvice</c:v>
                  </c:pt>
                </c:lvl>
              </c:multiLvlStrCache>
            </c:multiLvlStrRef>
          </c:cat>
          <c:val>
            <c:numRef>
              <c:f>'Pomocne KT'!$B$128:$B$158</c:f>
              <c:numCache>
                <c:formatCode>#\ ##0\ [$Kč-405]</c:formatCode>
                <c:ptCount val="15"/>
                <c:pt idx="0">
                  <c:v>338961.91</c:v>
                </c:pt>
                <c:pt idx="1">
                  <c:v>135942.22000000003</c:v>
                </c:pt>
                <c:pt idx="2">
                  <c:v>94047.12999999999</c:v>
                </c:pt>
                <c:pt idx="3">
                  <c:v>93692.069999999978</c:v>
                </c:pt>
                <c:pt idx="4">
                  <c:v>72549.329999999987</c:v>
                </c:pt>
                <c:pt idx="5">
                  <c:v>69444.34</c:v>
                </c:pt>
                <c:pt idx="6">
                  <c:v>59490.469999999994</c:v>
                </c:pt>
                <c:pt idx="7">
                  <c:v>48276.200000000004</c:v>
                </c:pt>
                <c:pt idx="8">
                  <c:v>41631.060000000005</c:v>
                </c:pt>
                <c:pt idx="9">
                  <c:v>35598.590000000004</c:v>
                </c:pt>
                <c:pt idx="10">
                  <c:v>28983.08</c:v>
                </c:pt>
                <c:pt idx="11">
                  <c:v>23937.09</c:v>
                </c:pt>
                <c:pt idx="12">
                  <c:v>19538.489999999998</c:v>
                </c:pt>
                <c:pt idx="13">
                  <c:v>18207.289999999994</c:v>
                </c:pt>
                <c:pt idx="14">
                  <c:v>16903.36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AA-46AE-B743-31073C7C6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5151968"/>
        <c:axId val="645152328"/>
      </c:barChart>
      <c:lineChart>
        <c:grouping val="standard"/>
        <c:varyColors val="0"/>
        <c:ser>
          <c:idx val="1"/>
          <c:order val="1"/>
          <c:tx>
            <c:strRef>
              <c:f>'Pomocne KT'!$C$127</c:f>
              <c:strCache>
                <c:ptCount val="1"/>
                <c:pt idx="0">
                  <c:v>Kumulativny_podiel_%</c:v>
                </c:pt>
              </c:strCache>
            </c:strRef>
          </c:tx>
          <c:spPr>
            <a:ln w="28575" cap="rnd">
              <a:solidFill>
                <a:schemeClr val="accent2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'Pomocne KT'!$A$128:$A$158</c:f>
              <c:multiLvlStrCache>
                <c:ptCount val="15"/>
                <c:lvl>
                  <c:pt idx="0">
                    <c:v>A</c:v>
                  </c:pt>
                  <c:pt idx="1">
                    <c:v>A</c:v>
                  </c:pt>
                  <c:pt idx="2">
                    <c:v>A</c:v>
                  </c:pt>
                  <c:pt idx="3">
                    <c:v>A</c:v>
                  </c:pt>
                  <c:pt idx="4">
                    <c:v>A</c:v>
                  </c:pt>
                  <c:pt idx="5">
                    <c:v>A</c:v>
                  </c:pt>
                  <c:pt idx="6">
                    <c:v>A</c:v>
                  </c:pt>
                  <c:pt idx="7">
                    <c:v>A</c:v>
                  </c:pt>
                  <c:pt idx="8">
                    <c:v>A</c:v>
                  </c:pt>
                  <c:pt idx="9">
                    <c:v>B</c:v>
                  </c:pt>
                  <c:pt idx="10">
                    <c:v>B</c:v>
                  </c:pt>
                  <c:pt idx="11">
                    <c:v>B</c:v>
                  </c:pt>
                  <c:pt idx="12">
                    <c:v>B</c:v>
                  </c:pt>
                  <c:pt idx="13">
                    <c:v>B</c:v>
                  </c:pt>
                  <c:pt idx="14">
                    <c:v>B</c:v>
                  </c:pt>
                </c:lvl>
                <c:lvl>
                  <c:pt idx="0">
                    <c:v>Notebook 14"</c:v>
                  </c:pt>
                  <c:pt idx="1">
                    <c:v>Čistička vzduchu</c:v>
                  </c:pt>
                  <c:pt idx="2">
                    <c:v>Stůl kancelářský</c:v>
                  </c:pt>
                  <c:pt idx="3">
                    <c:v>Vysavač tyčový</c:v>
                  </c:pt>
                  <c:pt idx="4">
                    <c:v>Židle ergonomická</c:v>
                  </c:pt>
                  <c:pt idx="5">
                    <c:v>Monitor 27"</c:v>
                  </c:pt>
                  <c:pt idx="6">
                    <c:v>Běžecké boty</c:v>
                  </c:pt>
                  <c:pt idx="7">
                    <c:v>Batoh sportovní</c:v>
                  </c:pt>
                  <c:pt idx="8">
                    <c:v>Toner HP 12A</c:v>
                  </c:pt>
                  <c:pt idx="9">
                    <c:v>Reproduktor BT</c:v>
                  </c:pt>
                  <c:pt idx="10">
                    <c:v>Fitness náramek</c:v>
                  </c:pt>
                  <c:pt idx="11">
                    <c:v>Klávesnice mechanická</c:v>
                  </c:pt>
                  <c:pt idx="12">
                    <c:v>Topinkovač</c:v>
                  </c:pt>
                  <c:pt idx="13">
                    <c:v>Powerbanka 20k</c:v>
                  </c:pt>
                  <c:pt idx="14">
                    <c:v>Rychlovarná konvice</c:v>
                  </c:pt>
                </c:lvl>
              </c:multiLvlStrCache>
            </c:multiLvlStrRef>
          </c:cat>
          <c:val>
            <c:numRef>
              <c:f>'Pomocne KT'!$C$128:$C$158</c:f>
              <c:numCache>
                <c:formatCode>0.00%</c:formatCode>
                <c:ptCount val="15"/>
                <c:pt idx="0">
                  <c:v>0.30893282674686984</c:v>
                </c:pt>
                <c:pt idx="1">
                  <c:v>0.12389891919963773</c:v>
                </c:pt>
                <c:pt idx="2">
                  <c:v>8.571537055101662E-2</c:v>
                </c:pt>
                <c:pt idx="3">
                  <c:v>8.5391765785322593E-2</c:v>
                </c:pt>
                <c:pt idx="4">
                  <c:v>6.6122089043844146E-2</c:v>
                </c:pt>
                <c:pt idx="5">
                  <c:v>6.329217420851424E-2</c:v>
                </c:pt>
                <c:pt idx="6">
                  <c:v>5.4220130697280579E-2</c:v>
                </c:pt>
                <c:pt idx="7">
                  <c:v>4.3999347686580009E-2</c:v>
                </c:pt>
                <c:pt idx="8">
                  <c:v>3.7942909415009329E-2</c:v>
                </c:pt>
                <c:pt idx="9">
                  <c:v>3.2444863899022916E-2</c:v>
                </c:pt>
                <c:pt idx="10">
                  <c:v>2.6415430666621716E-2</c:v>
                </c:pt>
                <c:pt idx="11">
                  <c:v>2.1816471584651595E-2</c:v>
                </c:pt>
                <c:pt idx="12">
                  <c:v>1.7807549367613161E-2</c:v>
                </c:pt>
                <c:pt idx="13">
                  <c:v>1.6594282133647449E-2</c:v>
                </c:pt>
                <c:pt idx="14">
                  <c:v>1.5405869014367928E-2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AA-46AE-B743-31073C7C6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2987280"/>
        <c:axId val="332986560"/>
      </c:lineChart>
      <c:catAx>
        <c:axId val="64515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45152328"/>
        <c:crosses val="autoZero"/>
        <c:auto val="1"/>
        <c:lblAlgn val="ctr"/>
        <c:lblOffset val="100"/>
        <c:noMultiLvlLbl val="0"/>
      </c:catAx>
      <c:valAx>
        <c:axId val="645152328"/>
        <c:scaling>
          <c:orientation val="minMax"/>
        </c:scaling>
        <c:delete val="0"/>
        <c:axPos val="l"/>
        <c:numFmt formatCode="#\ ##0\ [$Kč-405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45151968"/>
        <c:crosses val="autoZero"/>
        <c:crossBetween val="between"/>
      </c:valAx>
      <c:valAx>
        <c:axId val="33298656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332987280"/>
        <c:crosses val="max"/>
        <c:crossBetween val="between"/>
      </c:valAx>
      <c:catAx>
        <c:axId val="3329872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329865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741467351020697"/>
          <c:y val="0.42751490741076725"/>
          <c:w val="0.12157753136211762"/>
          <c:h val="0.129609202075547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[prehlad-predajov-eshop-category.xlsx]Pomocne KT!Kontingenčná tabuľka6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Trzba</a:t>
            </a:r>
            <a:r>
              <a:rPr lang="en-US" baseline="0"/>
              <a:t> ABC produkty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2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2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2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2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2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'Pomocne KT'!$J$78</c:f>
              <c:strCache>
                <c:ptCount val="1"/>
                <c:pt idx="0">
                  <c:v>Súčet z Trzba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F0-479B-A060-691A132597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F0-479B-A060-691A132597D1}"/>
              </c:ext>
            </c:extLst>
          </c:dPt>
          <c:dPt>
            <c:idx val="2"/>
            <c:bubble3D val="0"/>
            <c:spPr>
              <a:solidFill>
                <a:schemeClr val="accent2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F0-479B-A060-691A132597D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'Pomocne KT'!$I$79:$I$82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'Pomocne KT'!$J$79:$J$82</c:f>
              <c:numCache>
                <c:formatCode>_-* #\ ##0\ [$Kč-405]_-;\-* #\ ##0\ [$Kč-405]_-;_-* "-"??\ [$Kč-405]_-;_-@_-</c:formatCode>
                <c:ptCount val="3"/>
                <c:pt idx="0">
                  <c:v>3337793</c:v>
                </c:pt>
                <c:pt idx="1">
                  <c:v>667920</c:v>
                </c:pt>
                <c:pt idx="2">
                  <c:v>219633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F0-479B-A060-691A132597D1}"/>
            </c:ext>
          </c:extLst>
        </c:ser>
        <c:ser>
          <c:idx val="1"/>
          <c:order val="1"/>
          <c:tx>
            <c:strRef>
              <c:f>'Pomocne KT'!$K$78</c:f>
              <c:strCache>
                <c:ptCount val="1"/>
                <c:pt idx="0">
                  <c:v>Kumulativny_podiel_%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6FF0-479B-A060-691A132597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6FF0-479B-A060-691A132597D1}"/>
              </c:ext>
            </c:extLst>
          </c:dPt>
          <c:dPt>
            <c:idx val="2"/>
            <c:bubble3D val="0"/>
            <c:spPr>
              <a:solidFill>
                <a:schemeClr val="accent2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6FF0-479B-A060-691A132597D1}"/>
              </c:ext>
            </c:extLst>
          </c:dPt>
          <c:cat>
            <c:strRef>
              <c:f>'Pomocne KT'!$I$79:$I$82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'Pomocne KT'!$K$79:$K$82</c:f>
              <c:numCache>
                <c:formatCode>0.00%</c:formatCode>
                <c:ptCount val="3"/>
                <c:pt idx="0">
                  <c:v>0.78994548612113658</c:v>
                </c:pt>
                <c:pt idx="1">
                  <c:v>0.15807462868129615</c:v>
                </c:pt>
                <c:pt idx="2">
                  <c:v>5.1979885197567251E-2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FF0-479B-A060-691A13259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0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335280</xdr:colOff>
      <xdr:row>7</xdr:row>
      <xdr:rowOff>68580</xdr:rowOff>
    </xdr:from>
    <xdr:to>
      <xdr:col>7</xdr:col>
      <xdr:colOff>60960</xdr:colOff>
      <xdr:row>21</xdr:row>
      <xdr:rowOff>91440</xdr:rowOff>
    </xdr:to>
    <xdr:graphicFrame macro="">
      <xdr:nvGraphicFramePr>
        <xdr:cNvPr id="4" name="Trzba_segment">
          <a:extLst>
            <a:ext uri="{FF2B5EF4-FFF2-40B4-BE49-F238E27FC236}">
              <a16:creationId xmlns:a16="http://schemas.microsoft.com/office/drawing/2014/main" id="{71BE0D8F-1271-4F60-9EFD-67BAE729A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7</xdr:col>
      <xdr:colOff>228600</xdr:colOff>
      <xdr:row>7</xdr:row>
      <xdr:rowOff>68580</xdr:rowOff>
    </xdr:from>
    <xdr:to>
      <xdr:col>17</xdr:col>
      <xdr:colOff>45720</xdr:colOff>
      <xdr:row>21</xdr:row>
      <xdr:rowOff>114300</xdr:rowOff>
    </xdr:to>
    <xdr:graphicFrame macro="">
      <xdr:nvGraphicFramePr>
        <xdr:cNvPr id="6" name="Trzba_podla_kanal">
          <a:extLst>
            <a:ext uri="{FF2B5EF4-FFF2-40B4-BE49-F238E27FC236}">
              <a16:creationId xmlns:a16="http://schemas.microsoft.com/office/drawing/2014/main" id="{8BA2E682-6FE2-4AF9-BACE-03BAC5A27A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29</xdr:row>
      <xdr:rowOff>45721</xdr:rowOff>
    </xdr:from>
    <xdr:to>
      <xdr:col>1</xdr:col>
      <xdr:colOff>106680</xdr:colOff>
      <xdr:row>34</xdr:row>
      <xdr:rowOff>30481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Segment 3">
              <a:extLst>
                <a:ext uri="{FF2B5EF4-FFF2-40B4-BE49-F238E27FC236}">
                  <a16:creationId xmlns:a16="http://schemas.microsoft.com/office/drawing/2014/main" id="{C8F8B5CE-6BCB-475B-A92E-BEAE8D4CD6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394961"/>
              <a:ext cx="2080260" cy="8991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k-SK" sz="1100"/>
                <a:t>Tento tvar predstavuje rýchly filter. Rýchle filtre sú podporované v Exceli 2010 alebo novšej verzii.
Rýchly filter sa nedá použiť, ak bol tvar upravený v staršej verzii Excelu alebo ak bol zošit uložený v Exceli 2003 či v staršej verzii.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144780</xdr:colOff>
      <xdr:row>2</xdr:row>
      <xdr:rowOff>129541</xdr:rowOff>
    </xdr:from>
    <xdr:to>
      <xdr:col>17</xdr:col>
      <xdr:colOff>594360</xdr:colOff>
      <xdr:row>5</xdr:row>
      <xdr:rowOff>198120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Rok 3">
              <a:extLst>
                <a:ext uri="{FF2B5EF4-FFF2-40B4-BE49-F238E27FC236}">
                  <a16:creationId xmlns:a16="http://schemas.microsoft.com/office/drawing/2014/main" id="{E9D299FC-4F85-313E-8B09-35499C7C0F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ok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62060" y="495301"/>
              <a:ext cx="5067300" cy="6400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k-SK" sz="1100"/>
                <a:t>Tento tvar predstavuje rýchly filter. Rýchle filtre sú podporované v Exceli 2010 alebo novšej verzii.
Rýchly filter sa nedá použiť, ak bol tvar upravený v staršej verzii Excelu alebo ak bol zošit uložený v Exceli 2003 či v staršej verzii.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21</xdr:row>
      <xdr:rowOff>30481</xdr:rowOff>
    </xdr:from>
    <xdr:to>
      <xdr:col>1</xdr:col>
      <xdr:colOff>121920</xdr:colOff>
      <xdr:row>28</xdr:row>
      <xdr:rowOff>167641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Kategorie 3">
              <a:extLst>
                <a:ext uri="{FF2B5EF4-FFF2-40B4-BE49-F238E27FC236}">
                  <a16:creationId xmlns:a16="http://schemas.microsoft.com/office/drawing/2014/main" id="{47727B61-E060-A61B-9D88-71B38816AB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ategorie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916681"/>
              <a:ext cx="2095500" cy="14173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k-SK" sz="1100"/>
                <a:t>Tento tvar predstavuje rýchly filter. Rýchle filtre sú podporované v Exceli 2010 alebo novšej verzii.
Rýchly filter sa nedá použiť, ak bol tvar upravený v staršej verzii Excelu alebo ak bol zošit uložený v Exceli 2003 či v staršej verzii.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</xdr:row>
      <xdr:rowOff>137160</xdr:rowOff>
    </xdr:from>
    <xdr:to>
      <xdr:col>1</xdr:col>
      <xdr:colOff>137160</xdr:colOff>
      <xdr:row>12</xdr:row>
      <xdr:rowOff>99059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Mesiace">
              <a:extLst>
                <a:ext uri="{FF2B5EF4-FFF2-40B4-BE49-F238E27FC236}">
                  <a16:creationId xmlns:a16="http://schemas.microsoft.com/office/drawing/2014/main" id="{295F3799-A959-D08B-9ECC-65289675F7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iac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02920"/>
              <a:ext cx="2110740" cy="18364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k-SK" sz="1100"/>
                <a:t>Tento tvar predstavuje rýchly filter. Rýchle filtre sú podporované v Exceli 2010 alebo novšej verzii.
Rýchly filter sa nedá použiť, ak bol tvar upravený v staršej verzii Excelu alebo ak bol zošit uložený v Exceli 2003 či v staršej verzii.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342900</xdr:colOff>
      <xdr:row>22</xdr:row>
      <xdr:rowOff>15240</xdr:rowOff>
    </xdr:from>
    <xdr:to>
      <xdr:col>8</xdr:col>
      <xdr:colOff>259080</xdr:colOff>
      <xdr:row>35</xdr:row>
      <xdr:rowOff>38100</xdr:rowOff>
    </xdr:to>
    <xdr:graphicFrame macro="">
      <xdr:nvGraphicFramePr>
        <xdr:cNvPr id="14" name="Trzba_podla_kategorie_kanal">
          <a:extLst>
            <a:ext uri="{FF2B5EF4-FFF2-40B4-BE49-F238E27FC236}">
              <a16:creationId xmlns:a16="http://schemas.microsoft.com/office/drawing/2014/main" id="{F949048A-DE8C-48F0-9A5A-7348E2D400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9</xdr:col>
      <xdr:colOff>38100</xdr:colOff>
      <xdr:row>22</xdr:row>
      <xdr:rowOff>15240</xdr:rowOff>
    </xdr:from>
    <xdr:to>
      <xdr:col>17</xdr:col>
      <xdr:colOff>30480</xdr:colOff>
      <xdr:row>34</xdr:row>
      <xdr:rowOff>182880</xdr:rowOff>
    </xdr:to>
    <xdr:graphicFrame macro="">
      <xdr:nvGraphicFramePr>
        <xdr:cNvPr id="15" name="Graf 14">
          <a:extLst>
            <a:ext uri="{FF2B5EF4-FFF2-40B4-BE49-F238E27FC236}">
              <a16:creationId xmlns:a16="http://schemas.microsoft.com/office/drawing/2014/main" id="{8CA42B3E-470B-4B42-89C3-37028419C3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7620</xdr:colOff>
      <xdr:row>12</xdr:row>
      <xdr:rowOff>167641</xdr:rowOff>
    </xdr:from>
    <xdr:to>
      <xdr:col>1</xdr:col>
      <xdr:colOff>129540</xdr:colOff>
      <xdr:row>20</xdr:row>
      <xdr:rowOff>121921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Region">
              <a:extLst>
                <a:ext uri="{FF2B5EF4-FFF2-40B4-BE49-F238E27FC236}">
                  <a16:creationId xmlns:a16="http://schemas.microsoft.com/office/drawing/2014/main" id="{1859962C-52EA-A73D-76DD-558876EA15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2407921"/>
              <a:ext cx="2095500" cy="14173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k-SK" sz="1100"/>
                <a:t>Tento tvar predstavuje rýchly filter. Rýchle filtre sú podporované v Exceli 2010 alebo novšej verzii.
Rýchly filter sa nedá použiť, ak bol tvar upravený v staršej verzii Excelu alebo ak bol zošit uložený v Exceli 2003 či v staršej verzii.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38101</xdr:rowOff>
    </xdr:from>
    <xdr:to>
      <xdr:col>1</xdr:col>
      <xdr:colOff>243840</xdr:colOff>
      <xdr:row>28</xdr:row>
      <xdr:rowOff>175260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Kategorie">
              <a:extLst>
                <a:ext uri="{FF2B5EF4-FFF2-40B4-BE49-F238E27FC236}">
                  <a16:creationId xmlns:a16="http://schemas.microsoft.com/office/drawing/2014/main" id="{4160841C-516D-81A3-1C0F-3FE34AB285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ategori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924301"/>
              <a:ext cx="2095500" cy="12115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k-SK" sz="1100"/>
                <a:t>Tento tvar predstavuje rýchly filter. Rýchle filtre sú podporované v Exceli 2010 alebo novšej verzii.
Rýchly filter sa nedá použiť, ak bol tvar upravený v staršej verzii Excelu alebo ak bol zošit uložený v Exceli 2003 či v staršej verzii.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29</xdr:row>
      <xdr:rowOff>45721</xdr:rowOff>
    </xdr:from>
    <xdr:to>
      <xdr:col>1</xdr:col>
      <xdr:colOff>228600</xdr:colOff>
      <xdr:row>34</xdr:row>
      <xdr:rowOff>30481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Segment">
              <a:extLst>
                <a:ext uri="{FF2B5EF4-FFF2-40B4-BE49-F238E27FC236}">
                  <a16:creationId xmlns:a16="http://schemas.microsoft.com/office/drawing/2014/main" id="{942F407A-B7A9-7C85-727A-0290D82377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394961"/>
              <a:ext cx="2080260" cy="8991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k-SK" sz="1100"/>
                <a:t>Tento tvar predstavuje rýchly filter. Rýchle filtre sú podporované v Exceli 2010 alebo novšej verzii.
Rýchly filter sa nedá použiť, ak bol tvar upravený v staršej verzii Excelu alebo ak bol zošit uložený v Exceli 2003 či v staršej verzii.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114300</xdr:colOff>
      <xdr:row>7</xdr:row>
      <xdr:rowOff>38100</xdr:rowOff>
    </xdr:from>
    <xdr:to>
      <xdr:col>18</xdr:col>
      <xdr:colOff>7620</xdr:colOff>
      <xdr:row>22</xdr:row>
      <xdr:rowOff>144780</xdr:rowOff>
    </xdr:to>
    <xdr:graphicFrame macro="">
      <xdr:nvGraphicFramePr>
        <xdr:cNvPr id="11" name="Trzba_podla_krajov">
          <a:extLst>
            <a:ext uri="{FF2B5EF4-FFF2-40B4-BE49-F238E27FC236}">
              <a16:creationId xmlns:a16="http://schemas.microsoft.com/office/drawing/2014/main" id="{B06F1F2C-C198-4CCA-B3ED-1B530691EE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</xdr:row>
      <xdr:rowOff>99060</xdr:rowOff>
    </xdr:from>
    <xdr:to>
      <xdr:col>1</xdr:col>
      <xdr:colOff>266700</xdr:colOff>
      <xdr:row>12</xdr:row>
      <xdr:rowOff>114299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esiace 1">
              <a:extLst>
                <a:ext uri="{FF2B5EF4-FFF2-40B4-BE49-F238E27FC236}">
                  <a16:creationId xmlns:a16="http://schemas.microsoft.com/office/drawing/2014/main" id="{9AB10D01-C40E-FE36-8270-8B2B261214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iac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64820"/>
              <a:ext cx="2118360" cy="18897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k-SK" sz="1100"/>
                <a:t>Tento tvar predstavuje rýchly filter. Rýchle filtre sú podporované v Exceli 2010 alebo novšej verzii.
Rýchly filter sa nedá použiť, ak bol tvar upravený v staršej verzii Excelu alebo ak bol zošit uložený v Exceli 2003 či v staršej verzii.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114300</xdr:colOff>
      <xdr:row>3</xdr:row>
      <xdr:rowOff>30481</xdr:rowOff>
    </xdr:from>
    <xdr:to>
      <xdr:col>17</xdr:col>
      <xdr:colOff>533400</xdr:colOff>
      <xdr:row>6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Rok">
              <a:extLst>
                <a:ext uri="{FF2B5EF4-FFF2-40B4-BE49-F238E27FC236}">
                  <a16:creationId xmlns:a16="http://schemas.microsoft.com/office/drawing/2014/main" id="{9B91B437-0BAD-8A15-D5E7-0557ED6123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ok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31580" y="579121"/>
              <a:ext cx="5036820" cy="6019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k-SK" sz="1100"/>
                <a:t>Tento tvar predstavuje rýchly filter. Rýchle filtre sú podporované v Exceli 2010 alebo novšej verzii.
Rýchly filter sa nedá použiť, ak bol tvar upravený v staršej verzii Excelu alebo ak bol zošit uložený v Exceli 2003 či v staršej verzii.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91440</xdr:colOff>
      <xdr:row>23</xdr:row>
      <xdr:rowOff>137160</xdr:rowOff>
    </xdr:from>
    <xdr:to>
      <xdr:col>12</xdr:col>
      <xdr:colOff>480060</xdr:colOff>
      <xdr:row>40</xdr:row>
      <xdr:rowOff>160020</xdr:rowOff>
    </xdr:to>
    <xdr:graphicFrame macro="">
      <xdr:nvGraphicFramePr>
        <xdr:cNvPr id="7" name="Porovnanie_kanal_trzba_region">
          <a:extLst>
            <a:ext uri="{FF2B5EF4-FFF2-40B4-BE49-F238E27FC236}">
              <a16:creationId xmlns:a16="http://schemas.microsoft.com/office/drawing/2014/main" id="{CDF56CA1-95B4-4266-80B5-68765FBF77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13</xdr:row>
      <xdr:rowOff>0</xdr:rowOff>
    </xdr:from>
    <xdr:to>
      <xdr:col>1</xdr:col>
      <xdr:colOff>243840</xdr:colOff>
      <xdr:row>20</xdr:row>
      <xdr:rowOff>137160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Region 1">
              <a:extLst>
                <a:ext uri="{FF2B5EF4-FFF2-40B4-BE49-F238E27FC236}">
                  <a16:creationId xmlns:a16="http://schemas.microsoft.com/office/drawing/2014/main" id="{14D6DE4D-D965-4C57-AA7E-DFF7D8D52A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423160"/>
              <a:ext cx="2095500" cy="14173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k-SK" sz="1100"/>
                <a:t>Tento tvar predstavuje rýchly filter. Rýchle filtre sú podporované v Exceli 2010 alebo novšej verzii.
Rýchly filter sa nedá použiť, ak bol tvar upravený v staršej verzii Excelu alebo ak bol zošit uložený v Exceli 2003 či v staršej verzii.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182880</xdr:colOff>
      <xdr:row>2</xdr:row>
      <xdr:rowOff>160021</xdr:rowOff>
    </xdr:from>
    <xdr:to>
      <xdr:col>17</xdr:col>
      <xdr:colOff>15240</xdr:colOff>
      <xdr:row>6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ok 1">
              <a:extLst>
                <a:ext uri="{FF2B5EF4-FFF2-40B4-BE49-F238E27FC236}">
                  <a16:creationId xmlns:a16="http://schemas.microsoft.com/office/drawing/2014/main" id="{52CF9390-D794-4627-BFF0-6E55CF1532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ok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00160" y="525781"/>
              <a:ext cx="4450080" cy="6172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k-SK" sz="1100"/>
                <a:t>Tento tvar predstavuje rýchly filter. Rýchle filtre sú podporované v Exceli 2010 alebo novšej verzii.
Rýchly filter sa nedá použiť, ak bol tvar upravený v staršej verzii Excelu alebo ak bol zošit uložený v Exceli 2003 či v staršej verzii.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99060</xdr:colOff>
      <xdr:row>6</xdr:row>
      <xdr:rowOff>167640</xdr:rowOff>
    </xdr:from>
    <xdr:to>
      <xdr:col>9</xdr:col>
      <xdr:colOff>746760</xdr:colOff>
      <xdr:row>21</xdr:row>
      <xdr:rowOff>7620</xdr:rowOff>
    </xdr:to>
    <xdr:graphicFrame macro="">
      <xdr:nvGraphicFramePr>
        <xdr:cNvPr id="5" name="Trzba_kategoria">
          <a:extLst>
            <a:ext uri="{FF2B5EF4-FFF2-40B4-BE49-F238E27FC236}">
              <a16:creationId xmlns:a16="http://schemas.microsoft.com/office/drawing/2014/main" id="{4F95D749-F37F-4CCB-BF3A-EAD8AA5FFA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9</xdr:col>
      <xdr:colOff>1226820</xdr:colOff>
      <xdr:row>7</xdr:row>
      <xdr:rowOff>0</xdr:rowOff>
    </xdr:from>
    <xdr:to>
      <xdr:col>17</xdr:col>
      <xdr:colOff>121920</xdr:colOff>
      <xdr:row>21</xdr:row>
      <xdr:rowOff>30480</xdr:rowOff>
    </xdr:to>
    <xdr:graphicFrame macro="">
      <xdr:nvGraphicFramePr>
        <xdr:cNvPr id="7" name="Percentulany_podiel_trzby_kategora">
          <a:extLst>
            <a:ext uri="{FF2B5EF4-FFF2-40B4-BE49-F238E27FC236}">
              <a16:creationId xmlns:a16="http://schemas.microsoft.com/office/drawing/2014/main" id="{D45AD553-96B8-46BD-B6BF-8420933841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</xdr:row>
      <xdr:rowOff>68581</xdr:rowOff>
    </xdr:from>
    <xdr:to>
      <xdr:col>0</xdr:col>
      <xdr:colOff>2110740</xdr:colOff>
      <xdr:row>12</xdr:row>
      <xdr:rowOff>99061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Mesiace (Datum) 1">
              <a:extLst>
                <a:ext uri="{FF2B5EF4-FFF2-40B4-BE49-F238E27FC236}">
                  <a16:creationId xmlns:a16="http://schemas.microsoft.com/office/drawing/2014/main" id="{C7EC511F-3F73-42F4-B69D-6C337974AE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iace (Datum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17221"/>
              <a:ext cx="2110740" cy="17221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k-SK" sz="1100"/>
                <a:t>Tento tvar predstavuje rýchly filter. Rýchle filtre sú podporované v Exceli 2010 alebo novšej verzii.
Rýchly filter sa nedá použiť, ak bol tvar upravený v staršej verzii Excelu alebo ak bol zošit uložený v Exceli 2003 či v staršej verzii.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21</xdr:row>
      <xdr:rowOff>38101</xdr:rowOff>
    </xdr:from>
    <xdr:to>
      <xdr:col>0</xdr:col>
      <xdr:colOff>2095500</xdr:colOff>
      <xdr:row>28</xdr:row>
      <xdr:rowOff>175260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Kategorie 1">
              <a:extLst>
                <a:ext uri="{FF2B5EF4-FFF2-40B4-BE49-F238E27FC236}">
                  <a16:creationId xmlns:a16="http://schemas.microsoft.com/office/drawing/2014/main" id="{151BEC65-033D-4126-8C42-1CF3A11EFA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ategori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924301"/>
              <a:ext cx="2095500" cy="14173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k-SK" sz="1100"/>
                <a:t>Tento tvar predstavuje rýchly filter. Rýchle filtre sú podporované v Exceli 2010 alebo novšej verzii.
Rýchly filter sa nedá použiť, ak bol tvar upravený v staršej verzii Excelu alebo ak bol zošit uložený v Exceli 2003 či v staršej verzii.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29</xdr:row>
      <xdr:rowOff>45721</xdr:rowOff>
    </xdr:from>
    <xdr:to>
      <xdr:col>0</xdr:col>
      <xdr:colOff>2080260</xdr:colOff>
      <xdr:row>34</xdr:row>
      <xdr:rowOff>30481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Segment 1">
              <a:extLst>
                <a:ext uri="{FF2B5EF4-FFF2-40B4-BE49-F238E27FC236}">
                  <a16:creationId xmlns:a16="http://schemas.microsoft.com/office/drawing/2014/main" id="{693C98A0-ECB5-40A6-98E8-FE58367CC7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394961"/>
              <a:ext cx="2080260" cy="8991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k-SK" sz="1100"/>
                <a:t>Tento tvar predstavuje rýchly filter. Rýchle filtre sú podporované v Exceli 2010 alebo novšej verzii.
Rýchly filter sa nedá použiť, ak bol tvar upravený v staršej verzii Excelu alebo ak bol zošit uložený v Exceli 2003 či v staršej verzii.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2095500</xdr:colOff>
      <xdr:row>20</xdr:row>
      <xdr:rowOff>137160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Region 2">
              <a:extLst>
                <a:ext uri="{FF2B5EF4-FFF2-40B4-BE49-F238E27FC236}">
                  <a16:creationId xmlns:a16="http://schemas.microsoft.com/office/drawing/2014/main" id="{92ADEF6B-8D4A-4719-812B-F7D46999B0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423160"/>
              <a:ext cx="2095500" cy="14173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k-SK" sz="1100"/>
                <a:t>Tento tvar predstavuje rýchly filter. Rýchle filtre sú podporované v Exceli 2010 alebo novšej verzii.
Rýchly filter sa nedá použiť, ak bol tvar upravený v staršej verzii Excelu alebo ak bol zošit uložený v Exceli 2003 či v staršej verzii.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68580</xdr:colOff>
      <xdr:row>21</xdr:row>
      <xdr:rowOff>144780</xdr:rowOff>
    </xdr:from>
    <xdr:to>
      <xdr:col>14</xdr:col>
      <xdr:colOff>365760</xdr:colOff>
      <xdr:row>39</xdr:row>
      <xdr:rowOff>163830</xdr:rowOff>
    </xdr:to>
    <xdr:graphicFrame macro="">
      <xdr:nvGraphicFramePr>
        <xdr:cNvPr id="11" name="Top_3_produkty_podla_kategorie">
          <a:extLst>
            <a:ext uri="{FF2B5EF4-FFF2-40B4-BE49-F238E27FC236}">
              <a16:creationId xmlns:a16="http://schemas.microsoft.com/office/drawing/2014/main" id="{020C01CA-7EEB-411E-B754-21DA7A9EC6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182880</xdr:colOff>
      <xdr:row>2</xdr:row>
      <xdr:rowOff>160021</xdr:rowOff>
    </xdr:from>
    <xdr:to>
      <xdr:col>17</xdr:col>
      <xdr:colOff>15240</xdr:colOff>
      <xdr:row>6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ok 2">
              <a:extLst>
                <a:ext uri="{FF2B5EF4-FFF2-40B4-BE49-F238E27FC236}">
                  <a16:creationId xmlns:a16="http://schemas.microsoft.com/office/drawing/2014/main" id="{193D7A27-DADC-450D-8701-0D4BBA5B11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ok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00160" y="525781"/>
              <a:ext cx="4450080" cy="6172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k-SK" sz="1100"/>
                <a:t>Tento tvar predstavuje rýchly filter. Rýchle filtre sú podporované v Exceli 2010 alebo novšej verzii.
Rýchly filter sa nedá použiť, ak bol tvar upravený v staršej verzii Excelu alebo ak bol zošit uložený v Exceli 2003 či v staršej verzii.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3</xdr:row>
      <xdr:rowOff>30481</xdr:rowOff>
    </xdr:from>
    <xdr:to>
      <xdr:col>1</xdr:col>
      <xdr:colOff>228600</xdr:colOff>
      <xdr:row>12</xdr:row>
      <xdr:rowOff>60961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Mesiace (Datum) 2">
              <a:extLst>
                <a:ext uri="{FF2B5EF4-FFF2-40B4-BE49-F238E27FC236}">
                  <a16:creationId xmlns:a16="http://schemas.microsoft.com/office/drawing/2014/main" id="{BC194719-6995-4C6D-B1A3-1059EDB35A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iace (Datum)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79121"/>
              <a:ext cx="2110740" cy="17221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k-SK" sz="1100"/>
                <a:t>Tento tvar predstavuje rýchly filter. Rýchle filtre sú podporované v Exceli 2010 alebo novšej verzii.
Rýchly filter sa nedá použiť, ak bol tvar upravený v staršej verzii Excelu alebo ak bol zošit uložený v Exceli 2003 či v staršej verzii.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27</xdr:row>
      <xdr:rowOff>30481</xdr:rowOff>
    </xdr:from>
    <xdr:to>
      <xdr:col>1</xdr:col>
      <xdr:colOff>213360</xdr:colOff>
      <xdr:row>34</xdr:row>
      <xdr:rowOff>167640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Kategorie 2">
              <a:extLst>
                <a:ext uri="{FF2B5EF4-FFF2-40B4-BE49-F238E27FC236}">
                  <a16:creationId xmlns:a16="http://schemas.microsoft.com/office/drawing/2014/main" id="{141D76DD-7528-4252-BB95-8F9114F337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ategorie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013961"/>
              <a:ext cx="2095500" cy="14173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k-SK" sz="1100"/>
                <a:t>Tento tvar predstavuje rýchly filter. Rýchle filtre sú podporované v Exceli 2010 alebo novšej verzii.
Rýchly filter sa nedá použiť, ak bol tvar upravený v staršej verzii Excelu alebo ak bol zošit uložený v Exceli 2003 či v staršej verzii.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34</xdr:row>
      <xdr:rowOff>182881</xdr:rowOff>
    </xdr:from>
    <xdr:to>
      <xdr:col>1</xdr:col>
      <xdr:colOff>198120</xdr:colOff>
      <xdr:row>39</xdr:row>
      <xdr:rowOff>91441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Segment 2">
              <a:extLst>
                <a:ext uri="{FF2B5EF4-FFF2-40B4-BE49-F238E27FC236}">
                  <a16:creationId xmlns:a16="http://schemas.microsoft.com/office/drawing/2014/main" id="{4B7621D9-55E7-4ADC-8C4B-9F1AC3388B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446521"/>
              <a:ext cx="2080260" cy="8991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k-SK" sz="1100"/>
                <a:t>Tento tvar predstavuje rýchly filter. Rýchle filtre sú podporované v Exceli 2010 alebo novšej verzii.
Rýchly filter sa nedá použiť, ak bol tvar upravený v staršej verzii Excelu alebo ak bol zošit uložený v Exceli 2003 či v staršej verzii.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19</xdr:row>
      <xdr:rowOff>53340</xdr:rowOff>
    </xdr:from>
    <xdr:to>
      <xdr:col>1</xdr:col>
      <xdr:colOff>213360</xdr:colOff>
      <xdr:row>27</xdr:row>
      <xdr:rowOff>7620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Region 3">
              <a:extLst>
                <a:ext uri="{FF2B5EF4-FFF2-40B4-BE49-F238E27FC236}">
                  <a16:creationId xmlns:a16="http://schemas.microsoft.com/office/drawing/2014/main" id="{829D47F6-E103-473A-8619-62B8AD71DD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573780"/>
              <a:ext cx="2095500" cy="14173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k-SK" sz="1100"/>
                <a:t>Tento tvar predstavuje rýchly filter. Rýchle filtre sú podporované v Exceli 2010 alebo novšej verzii.
Rýchly filter sa nedá použiť, ak bol tvar upravený v staršej verzii Excelu alebo ak bol zošit uložený v Exceli 2003 či v staršej verzii.</a:t>
              </a:r>
            </a:p>
          </xdr:txBody>
        </xdr:sp>
      </mc:Fallback>
    </mc:AlternateContent>
    <xdr:clientData/>
  </xdr:twoCellAnchor>
  <xdr:twoCellAnchor editAs="absolute">
    <xdr:from>
      <xdr:col>8</xdr:col>
      <xdr:colOff>137160</xdr:colOff>
      <xdr:row>42</xdr:row>
      <xdr:rowOff>0</xdr:rowOff>
    </xdr:from>
    <xdr:to>
      <xdr:col>16</xdr:col>
      <xdr:colOff>144780</xdr:colOff>
      <xdr:row>56</xdr:row>
      <xdr:rowOff>152400</xdr:rowOff>
    </xdr:to>
    <xdr:graphicFrame macro="">
      <xdr:nvGraphicFramePr>
        <xdr:cNvPr id="3" name="Top_10_produktov_trzba_zisk">
          <a:extLst>
            <a:ext uri="{FF2B5EF4-FFF2-40B4-BE49-F238E27FC236}">
              <a16:creationId xmlns:a16="http://schemas.microsoft.com/office/drawing/2014/main" id="{55DEF83F-560D-4517-8A5A-4AA76461BC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12</xdr:row>
      <xdr:rowOff>83820</xdr:rowOff>
    </xdr:from>
    <xdr:to>
      <xdr:col>1</xdr:col>
      <xdr:colOff>213360</xdr:colOff>
      <xdr:row>18</xdr:row>
      <xdr:rowOff>160020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Trieda 1">
              <a:extLst>
                <a:ext uri="{FF2B5EF4-FFF2-40B4-BE49-F238E27FC236}">
                  <a16:creationId xmlns:a16="http://schemas.microsoft.com/office/drawing/2014/main" id="{DCE06FD9-1363-41B7-A184-D716D0BD97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ied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324100"/>
              <a:ext cx="2095500" cy="1173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k-SK" sz="1100"/>
                <a:t>Tento tvar predstavuje rýchly filter. Rýchle filtre sú podporované v Exceli 2010 alebo novšej verzii.
Rýchly filter sa nedá použiť, ak bol tvar upravený v staršej verzii Excelu alebo ak bol zošit uložený v Exceli 2003 či v staršej verzii.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579120</xdr:colOff>
      <xdr:row>6</xdr:row>
      <xdr:rowOff>91440</xdr:rowOff>
    </xdr:from>
    <xdr:to>
      <xdr:col>17</xdr:col>
      <xdr:colOff>22860</xdr:colOff>
      <xdr:row>23</xdr:row>
      <xdr:rowOff>76200</xdr:rowOff>
    </xdr:to>
    <xdr:graphicFrame macro="">
      <xdr:nvGraphicFramePr>
        <xdr:cNvPr id="13" name="Produkty_abc_trzby">
          <a:extLst>
            <a:ext uri="{FF2B5EF4-FFF2-40B4-BE49-F238E27FC236}">
              <a16:creationId xmlns:a16="http://schemas.microsoft.com/office/drawing/2014/main" id="{DD2C0E51-5861-43B5-BC6D-073E9AFC65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2</xdr:col>
      <xdr:colOff>76200</xdr:colOff>
      <xdr:row>24</xdr:row>
      <xdr:rowOff>53340</xdr:rowOff>
    </xdr:from>
    <xdr:to>
      <xdr:col>19</xdr:col>
      <xdr:colOff>45720</xdr:colOff>
      <xdr:row>41</xdr:row>
      <xdr:rowOff>144780</xdr:rowOff>
    </xdr:to>
    <xdr:graphicFrame macro="">
      <xdr:nvGraphicFramePr>
        <xdr:cNvPr id="15" name="Graf 14">
          <a:extLst>
            <a:ext uri="{FF2B5EF4-FFF2-40B4-BE49-F238E27FC236}">
              <a16:creationId xmlns:a16="http://schemas.microsoft.com/office/drawing/2014/main" id="{95CE9EA3-1624-451B-A162-FF6C7E3DC5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2</xdr:col>
      <xdr:colOff>91440</xdr:colOff>
      <xdr:row>42</xdr:row>
      <xdr:rowOff>7620</xdr:rowOff>
    </xdr:from>
    <xdr:to>
      <xdr:col>8</xdr:col>
      <xdr:colOff>60960</xdr:colOff>
      <xdr:row>56</xdr:row>
      <xdr:rowOff>175260</xdr:rowOff>
    </xdr:to>
    <xdr:graphicFrame macro="">
      <xdr:nvGraphicFramePr>
        <xdr:cNvPr id="16" name="Trzba_abc_produkty">
          <a:extLst>
            <a:ext uri="{FF2B5EF4-FFF2-40B4-BE49-F238E27FC236}">
              <a16:creationId xmlns:a16="http://schemas.microsoft.com/office/drawing/2014/main" id="{383A8405-2E98-4A63-8EDD-C13AA32D5A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300.708613541668" createdVersion="8" refreshedVersion="8" minRefreshableVersion="3" recordCount="500" xr:uid="{51F062D8-733E-457A-B0F3-495CE0B6A72F}">
  <cacheSource type="worksheet">
    <worksheetSource name="Tabuľka4"/>
  </cacheSource>
  <cacheFields count="25">
    <cacheField name="Datum" numFmtId="14">
      <sharedItems containsSemiMixedTypes="0" containsNonDate="0" containsDate="1" containsString="0" minDate="2024-01-01T00:00:00" maxDate="2026-05-31T00:00:00" count="387">
        <d v="2025-10-30T00:00:00"/>
        <d v="2024-03-31T00:00:00"/>
        <d v="2026-03-18T00:00:00"/>
        <d v="2024-08-29T00:00:00"/>
        <d v="2025-07-14T00:00:00"/>
        <d v="2024-08-24T00:00:00"/>
        <d v="2026-02-11T00:00:00"/>
        <d v="2025-12-10T00:00:00"/>
        <d v="2024-07-15T00:00:00"/>
        <d v="2024-04-20T00:00:00"/>
        <d v="2025-04-17T00:00:00"/>
        <d v="2024-09-24T00:00:00"/>
        <d v="2024-10-07T00:00:00"/>
        <d v="2024-01-26T00:00:00"/>
        <d v="2025-11-10T00:00:00"/>
        <d v="2026-01-29T00:00:00"/>
        <d v="2025-11-02T00:00:00"/>
        <d v="2024-12-31T00:00:00"/>
        <d v="2026-01-31T00:00:00"/>
        <d v="2024-09-21T00:00:00"/>
        <d v="2026-01-03T00:00:00"/>
        <d v="2025-06-25T00:00:00"/>
        <d v="2024-11-24T00:00:00"/>
        <d v="2024-02-01T00:00:00"/>
        <d v="2025-01-13T00:00:00"/>
        <d v="2024-02-06T00:00:00"/>
        <d v="2024-05-29T00:00:00"/>
        <d v="2025-11-09T00:00:00"/>
        <d v="2026-05-21T00:00:00"/>
        <d v="2024-09-02T00:00:00"/>
        <d v="2024-06-09T00:00:00"/>
        <d v="2025-01-22T00:00:00"/>
        <d v="2025-12-30T00:00:00"/>
        <d v="2026-02-27T00:00:00"/>
        <d v="2026-03-26T00:00:00"/>
        <d v="2024-12-19T00:00:00"/>
        <d v="2024-04-13T00:00:00"/>
        <d v="2025-06-12T00:00:00"/>
        <d v="2025-08-10T00:00:00"/>
        <d v="2025-02-19T00:00:00"/>
        <d v="2025-06-18T00:00:00"/>
        <d v="2024-01-09T00:00:00"/>
        <d v="2024-08-17T00:00:00"/>
        <d v="2024-12-04T00:00:00"/>
        <d v="2024-12-06T00:00:00"/>
        <d v="2024-10-13T00:00:00"/>
        <d v="2024-10-26T00:00:00"/>
        <d v="2025-05-02T00:00:00"/>
        <d v="2024-08-16T00:00:00"/>
        <d v="2025-10-21T00:00:00"/>
        <d v="2025-10-11T00:00:00"/>
        <d v="2024-08-26T00:00:00"/>
        <d v="2026-03-29T00:00:00"/>
        <d v="2025-04-07T00:00:00"/>
        <d v="2025-02-01T00:00:00"/>
        <d v="2025-11-29T00:00:00"/>
        <d v="2025-09-25T00:00:00"/>
        <d v="2024-11-01T00:00:00"/>
        <d v="2025-02-22T00:00:00"/>
        <d v="2024-06-24T00:00:00"/>
        <d v="2024-11-18T00:00:00"/>
        <d v="2025-02-25T00:00:00"/>
        <d v="2026-03-16T00:00:00"/>
        <d v="2024-06-01T00:00:00"/>
        <d v="2024-03-28T00:00:00"/>
        <d v="2025-09-03T00:00:00"/>
        <d v="2025-01-24T00:00:00"/>
        <d v="2026-02-04T00:00:00"/>
        <d v="2025-02-24T00:00:00"/>
        <d v="2026-05-15T00:00:00"/>
        <d v="2026-04-05T00:00:00"/>
        <d v="2025-03-18T00:00:00"/>
        <d v="2025-05-18T00:00:00"/>
        <d v="2024-02-08T00:00:00"/>
        <d v="2024-01-28T00:00:00"/>
        <d v="2025-12-13T00:00:00"/>
        <d v="2025-04-01T00:00:00"/>
        <d v="2024-02-03T00:00:00"/>
        <d v="2025-05-24T00:00:00"/>
        <d v="2025-06-22T00:00:00"/>
        <d v="2025-10-10T00:00:00"/>
        <d v="2024-05-25T00:00:00"/>
        <d v="2025-08-26T00:00:00"/>
        <d v="2024-04-07T00:00:00"/>
        <d v="2024-08-27T00:00:00"/>
        <d v="2026-03-15T00:00:00"/>
        <d v="2024-03-22T00:00:00"/>
        <d v="2026-05-20T00:00:00"/>
        <d v="2026-03-22T00:00:00"/>
        <d v="2025-01-11T00:00:00"/>
        <d v="2024-12-09T00:00:00"/>
        <d v="2026-01-01T00:00:00"/>
        <d v="2024-10-30T00:00:00"/>
        <d v="2024-02-19T00:00:00"/>
        <d v="2025-07-28T00:00:00"/>
        <d v="2024-10-17T00:00:00"/>
        <d v="2024-12-10T00:00:00"/>
        <d v="2025-02-12T00:00:00"/>
        <d v="2025-04-09T00:00:00"/>
        <d v="2025-06-26T00:00:00"/>
        <d v="2024-12-23T00:00:00"/>
        <d v="2024-07-31T00:00:00"/>
        <d v="2024-11-13T00:00:00"/>
        <d v="2025-12-27T00:00:00"/>
        <d v="2026-03-23T00:00:00"/>
        <d v="2025-08-05T00:00:00"/>
        <d v="2024-05-22T00:00:00"/>
        <d v="2026-05-05T00:00:00"/>
        <d v="2026-03-04T00:00:00"/>
        <d v="2025-11-14T00:00:00"/>
        <d v="2024-12-21T00:00:00"/>
        <d v="2024-12-22T00:00:00"/>
        <d v="2026-05-28T00:00:00"/>
        <d v="2025-05-09T00:00:00"/>
        <d v="2024-01-01T00:00:00"/>
        <d v="2024-09-03T00:00:00"/>
        <d v="2024-10-12T00:00:00"/>
        <d v="2025-06-21T00:00:00"/>
        <d v="2025-01-31T00:00:00"/>
        <d v="2025-05-23T00:00:00"/>
        <d v="2025-12-14T00:00:00"/>
        <d v="2025-10-16T00:00:00"/>
        <d v="2026-03-27T00:00:00"/>
        <d v="2024-08-11T00:00:00"/>
        <d v="2025-08-12T00:00:00"/>
        <d v="2025-08-21T00:00:00"/>
        <d v="2025-01-15T00:00:00"/>
        <d v="2024-05-02T00:00:00"/>
        <d v="2024-12-24T00:00:00"/>
        <d v="2025-07-06T00:00:00"/>
        <d v="2024-05-30T00:00:00"/>
        <d v="2024-04-30T00:00:00"/>
        <d v="2024-10-10T00:00:00"/>
        <d v="2025-04-21T00:00:00"/>
        <d v="2024-07-08T00:00:00"/>
        <d v="2026-02-02T00:00:00"/>
        <d v="2026-02-01T00:00:00"/>
        <d v="2025-03-16T00:00:00"/>
        <d v="2024-11-21T00:00:00"/>
        <d v="2024-04-09T00:00:00"/>
        <d v="2025-05-16T00:00:00"/>
        <d v="2024-12-18T00:00:00"/>
        <d v="2024-04-27T00:00:00"/>
        <d v="2026-02-20T00:00:00"/>
        <d v="2026-01-04T00:00:00"/>
        <d v="2025-04-27T00:00:00"/>
        <d v="2024-03-11T00:00:00"/>
        <d v="2025-07-18T00:00:00"/>
        <d v="2024-12-01T00:00:00"/>
        <d v="2024-10-04T00:00:00"/>
        <d v="2026-01-13T00:00:00"/>
        <d v="2026-01-20T00:00:00"/>
        <d v="2024-09-20T00:00:00"/>
        <d v="2024-03-21T00:00:00"/>
        <d v="2024-03-12T00:00:00"/>
        <d v="2024-04-14T00:00:00"/>
        <d v="2025-07-08T00:00:00"/>
        <d v="2024-04-18T00:00:00"/>
        <d v="2025-10-26T00:00:00"/>
        <d v="2024-06-22T00:00:00"/>
        <d v="2024-09-27T00:00:00"/>
        <d v="2026-02-09T00:00:00"/>
        <d v="2024-03-09T00:00:00"/>
        <d v="2024-10-15T00:00:00"/>
        <d v="2024-03-05T00:00:00"/>
        <d v="2024-11-14T00:00:00"/>
        <d v="2024-11-27T00:00:00"/>
        <d v="2026-04-18T00:00:00"/>
        <d v="2024-01-27T00:00:00"/>
        <d v="2025-10-22T00:00:00"/>
        <d v="2024-07-20T00:00:00"/>
        <d v="2024-08-02T00:00:00"/>
        <d v="2025-11-11T00:00:00"/>
        <d v="2024-05-18T00:00:00"/>
        <d v="2025-01-01T00:00:00"/>
        <d v="2025-06-24T00:00:00"/>
        <d v="2026-04-04T00:00:00"/>
        <d v="2024-12-27T00:00:00"/>
        <d v="2025-10-18T00:00:00"/>
        <d v="2025-09-02T00:00:00"/>
        <d v="2024-06-05T00:00:00"/>
        <d v="2025-01-18T00:00:00"/>
        <d v="2024-03-29T00:00:00"/>
        <d v="2026-04-15T00:00:00"/>
        <d v="2025-05-22T00:00:00"/>
        <d v="2024-05-16T00:00:00"/>
        <d v="2024-04-10T00:00:00"/>
        <d v="2026-04-06T00:00:00"/>
        <d v="2025-12-05T00:00:00"/>
        <d v="2025-06-29T00:00:00"/>
        <d v="2024-08-21T00:00:00"/>
        <d v="2025-01-21T00:00:00"/>
        <d v="2025-11-18T00:00:00"/>
        <d v="2026-04-23T00:00:00"/>
        <d v="2025-01-20T00:00:00"/>
        <d v="2025-07-22T00:00:00"/>
        <d v="2024-10-21T00:00:00"/>
        <d v="2024-01-18T00:00:00"/>
        <d v="2025-02-18T00:00:00"/>
        <d v="2026-04-28T00:00:00"/>
        <d v="2025-03-26T00:00:00"/>
        <d v="2024-05-01T00:00:00"/>
        <d v="2025-12-19T00:00:00"/>
        <d v="2026-01-23T00:00:00"/>
        <d v="2024-12-29T00:00:00"/>
        <d v="2026-04-07T00:00:00"/>
        <d v="2025-05-19T00:00:00"/>
        <d v="2025-08-15T00:00:00"/>
        <d v="2025-11-04T00:00:00"/>
        <d v="2025-10-19T00:00:00"/>
        <d v="2026-02-26T00:00:00"/>
        <d v="2025-01-28T00:00:00"/>
        <d v="2025-03-22T00:00:00"/>
        <d v="2025-10-13T00:00:00"/>
        <d v="2025-05-12T00:00:00"/>
        <d v="2024-07-26T00:00:00"/>
        <d v="2024-05-23T00:00:00"/>
        <d v="2025-07-11T00:00:00"/>
        <d v="2026-05-08T00:00:00"/>
        <d v="2024-11-25T00:00:00"/>
        <d v="2025-11-15T00:00:00"/>
        <d v="2024-09-23T00:00:00"/>
        <d v="2026-04-17T00:00:00"/>
        <d v="2026-05-22T00:00:00"/>
        <d v="2025-02-17T00:00:00"/>
        <d v="2025-06-20T00:00:00"/>
        <d v="2026-05-17T00:00:00"/>
        <d v="2025-12-09T00:00:00"/>
        <d v="2024-04-08T00:00:00"/>
        <d v="2026-01-14T00:00:00"/>
        <d v="2025-04-18T00:00:00"/>
        <d v="2024-10-18T00:00:00"/>
        <d v="2025-06-07T00:00:00"/>
        <d v="2024-09-10T00:00:00"/>
        <d v="2025-03-07T00:00:00"/>
        <d v="2025-10-14T00:00:00"/>
        <d v="2026-01-02T00:00:00"/>
        <d v="2025-11-21T00:00:00"/>
        <d v="2026-03-19T00:00:00"/>
        <d v="2025-01-16T00:00:00"/>
        <d v="2024-03-27T00:00:00"/>
        <d v="2024-07-01T00:00:00"/>
        <d v="2026-04-10T00:00:00"/>
        <d v="2026-05-01T00:00:00"/>
        <d v="2024-09-25T00:00:00"/>
        <d v="2025-12-22T00:00:00"/>
        <d v="2025-04-06T00:00:00"/>
        <d v="2025-08-24T00:00:00"/>
        <d v="2024-09-26T00:00:00"/>
        <d v="2026-03-03T00:00:00"/>
        <d v="2024-12-16T00:00:00"/>
        <d v="2025-08-02T00:00:00"/>
        <d v="2026-05-09T00:00:00"/>
        <d v="2024-03-13T00:00:00"/>
        <d v="2024-03-23T00:00:00"/>
        <d v="2025-03-24T00:00:00"/>
        <d v="2025-07-27T00:00:00"/>
        <d v="2025-03-03T00:00:00"/>
        <d v="2024-10-16T00:00:00"/>
        <d v="2026-03-17T00:00:00"/>
        <d v="2024-02-02T00:00:00"/>
        <d v="2025-12-18T00:00:00"/>
        <d v="2025-06-02T00:00:00"/>
        <d v="2024-04-24T00:00:00"/>
        <d v="2024-06-23T00:00:00"/>
        <d v="2024-05-07T00:00:00"/>
        <d v="2024-08-12T00:00:00"/>
        <d v="2025-02-14T00:00:00"/>
        <d v="2026-03-25T00:00:00"/>
        <d v="2026-04-20T00:00:00"/>
        <d v="2024-04-17T00:00:00"/>
        <d v="2025-12-21T00:00:00"/>
        <d v="2025-10-15T00:00:00"/>
        <d v="2024-01-19T00:00:00"/>
        <d v="2024-01-20T00:00:00"/>
        <d v="2024-01-13T00:00:00"/>
        <d v="2024-09-05T00:00:00"/>
        <d v="2024-04-15T00:00:00"/>
        <d v="2024-06-29T00:00:00"/>
        <d v="2025-06-04T00:00:00"/>
        <d v="2025-12-04T00:00:00"/>
        <d v="2025-12-15T00:00:00"/>
        <d v="2024-11-29T00:00:00"/>
        <d v="2026-02-03T00:00:00"/>
        <d v="2026-01-09T00:00:00"/>
        <d v="2024-11-09T00:00:00"/>
        <d v="2024-06-02T00:00:00"/>
        <d v="2025-01-17T00:00:00"/>
        <d v="2026-02-12T00:00:00"/>
        <d v="2025-01-02T00:00:00"/>
        <d v="2026-02-15T00:00:00"/>
        <d v="2024-02-07T00:00:00"/>
        <d v="2025-03-31T00:00:00"/>
        <d v="2024-04-26T00:00:00"/>
        <d v="2025-08-20T00:00:00"/>
        <d v="2024-10-14T00:00:00"/>
        <d v="2025-09-08T00:00:00"/>
        <d v="2025-12-03T00:00:00"/>
        <d v="2024-10-28T00:00:00"/>
        <d v="2024-06-06T00:00:00"/>
        <d v="2025-12-06T00:00:00"/>
        <d v="2025-11-20T00:00:00"/>
        <d v="2024-12-20T00:00:00"/>
        <d v="2024-10-03T00:00:00"/>
        <d v="2025-02-16T00:00:00"/>
        <d v="2025-02-26T00:00:00"/>
        <d v="2024-03-02T00:00:00"/>
        <d v="2025-12-12T00:00:00"/>
        <d v="2024-10-06T00:00:00"/>
        <d v="2024-12-11T00:00:00"/>
        <d v="2026-05-14T00:00:00"/>
        <d v="2026-04-01T00:00:00"/>
        <d v="2024-07-23T00:00:00"/>
        <d v="2025-03-25T00:00:00"/>
        <d v="2025-06-03T00:00:00"/>
        <d v="2026-05-11T00:00:00"/>
        <d v="2024-01-24T00:00:00"/>
        <d v="2024-07-17T00:00:00"/>
        <d v="2025-07-24T00:00:00"/>
        <d v="2025-04-28T00:00:00"/>
        <d v="2025-02-15T00:00:00"/>
        <d v="2025-09-06T00:00:00"/>
        <d v="2024-02-28T00:00:00"/>
        <d v="2025-08-28T00:00:00"/>
        <d v="2026-04-29T00:00:00"/>
        <d v="2025-08-06T00:00:00"/>
        <d v="2024-04-12T00:00:00"/>
        <d v="2025-05-04T00:00:00"/>
        <d v="2025-01-07T00:00:00"/>
        <d v="2025-08-22T00:00:00"/>
        <d v="2025-05-01T00:00:00"/>
        <d v="2025-07-04T00:00:00"/>
        <d v="2025-09-07T00:00:00"/>
        <d v="2025-04-11T00:00:00"/>
        <d v="2024-06-21T00:00:00"/>
        <d v="2025-04-20T00:00:00"/>
        <d v="2025-04-22T00:00:00"/>
        <d v="2024-12-07T00:00:00"/>
        <d v="2024-10-20T00:00:00"/>
        <d v="2025-08-11T00:00:00"/>
        <d v="2025-10-31T00:00:00"/>
        <d v="2024-08-10T00:00:00"/>
        <d v="2024-12-26T00:00:00"/>
        <d v="2025-10-09T00:00:00"/>
        <d v="2026-02-10T00:00:00"/>
        <d v="2025-09-14T00:00:00"/>
        <d v="2024-08-25T00:00:00"/>
        <d v="2026-03-09T00:00:00"/>
        <d v="2025-01-27T00:00:00"/>
        <d v="2026-05-19T00:00:00"/>
        <d v="2025-12-20T00:00:00"/>
        <d v="2026-05-16T00:00:00"/>
        <d v="2024-09-29T00:00:00"/>
        <d v="2026-03-21T00:00:00"/>
        <d v="2024-04-16T00:00:00"/>
        <d v="2024-06-07T00:00:00"/>
        <d v="2025-02-23T00:00:00"/>
        <d v="2024-12-12T00:00:00"/>
        <d v="2024-05-10T00:00:00"/>
        <d v="2024-09-09T00:00:00"/>
        <d v="2025-09-16T00:00:00"/>
        <d v="2026-04-13T00:00:00"/>
        <d v="2025-07-12T00:00:00"/>
        <d v="2025-11-16T00:00:00"/>
        <d v="2025-01-03T00:00:00"/>
        <d v="2025-05-25T00:00:00"/>
        <d v="2024-12-25T00:00:00"/>
        <d v="2024-07-13T00:00:00"/>
        <d v="2024-09-17T00:00:00"/>
        <d v="2024-11-03T00:00:00"/>
        <d v="2024-08-08T00:00:00"/>
        <d v="2026-01-22T00:00:00"/>
        <d v="2024-05-11T00:00:00"/>
        <d v="2024-11-12T00:00:00"/>
        <d v="2024-02-12T00:00:00"/>
        <d v="2024-08-30T00:00:00"/>
        <d v="2026-05-30T00:00:00"/>
        <d v="2026-02-19T00:00:00"/>
        <d v="2025-07-15T00:00:00"/>
        <d v="2024-11-17T00:00:00"/>
        <d v="2024-06-20T00:00:00"/>
        <d v="2024-09-07T00:00:00"/>
        <d v="2025-06-08T00:00:00"/>
        <d v="2026-01-26T00:00:00"/>
        <d v="2025-06-13T00:00:00"/>
        <d v="2024-11-08T00:00:00"/>
        <d v="2025-03-04T00:00:00"/>
      </sharedItems>
      <fieldGroup par="21"/>
    </cacheField>
    <cacheField name="ObjednavkaID" numFmtId="0">
      <sharedItems count="500">
        <s v="ORD-251030-0369"/>
        <s v="ORD-240331-0047"/>
        <s v="ORD-260318-0454"/>
        <s v="ORD-240829-0124"/>
        <s v="ORD-250714-0320"/>
        <s v="ORD-240824-0119"/>
        <s v="ORD-260211-0437"/>
        <s v="ORD-251210-0392"/>
        <s v="ORD-240715-0102"/>
        <s v="ORD-240420-0061"/>
        <s v="ORD-250417-0272"/>
        <s v="ORD-240924-0139"/>
        <s v="ORD-241007-0149"/>
        <s v="ORD-240126-0011"/>
        <s v="ORD-251110-0374"/>
        <s v="ORD-260129-0426"/>
        <s v="ORD-251102-0371"/>
        <s v="ORD-241231-0217"/>
        <s v="ORD-260131-0428"/>
        <s v="ORD-240921-0136"/>
        <s v="ORD-260103-0413"/>
        <s v="ORD-250625-0310"/>
        <s v="ORD-241124-0182"/>
        <s v="ORD-240201-0014"/>
        <s v="ORD-250113-0224"/>
        <s v="ORD-240206-0018"/>
        <s v="ORD-240529-0079"/>
        <s v="ORD-251109-0373"/>
        <s v="ORD-260521-0495"/>
        <s v="ORD-240902-0127"/>
        <s v="ORD-240609-0086"/>
        <s v="ORD-240921-0137"/>
        <s v="ORD-250122-0235"/>
        <s v="ORD-251230-0408"/>
        <s v="ORD-260227-0445"/>
        <s v="ORD-260326-0461"/>
        <s v="ORD-241219-0200"/>
        <s v="ORD-240413-0055"/>
        <s v="ORD-250612-0301"/>
        <s v="ORD-250810-0331"/>
        <s v="ORD-250219-0247"/>
        <s v="ORD-250618-0303"/>
        <s v="ORD-240109-0002"/>
        <s v="ORD-240817-0117"/>
        <s v="ORD-241204-0189"/>
        <s v="ORD-241206-0191"/>
        <s v="ORD-241013-0154"/>
        <s v="ORD-241026-0164"/>
        <s v="ORD-250502-0281"/>
        <s v="ORD-240816-0116"/>
        <s v="ORD-251021-0364"/>
        <s v="ORD-251011-0353"/>
        <s v="ORD-240826-0121"/>
        <s v="ORD-240201-0015"/>
        <s v="ORD-260329-0464"/>
        <s v="ORD-250407-0268"/>
        <s v="ORD-250201-0240"/>
        <s v="ORD-251129-0385"/>
        <s v="ORD-250925-0350"/>
        <s v="ORD-241101-0169"/>
        <s v="ORD-250222-0249"/>
        <s v="ORD-240624-0095"/>
        <s v="ORD-241118-0179"/>
        <s v="ORD-250225-0252"/>
        <s v="ORD-260316-0451"/>
        <s v="ORD-240601-0081"/>
        <s v="ORD-240328-0044"/>
        <s v="ORD-250903-0343"/>
        <s v="ORD-250124-0236"/>
        <s v="ORD-260204-0434"/>
        <s v="ORD-241206-0192"/>
        <s v="ORD-250224-0251"/>
        <s v="ORD-251230-0407"/>
        <s v="ORD-260515-0488"/>
        <s v="ORD-250407-0267"/>
        <s v="ORD-260405-0468"/>
        <s v="ORD-250318-0258"/>
        <s v="ORD-250518-0287"/>
        <s v="ORD-240208-0022"/>
        <s v="ORD-240128-0013"/>
        <s v="ORD-251213-0395"/>
        <s v="ORD-250401-0265"/>
        <s v="ORD-240203-0017"/>
        <s v="ORD-250524-0291"/>
        <s v="ORD-250622-0308"/>
        <s v="ORD-251010-0352"/>
        <s v="ORD-240525-0077"/>
        <s v="ORD-250826-0340"/>
        <s v="ORD-240407-0048"/>
        <s v="ORD-240827-0122"/>
        <s v="ORD-260315-0450"/>
        <s v="ORD-240322-0041"/>
        <s v="ORD-260520-0492"/>
        <s v="ORD-260322-0458"/>
        <s v="ORD-250111-0222"/>
        <s v="ORD-241209-0194"/>
        <s v="ORD-260101-0411"/>
        <s v="ORD-241030-0167"/>
        <s v="ORD-241206-0190"/>
        <s v="ORD-240219-0024"/>
        <s v="ORD-250417-0271"/>
        <s v="ORD-250728-0327"/>
        <s v="ORD-241017-0160"/>
        <s v="ORD-241210-0195"/>
        <s v="ORD-250212-0241"/>
        <s v="ORD-250409-0269"/>
        <s v="ORD-250626-0311"/>
        <s v="ORD-241223-0207"/>
        <s v="ORD-240731-0108"/>
        <s v="ORD-241113-0174"/>
        <s v="ORD-251227-0405"/>
        <s v="ORD-260323-0459"/>
        <s v="ORD-250805-0329"/>
        <s v="ORD-250122-0234"/>
        <s v="ORD-251227-0406"/>
        <s v="ORD-240522-0074"/>
        <s v="ORD-260505-0483"/>
        <s v="ORD-260304-0447"/>
        <s v="ORD-251114-0377"/>
        <s v="ORD-241221-0205"/>
        <s v="ORD-250925-0349"/>
        <s v="ORD-240208-0021"/>
        <s v="ORD-241222-0206"/>
        <s v="ORD-260528-0499"/>
        <s v="ORD-250509-0283"/>
        <s v="ORD-240101-0001"/>
        <s v="ORD-240903-0128"/>
        <s v="ORD-241012-0153"/>
        <s v="ORD-250621-0305"/>
        <s v="ORD-250131-0239"/>
        <s v="ORD-250523-0290"/>
        <s v="ORD-251214-0396"/>
        <s v="ORD-251210-0393"/>
        <s v="ORD-251016-0360"/>
        <s v="ORD-260327-0463"/>
        <s v="ORD-240811-0114"/>
        <s v="ORD-250812-0333"/>
        <s v="ORD-250821-0336"/>
        <s v="ORD-250115-0225"/>
        <s v="ORD-240502-0068"/>
        <s v="ORD-241224-0210"/>
        <s v="ORD-250706-0316"/>
        <s v="ORD-240715-0103"/>
        <s v="ORD-240530-0080"/>
        <s v="ORD-251021-0363"/>
        <s v="ORD-240430-0065"/>
        <s v="ORD-241010-0151"/>
        <s v="ORD-250421-0276"/>
        <s v="ORD-240708-0100"/>
        <s v="ORD-260202-0432"/>
        <s v="ORD-251110-0375"/>
        <s v="ORD-260201-0429"/>
        <s v="ORD-250316-0257"/>
        <s v="ORD-241121-0180"/>
        <s v="ORD-240409-0051"/>
        <s v="ORD-250516-0286"/>
        <s v="ORD-241218-0199"/>
        <s v="ORD-240427-0064"/>
        <s v="ORD-260220-0443"/>
        <s v="ORD-260104-0415"/>
        <s v="ORD-250427-0278"/>
        <s v="ORD-240311-0035"/>
        <s v="ORD-250718-0323"/>
        <s v="ORD-240624-0096"/>
        <s v="ORD-241201-0187"/>
        <s v="ORD-241004-0147"/>
        <s v="ORD-260113-0417"/>
        <s v="ORD-260120-0421"/>
        <s v="ORD-240920-0135"/>
        <s v="ORD-240321-0039"/>
        <s v="ORD-260101-0409"/>
        <s v="ORD-240312-0036"/>
        <s v="ORD-241223-0208"/>
        <s v="ORD-240414-0056"/>
        <s v="ORD-250708-0317"/>
        <s v="ORD-240418-0060"/>
        <s v="ORD-251026-0367"/>
        <s v="ORD-240622-0091"/>
        <s v="ORD-250509-0284"/>
        <s v="ORD-240927-0144"/>
        <s v="ORD-260209-0435"/>
        <s v="ORD-240309-0034"/>
        <s v="ORD-241015-0157"/>
        <s v="ORD-240305-0030"/>
        <s v="ORD-241114-0175"/>
        <s v="ORD-241127-0185"/>
        <s v="ORD-260418-0476"/>
        <s v="ORD-240127-0012"/>
        <s v="ORD-251114-0378"/>
        <s v="ORD-251022-0366"/>
        <s v="ORD-240720-0105"/>
        <s v="ORD-240802-0109"/>
        <s v="ORD-251111-0376"/>
        <s v="ORD-240518-0073"/>
        <s v="ORD-250101-0218"/>
        <s v="ORD-250624-0309"/>
        <s v="ORD-260404-0467"/>
        <s v="ORD-241227-0215"/>
        <s v="ORD-251018-0361"/>
        <s v="ORD-250902-0342"/>
        <s v="ORD-240605-0083"/>
        <s v="ORD-250118-0229"/>
        <s v="ORD-240309-0033"/>
        <s v="ORD-241030-0166"/>
        <s v="ORD-240329-0046"/>
        <s v="ORD-260415-0473"/>
        <s v="ORD-250522-0289"/>
        <s v="ORD-260131-0427"/>
        <s v="ORD-240516-0072"/>
        <s v="ORD-240410-0052"/>
        <s v="ORD-260406-0469"/>
        <s v="ORD-260327-0462"/>
        <s v="ORD-251205-0388"/>
        <s v="ORD-241010-0152"/>
        <s v="ORD-250629-0312"/>
        <s v="ORD-240821-0118"/>
        <s v="ORD-250121-0233"/>
        <s v="ORD-251118-0381"/>
        <s v="ORD-260423-0478"/>
        <s v="ORD-250120-0230"/>
        <s v="ORD-260520-0493"/>
        <s v="ORD-250722-0324"/>
        <s v="ORD-241021-0163"/>
        <s v="ORD-240118-0005"/>
        <s v="ORD-250218-0246"/>
        <s v="ORD-260428-0479"/>
        <s v="ORD-250326-0263"/>
        <s v="ORD-240501-0066"/>
        <s v="ORD-251219-0401"/>
        <s v="ORD-260123-0423"/>
        <s v="ORD-260103-0414"/>
        <s v="ORD-241229-0216"/>
        <s v="ORD-260407-0470"/>
        <s v="ORD-260201-0430"/>
        <s v="ORD-250519-0288"/>
        <s v="ORD-250815-0334"/>
        <s v="ORD-251104-0372"/>
        <s v="ORD-251019-0362"/>
        <s v="ORD-260226-0444"/>
        <s v="ORD-240829-0125"/>
        <s v="ORD-250128-0238"/>
        <s v="ORD-250322-0259"/>
        <s v="ORD-251013-0357"/>
        <s v="ORD-250512-0285"/>
        <s v="ORD-240726-0107"/>
        <s v="ORD-240118-0004"/>
        <s v="ORD-240523-0075"/>
        <s v="ORD-250711-0318"/>
        <s v="ORD-260508-0484"/>
        <s v="ORD-241125-0184"/>
        <s v="ORD-251115-0379"/>
        <s v="ORD-240923-0138"/>
        <s v="ORD-241219-0202"/>
        <s v="ORD-260417-0474"/>
        <s v="ORD-260522-0497"/>
        <s v="ORD-250113-0223"/>
        <s v="ORD-251013-0356"/>
        <s v="ORD-250217-0245"/>
        <s v="ORD-250620-0304"/>
        <s v="ORD-260517-0490"/>
        <s v="ORD-251209-0391"/>
        <s v="ORD-240408-0050"/>
        <s v="ORD-260114-0418"/>
        <s v="ORD-260522-0496"/>
        <s v="ORD-250418-0273"/>
        <s v="ORD-241018-0161"/>
        <s v="ORD-250607-0297"/>
        <s v="ORD-251022-0365"/>
        <s v="ORD-240910-0133"/>
        <s v="ORD-240206-0019"/>
        <s v="ORD-250307-0256"/>
        <s v="ORD-251014-0358"/>
        <s v="ORD-260102-0412"/>
        <s v="ORD-251121-0383"/>
        <s v="ORD-241224-0212"/>
        <s v="ORD-240927-0143"/>
        <s v="ORD-260319-0456"/>
        <s v="ORD-250116-0226"/>
        <s v="ORD-240327-0043"/>
        <s v="ORD-240701-0099"/>
        <s v="ORD-260410-0471"/>
        <s v="ORD-260501-0482"/>
        <s v="ORD-240925-0141"/>
        <s v="ORD-251222-0404"/>
        <s v="ORD-250406-0266"/>
        <s v="ORD-240924-0140"/>
        <s v="ORD-240309-0032"/>
        <s v="ORD-250824-0339"/>
        <s v="ORD-240926-0142"/>
        <s v="ORD-260303-0446"/>
        <s v="ORD-241216-0198"/>
        <s v="ORD-260123-0424"/>
        <s v="ORD-250802-0328"/>
        <s v="ORD-250821-0337"/>
        <s v="ORD-260509-0485"/>
        <s v="ORD-240701-0098"/>
        <s v="ORD-241017-0159"/>
        <s v="ORD-240313-0038"/>
        <s v="ORD-240323-0042"/>
        <s v="ORD-250324-0260"/>
        <s v="ORD-250727-0326"/>
        <s v="ORD-250303-0254"/>
        <s v="ORD-240126-0010"/>
        <s v="ORD-260315-0449"/>
        <s v="ORD-240219-0025"/>
        <s v="ORD-241016-0158"/>
        <s v="ORD-250607-0298"/>
        <s v="ORD-260317-0452"/>
        <s v="ORD-240202-0016"/>
        <s v="ORD-251218-0400"/>
        <s v="ORD-250602-0293"/>
        <s v="ORD-240424-0062"/>
        <s v="ORD-240623-0094"/>
        <s v="ORD-240507-0069"/>
        <s v="ORD-260211-0438"/>
        <s v="ORD-240812-0115"/>
        <s v="ORD-250116-0227"/>
        <s v="ORD-250214-0242"/>
        <s v="ORD-260318-0453"/>
        <s v="ORD-260325-0460"/>
        <s v="ORD-260420-0477"/>
        <s v="ORD-240417-0059"/>
        <s v="ORD-251013-0355"/>
        <s v="ORD-260101-0410"/>
        <s v="ORD-240525-0078"/>
        <s v="ORD-251221-0403"/>
        <s v="ORD-251015-0359"/>
        <s v="ORD-240119-0006"/>
        <s v="ORD-240120-0008"/>
        <s v="ORD-240113-0003"/>
        <s v="ORD-240905-0129"/>
        <s v="ORD-240415-0057"/>
        <s v="ORD-240629-0097"/>
        <s v="ORD-241224-0211"/>
        <s v="ORD-250604-0296"/>
        <s v="ORD-251204-0387"/>
        <s v="ORD-251215-0398"/>
        <s v="ORD-251013-0354"/>
        <s v="ORD-241118-0178"/>
        <s v="ORD-260520-0494"/>
        <s v="ORD-241129-0186"/>
        <s v="ORD-260203-0433"/>
        <s v="ORD-260109-0416"/>
        <s v="ORD-240802-0110"/>
        <s v="ORD-241109-0172"/>
        <s v="ORD-240602-0082"/>
        <s v="ORD-250117-0228"/>
        <s v="ORD-260212-0439"/>
        <s v="ORD-260522-0498"/>
        <s v="ORD-250102-0219"/>
        <s v="ORD-260215-0441"/>
        <s v="ORD-240408-0049"/>
        <s v="ORD-240207-0020"/>
        <s v="ORD-250331-0264"/>
        <s v="ORD-241114-0176"/>
        <s v="ORD-240426-0063"/>
        <s v="ORD-250820-0335"/>
        <s v="ORD-241014-0155"/>
        <s v="ORD-251218-0399"/>
        <s v="ORD-250908-0346"/>
        <s v="ORD-251203-0386"/>
        <s v="ORD-241028-0165"/>
        <s v="ORD-240606-0084"/>
        <s v="ORD-251206-0389"/>
        <s v="ORD-251120-0382"/>
        <s v="ORD-240321-0040"/>
        <s v="ORD-241220-0203"/>
        <s v="ORD-241003-0146"/>
        <s v="ORD-250324-0261"/>
        <s v="ORD-250216-0244"/>
        <s v="ORD-250226-0253"/>
        <s v="ORD-250602-0294"/>
        <s v="ORD-250621-0307"/>
        <s v="ORD-240302-0028"/>
        <s v="ORD-251212-0394"/>
        <s v="ORD-240829-0123"/>
        <s v="ORD-241121-0181"/>
        <s v="ORD-241006-0148"/>
        <s v="ORD-241211-0196"/>
        <s v="ORD-240623-0092"/>
        <s v="ORD-260514-0487"/>
        <s v="ORD-260401-0465"/>
        <s v="ORD-251206-0390"/>
        <s v="ORD-240329-0045"/>
        <s v="ORD-240723-0106"/>
        <s v="ORD-250325-0262"/>
        <s v="ORD-250603-0295"/>
        <s v="ORD-260511-0486"/>
        <s v="ORD-240124-0009"/>
        <s v="ORD-240609-0087"/>
        <s v="ORD-240717-0104"/>
        <s v="ORD-241010-0150"/>
        <s v="ORD-250724-0325"/>
        <s v="ORD-250428-0279"/>
        <s v="ORD-250607-0299"/>
        <s v="ORD-250215-0243"/>
        <s v="ORD-250714-0321"/>
        <s v="ORD-240312-0037"/>
        <s v="ORD-250906-0344"/>
        <s v="ORD-240228-0027"/>
        <s v="ORD-250828-0341"/>
        <s v="ORD-260429-0481"/>
        <s v="ORD-260215-0440"/>
        <s v="ORD-241101-0168"/>
        <s v="ORD-250806-0330"/>
        <s v="ORD-240412-0053"/>
        <s v="ORD-241223-0209"/>
        <s v="ORD-250504-0282"/>
        <s v="ORD-250107-0221"/>
        <s v="ORD-240811-0113"/>
        <s v="ORD-250822-0338"/>
        <s v="ORD-250501-0280"/>
        <s v="ORD-251121-0384"/>
        <s v="ORD-250704-0315"/>
        <s v="ORD-250907-0345"/>
        <s v="ORD-250411-0270"/>
        <s v="ORD-240621-0089"/>
        <s v="ORD-250420-0275"/>
        <s v="ORD-241221-0204"/>
        <s v="ORD-250422-0277"/>
        <s v="ORD-250704-0314"/>
        <s v="ORD-241207-0193"/>
        <s v="ORD-241020-0162"/>
        <s v="ORD-250811-0332"/>
        <s v="ORD-251031-0370"/>
        <s v="ORD-240810-0112"/>
        <s v="ORD-241226-0214"/>
        <s v="ORD-250418-0274"/>
        <s v="ORD-241014-0156"/>
        <s v="ORD-260428-0480"/>
        <s v="ORD-251009-0351"/>
        <s v="ORD-260210-0436"/>
        <s v="ORD-250914-0347"/>
        <s v="ORD-240825-0120"/>
        <s v="ORD-260201-0431"/>
        <s v="ORD-260309-0448"/>
        <s v="ORD-240501-0067"/>
        <s v="ORD-241204-0188"/>
        <s v="ORD-251030-0368"/>
        <s v="ORD-240228-0026"/>
        <s v="ORD-250127-0237"/>
        <s v="ORD-260519-0491"/>
        <s v="ORD-251220-0402"/>
        <s v="ORD-250629-0313"/>
        <s v="ORD-241219-0201"/>
        <s v="ORD-260516-0489"/>
        <s v="ORD-240929-0145"/>
        <s v="ORD-260321-0457"/>
        <s v="ORD-240416-0058"/>
        <s v="ORD-240607-0085"/>
        <s v="ORD-240525-0076"/>
        <s v="ORD-240910-0132"/>
        <s v="ORD-250223-0250"/>
        <s v="ORD-241212-0197"/>
        <s v="ORD-250121-0232"/>
        <s v="ORD-240510-0070"/>
        <s v="ORD-240909-0131"/>
        <s v="ORD-260114-0419"/>
        <s v="ORD-250916-0348"/>
        <s v="ORD-240623-0093"/>
        <s v="ORD-260413-0472"/>
        <s v="ORD-260319-0455"/>
        <s v="ORD-250712-0319"/>
        <s v="ORD-260417-0475"/>
        <s v="ORD-250121-0231"/>
        <s v="ORD-251116-0380"/>
        <s v="ORD-250103-0220"/>
        <s v="ORD-240413-0054"/>
        <s v="ORD-240622-0090"/>
        <s v="ORD-250222-0248"/>
        <s v="ORD-250525-0292"/>
        <s v="ORD-241225-0213"/>
        <s v="ORD-260120-0420"/>
        <s v="ORD-240713-0101"/>
        <s v="ORD-240917-0134"/>
        <s v="ORD-260401-0466"/>
        <s v="ORD-241103-0170"/>
        <s v="ORD-240302-0029"/>
        <s v="ORD-240808-0111"/>
        <s v="ORD-260122-0422"/>
        <s v="ORD-240511-0071"/>
        <s v="ORD-241112-0173"/>
        <s v="ORD-240212-0023"/>
        <s v="ORD-240830-0126"/>
        <s v="ORD-260530-0500"/>
        <s v="ORD-260219-0442"/>
        <s v="ORD-250715-0322"/>
        <s v="ORD-241117-0177"/>
        <s v="ORD-241124-0183"/>
        <s v="ORD-240620-0088"/>
        <s v="ORD-240907-0130"/>
        <s v="ORD-250608-0300"/>
        <s v="ORD-260126-0425"/>
        <s v="ORD-251215-0397"/>
        <s v="ORD-240120-0007"/>
        <s v="ORD-250613-0302"/>
        <s v="ORD-250621-0306"/>
        <s v="ORD-241108-0171"/>
        <s v="ORD-240309-0031"/>
        <s v="ORD-250304-0255"/>
      </sharedItems>
    </cacheField>
    <cacheField name="Zakaznik" numFmtId="0">
      <sharedItems/>
    </cacheField>
    <cacheField name="Segment" numFmtId="0">
      <sharedItems count="2">
        <s v="B2B"/>
        <s v="B2C"/>
      </sharedItems>
    </cacheField>
    <cacheField name="Region" numFmtId="0">
      <sharedItems count="4">
        <s v="Morava"/>
        <s v="Čechy"/>
        <s v="Praha"/>
        <s v="Slezsko"/>
      </sharedItems>
    </cacheField>
    <cacheField name="Stat" numFmtId="0">
      <sharedItems count="1">
        <s v="Česká republika"/>
      </sharedItems>
    </cacheField>
    <cacheField name="Kanal" numFmtId="0">
      <sharedItems count="3">
        <s v="Prodejna"/>
        <s v="Velkoobchod"/>
        <s v="E-shop"/>
      </sharedItems>
    </cacheField>
    <cacheField name="Kategorie" numFmtId="0">
      <sharedItems count="4">
        <s v="Elektronika"/>
        <s v="Domácnost"/>
        <s v="Kancelář"/>
        <s v="Sport"/>
      </sharedItems>
    </cacheField>
    <cacheField name="Produkt" numFmtId="0">
      <sharedItems count="32">
        <s v="Notebook 14&quot;"/>
        <s v="Čistička vzduchu"/>
        <s v="Stůl kancelářský"/>
        <s v="Vysavač tyčový"/>
        <s v="Židle ergonomická"/>
        <s v="Monitor 27&quot;"/>
        <s v="Běžecké boty"/>
        <s v="Klávesnice mechanická"/>
        <s v="Fitness náramek"/>
        <s v="Reproduktor BT"/>
        <s v="Webkamera HD"/>
        <s v="Sluchátka BT"/>
        <s v="Toner HP 12A"/>
        <s v="Batoh sportovní"/>
        <s v="Mixér stolní"/>
        <s v="Rychlovarná konvice"/>
        <s v="Powerbanka 20k"/>
        <s v="Pánev 28 cm"/>
        <s v="Topinkovač"/>
        <s v="Podložka na jógu"/>
        <s v="Myš bezdrátová"/>
        <s v="Činka 10 kg"/>
        <s v="Bandáž kolene"/>
        <s v="Laminovací fólie"/>
        <s v="Sada dóz"/>
        <s v="Láhev 1l"/>
        <s v="Švihadlo"/>
        <s v="LED žárovka 10W"/>
        <s v="Papír A4 80g"/>
        <s v="Pořadač pákový"/>
        <s v="Pero gelové"/>
        <s v="Sešit A5"/>
      </sharedItems>
    </cacheField>
    <cacheField name="Obchodnik" numFmtId="0">
      <sharedItems/>
    </cacheField>
    <cacheField name="Mnozstvi" numFmtId="0">
      <sharedItems containsSemiMixedTypes="0" containsString="0" containsNumber="1" containsInteger="1" minValue="1" maxValue="14"/>
    </cacheField>
    <cacheField name="JednCena" numFmtId="0">
      <sharedItems containsSemiMixedTypes="0" containsString="0" containsNumber="1" containsInteger="1" minValue="20" maxValue="25465"/>
    </cacheField>
    <cacheField name="SlevaPct" numFmtId="0">
      <sharedItems containsSemiMixedTypes="0" containsString="0" containsNumber="1" minValue="0" maxValue="0.3"/>
    </cacheField>
    <cacheField name="Trzba" numFmtId="165">
      <sharedItems containsSemiMixedTypes="0" containsString="0" containsNumber="1" containsInteger="1" minValue="29" maxValue="274885"/>
    </cacheField>
    <cacheField name="Naklad" numFmtId="0">
      <sharedItems containsSemiMixedTypes="0" containsString="0" containsNumber="1" minValue="14.69" maxValue="224812.07"/>
    </cacheField>
    <cacheField name="Zisk" numFmtId="0">
      <sharedItems containsSemiMixedTypes="0" containsString="0" containsNumber="1" minValue="-82.740000000000009" maxValue="58252.829999999987" count="500">
        <n v="50072.929999999993"/>
        <n v="58252.829999999987"/>
        <n v="13450.929999999993"/>
        <n v="19783.449999999997"/>
        <n v="19475.690000000002"/>
        <n v="22597.690000000002"/>
        <n v="26536.730000000003"/>
        <n v="18232.330000000002"/>
        <n v="16757.839999999997"/>
        <n v="20585.760000000002"/>
        <n v="18603.199999999997"/>
        <n v="12364.39"/>
        <n v="18757.099999999999"/>
        <n v="10321.059999999998"/>
        <n v="21598.47"/>
        <n v="15963.740000000002"/>
        <n v="16130.029999999999"/>
        <n v="17444.64"/>
        <n v="17051.07"/>
        <n v="8797.98"/>
        <n v="10640.07"/>
        <n v="12934.39"/>
        <n v="12965.619999999999"/>
        <n v="8491.07"/>
        <n v="10970.380000000001"/>
        <n v="8193.39"/>
        <n v="9030.369999999999"/>
        <n v="4420.3300000000017"/>
        <n v="8169.5999999999985"/>
        <n v="7473.0800000000017"/>
        <n v="7905.7799999999988"/>
        <n v="7951.1399999999994"/>
        <n v="5387.66"/>
        <n v="6121.9199999999983"/>
        <n v="6135.34"/>
        <n v="4743.3100000000013"/>
        <n v="9528.7000000000007"/>
        <n v="7603.41"/>
        <n v="7975.7000000000007"/>
        <n v="5273.4599999999991"/>
        <n v="4270.57"/>
        <n v="6520.0499999999993"/>
        <n v="9473.32"/>
        <n v="4807.7299999999996"/>
        <n v="6316.1200000000008"/>
        <n v="8187.4400000000005"/>
        <n v="4307.4699999999993"/>
        <n v="3490.09"/>
        <n v="5187.92"/>
        <n v="4424.26"/>
        <n v="5030.49"/>
        <n v="6289.49"/>
        <n v="7543.15"/>
        <n v="5211.7299999999996"/>
        <n v="5685.9400000000005"/>
        <n v="5683.24"/>
        <n v="6261.5"/>
        <n v="3577.5"/>
        <n v="6112.6299999999992"/>
        <n v="5599.5"/>
        <n v="6103.08"/>
        <n v="4163.74"/>
        <n v="5102.7099999999991"/>
        <n v="5336.1"/>
        <n v="4473.76"/>
        <n v="3339.3700000000008"/>
        <n v="6821.98"/>
        <n v="4638.34"/>
        <n v="4570.2999999999993"/>
        <n v="3967.42"/>
        <n v="4901.0499999999993"/>
        <n v="4006.8500000000004"/>
        <n v="4026.75"/>
        <n v="4721.1100000000006"/>
        <n v="4324.17"/>
        <n v="6967"/>
        <n v="2538"/>
        <n v="4461.6000000000004"/>
        <n v="4849.0599999999995"/>
        <n v="6635.08"/>
        <n v="5247.88"/>
        <n v="2458.5499999999993"/>
        <n v="1786.2099999999991"/>
        <n v="5688.5"/>
        <n v="4186.5"/>
        <n v="3125.0599999999995"/>
        <n v="3888.7799999999997"/>
        <n v="1410.0200000000004"/>
        <n v="3689.3599999999997"/>
        <n v="3127.42"/>
        <n v="4584.49"/>
        <n v="3935.46"/>
        <n v="5341.79"/>
        <n v="2913.5"/>
        <n v="4209.7700000000004"/>
        <n v="2302.3600000000006"/>
        <n v="4417.72"/>
        <n v="2247.1499999999996"/>
        <n v="5144.3599999999997"/>
        <n v="3725.04"/>
        <n v="1996.7099999999991"/>
        <n v="4034.26"/>
        <n v="2837.54"/>
        <n v="4403.58"/>
        <n v="3692.3900000000003"/>
        <n v="4155.95"/>
        <n v="2889.4300000000003"/>
        <n v="3405.3999999999996"/>
        <n v="3081.6800000000003"/>
        <n v="3659.38"/>
        <n v="3434.3500000000004"/>
        <n v="3680.12"/>
        <n v="3142.2299999999996"/>
        <n v="2079.9799999999996"/>
        <n v="3143.0200000000004"/>
        <n v="3362.91"/>
        <n v="2793.6800000000003"/>
        <n v="2301.7200000000003"/>
        <n v="2807.6099999999997"/>
        <n v="2725.6899999999996"/>
        <n v="1829.4899999999998"/>
        <n v="3852.7799999999997"/>
        <n v="2107.4700000000003"/>
        <n v="2320.9899999999998"/>
        <n v="3196.7200000000003"/>
        <n v="3832.95"/>
        <n v="2155.91"/>
        <n v="2165.7399999999998"/>
        <n v="3044.9799999999996"/>
        <n v="2064.9799999999996"/>
        <n v="3604.1899999999996"/>
        <n v="2847.26"/>
        <n v="2651.87"/>
        <n v="1732.2700000000004"/>
        <n v="2617.9700000000003"/>
        <n v="1760.63"/>
        <n v="1999.8500000000004"/>
        <n v="2924.7700000000004"/>
        <n v="3313.3"/>
        <n v="2882.79"/>
        <n v="1408.2200000000003"/>
        <n v="2786.6000000000004"/>
        <n v="1253.2600000000002"/>
        <n v="3496.38"/>
        <n v="1453.7399999999998"/>
        <n v="2441.12"/>
        <n v="3069.43"/>
        <n v="1071.6000000000004"/>
        <n v="2729.02"/>
        <n v="1969.21"/>
        <n v="2649.92"/>
        <n v="2663.53"/>
        <n v="1936.1899999999996"/>
        <n v="2951.4"/>
        <n v="1179.46"/>
        <n v="1845.8600000000001"/>
        <n v="2463.0500000000002"/>
        <n v="1878.65"/>
        <n v="1405.3200000000002"/>
        <n v="949.79"/>
        <n v="1028.9099999999999"/>
        <n v="1451.6100000000001"/>
        <n v="1479.6599999999999"/>
        <n v="1635.46"/>
        <n v="2462.85"/>
        <n v="2017.04"/>
        <n v="1588.7199999999998"/>
        <n v="1368.3600000000001"/>
        <n v="1073.1799999999998"/>
        <n v="2544.52"/>
        <n v="656.61999999999989"/>
        <n v="2179.8000000000002"/>
        <n v="1560.0700000000002"/>
        <n v="720.29"/>
        <n v="1603.7199999999998"/>
        <n v="1703.4099999999999"/>
        <n v="1895.4299999999998"/>
        <n v="1416.63"/>
        <n v="1679.7199999999998"/>
        <n v="1556.2199999999998"/>
        <n v="995.11000000000013"/>
        <n v="936.71"/>
        <n v="1735.4099999999999"/>
        <n v="1281.6999999999998"/>
        <n v="1383.5100000000002"/>
        <n v="1326.7600000000002"/>
        <n v="742.71"/>
        <n v="1706.94"/>
        <n v="1355.85"/>
        <n v="1084.5300000000002"/>
        <n v="1094.6399999999999"/>
        <n v="1463.0300000000002"/>
        <n v="1155.8200000000002"/>
        <n v="1664.1999999999998"/>
        <n v="1541.8000000000002"/>
        <n v="1897.1"/>
        <n v="1404.9899999999998"/>
        <n v="1391.73"/>
        <n v="918.63999999999987"/>
        <n v="1110.75"/>
        <n v="1282.9499999999998"/>
        <n v="1190.69"/>
        <n v="1967.17"/>
        <n v="1354.17"/>
        <n v="885.90999999999985"/>
        <n v="1412.56"/>
        <n v="902.57000000000016"/>
        <n v="1768.12"/>
        <n v="1504.4299999999998"/>
        <n v="976.25"/>
        <n v="1651.83"/>
        <n v="1064.77"/>
        <n v="1131.4699999999998"/>
        <n v="1096.52"/>
        <n v="1186.2800000000002"/>
        <n v="1110.5500000000002"/>
        <n v="565.02"/>
        <n v="1183.3200000000002"/>
        <n v="1324.2800000000002"/>
        <n v="1012.52"/>
        <n v="1185.8699999999999"/>
        <n v="1084.5999999999999"/>
        <n v="766.92000000000007"/>
        <n v="1290.6300000000001"/>
        <n v="682.84999999999991"/>
        <n v="1024.7199999999998"/>
        <n v="966.09000000000015"/>
        <n v="1281.5100000000002"/>
        <n v="1029.58"/>
        <n v="1099.9499999999998"/>
        <n v="1199.5500000000002"/>
        <n v="1050.77"/>
        <n v="527.07000000000016"/>
        <n v="1261.21"/>
        <n v="486.03999999999996"/>
        <n v="859.94999999999982"/>
        <n v="1062.67"/>
        <n v="477.23"/>
        <n v="533.23"/>
        <n v="1009.98"/>
        <n v="1156.1099999999999"/>
        <n v="1007.0100000000002"/>
        <n v="877.52"/>
        <n v="698.07999999999993"/>
        <n v="994.99"/>
        <n v="700.67000000000007"/>
        <n v="689.88000000000011"/>
        <n v="1137.92"/>
        <n v="909.04"/>
        <n v="1007.7"/>
        <n v="705.09000000000015"/>
        <n v="747.23999999999978"/>
        <n v="948.65000000000009"/>
        <n v="766.94"/>
        <n v="712.48"/>
        <n v="1130.6400000000001"/>
        <n v="620"/>
        <n v="1251.32"/>
        <n v="759.24"/>
        <n v="1239.45"/>
        <n v="790.81"/>
        <n v="634.32999999999993"/>
        <n v="896.67000000000007"/>
        <n v="819.04"/>
        <n v="654.42000000000007"/>
        <n v="552.25"/>
        <n v="876.56"/>
        <n v="536.47"/>
        <n v="983.7"/>
        <n v="911.3599999999999"/>
        <n v="914.82999999999993"/>
        <n v="876"/>
        <n v="783.1099999999999"/>
        <n v="1364.79"/>
        <n v="903.51"/>
        <n v="1318.52"/>
        <n v="1033.3900000000001"/>
        <n v="908.6400000000001"/>
        <n v="569.51"/>
        <n v="462.78"/>
        <n v="389.40000000000009"/>
        <n v="569.44000000000005"/>
        <n v="1035.77"/>
        <n v="534.40000000000009"/>
        <n v="969.36999999999989"/>
        <n v="449.63000000000011"/>
        <n v="700.43000000000006"/>
        <n v="847.79"/>
        <n v="638.24"/>
        <n v="522.45000000000005"/>
        <n v="463.15000000000009"/>
        <n v="742.54"/>
        <n v="261.6099999999999"/>
        <n v="672.54"/>
        <n v="880.05"/>
        <n v="700.79"/>
        <n v="771.56999999999994"/>
        <n v="558.75"/>
        <n v="749.74"/>
        <n v="748.34999999999991"/>
        <n v="976.88000000000011"/>
        <n v="543.73"/>
        <n v="1013.21"/>
        <n v="690.46"/>
        <n v="468"/>
        <n v="471.80999999999995"/>
        <n v="405.3599999999999"/>
        <n v="515.53"/>
        <n v="699.96"/>
        <n v="786.56"/>
        <n v="696.7"/>
        <n v="268.67000000000007"/>
        <n v="868.44"/>
        <n v="1010.67"/>
        <n v="549.23"/>
        <n v="400.11999999999989"/>
        <n v="872.23"/>
        <n v="644.90000000000009"/>
        <n v="475.6400000000001"/>
        <n v="564.67000000000007"/>
        <n v="449.70000000000005"/>
        <n v="563.22"/>
        <n v="406.23"/>
        <n v="636.11"/>
        <n v="310.59999999999991"/>
        <n v="862.02"/>
        <n v="298.90000000000009"/>
        <n v="508.78999999999996"/>
        <n v="409.57999999999993"/>
        <n v="732.88"/>
        <n v="547.11"/>
        <n v="399.47"/>
        <n v="514.54"/>
        <n v="765.94"/>
        <n v="428.15000000000009"/>
        <n v="398.58999999999992"/>
        <n v="324.41000000000008"/>
        <n v="288.29999999999995"/>
        <n v="591.64"/>
        <n v="498.86"/>
        <n v="551.91"/>
        <n v="493.01"/>
        <n v="566.11"/>
        <n v="250.76"/>
        <n v="480.75"/>
        <n v="518.70000000000005"/>
        <n v="666.63"/>
        <n v="521.62"/>
        <n v="394.53"/>
        <n v="354.70000000000005"/>
        <n v="334.26"/>
        <n v="431.63"/>
        <n v="537.94000000000005"/>
        <n v="396.57000000000005"/>
        <n v="370.71000000000004"/>
        <n v="259.32000000000005"/>
        <n v="271.13"/>
        <n v="242.80999999999995"/>
        <n v="523.30999999999995"/>
        <n v="402.57000000000005"/>
        <n v="362.34000000000003"/>
        <n v="435.79999999999995"/>
        <n v="410.96000000000004"/>
        <n v="403.14"/>
        <n v="487.74"/>
        <n v="365.41999999999996"/>
        <n v="346.77"/>
        <n v="400.73"/>
        <n v="319.83000000000004"/>
        <n v="287.42999999999995"/>
        <n v="285.13"/>
        <n v="365.49"/>
        <n v="342.73"/>
        <n v="258.13"/>
        <n v="412.62"/>
        <n v="226.09000000000003"/>
        <n v="294"/>
        <n v="363.91999999999996"/>
        <n v="191.69000000000005"/>
        <n v="362.55"/>
        <n v="296.65999999999997"/>
        <n v="333.19000000000005"/>
        <n v="329.67999999999995"/>
        <n v="324.52999999999997"/>
        <n v="297.24"/>
        <n v="274.44000000000005"/>
        <n v="310.44000000000005"/>
        <n v="140.98000000000002"/>
        <n v="237.07000000000005"/>
        <n v="299.93"/>
        <n v="318.04000000000002"/>
        <n v="375.43"/>
        <n v="243.26999999999998"/>
        <n v="236.78999999999996"/>
        <n v="291.18"/>
        <n v="204.26999999999998"/>
        <n v="215.65999999999997"/>
        <n v="283.93"/>
        <n v="153.49"/>
        <n v="227.14"/>
        <n v="231.86"/>
        <n v="291.12"/>
        <n v="258.44"/>
        <n v="331.88"/>
        <n v="188.16000000000003"/>
        <n v="200.12"/>
        <n v="225.23000000000002"/>
        <n v="179.05"/>
        <n v="178.98000000000002"/>
        <n v="226.01"/>
        <n v="214.44"/>
        <n v="269.2"/>
        <n v="225.55"/>
        <n v="153.30000000000001"/>
        <n v="173.95999999999998"/>
        <n v="189.68"/>
        <n v="144.70999999999998"/>
        <n v="180.7"/>
        <n v="124.73000000000002"/>
        <n v="176.31"/>
        <n v="146.14999999999998"/>
        <n v="152.69999999999999"/>
        <n v="145.22000000000003"/>
        <n v="145.08999999999997"/>
        <n v="176.99"/>
        <n v="98.32"/>
        <n v="164.67000000000002"/>
        <n v="152.87"/>
        <n v="95.779999999999973"/>
        <n v="116.62"/>
        <n v="119.88999999999999"/>
        <n v="101.86000000000001"/>
        <n v="128.07"/>
        <n v="154.16999999999999"/>
        <n v="102.37"/>
        <n v="224.24"/>
        <n v="117.71000000000001"/>
        <n v="134.02000000000001"/>
        <n v="115.94"/>
        <n v="90.25"/>
        <n v="148.01"/>
        <n v="87.38"/>
        <n v="80.080000000000013"/>
        <n v="115.75"/>
        <n v="-14.009999999999991"/>
        <n v="102.52000000000001"/>
        <n v="82.830000000000013"/>
        <n v="87.330000000000013"/>
        <n v="81.680000000000007"/>
        <n v="72.63"/>
        <n v="79.139999999999986"/>
        <n v="59.539999999999992"/>
        <n v="112.14"/>
        <n v="114.52"/>
        <n v="50.94"/>
        <n v="64.039999999999992"/>
        <n v="37.620000000000005"/>
        <n v="52.789999999999992"/>
        <n v="89.95"/>
        <n v="66.88"/>
        <n v="-82.740000000000009"/>
        <n v="63.360000000000014"/>
        <n v="92.91"/>
        <n v="80.180000000000007"/>
        <n v="99.31"/>
        <n v="50.460000000000008"/>
        <n v="91.48"/>
        <n v="61.849999999999994"/>
        <n v="53.72"/>
        <n v="62"/>
        <n v="46.519999999999996"/>
        <n v="66.17"/>
        <n v="56.650000000000006"/>
        <n v="58.86"/>
        <n v="49.489999999999995"/>
        <n v="58.11"/>
        <n v="50.069999999999993"/>
        <n v="80.52000000000001"/>
        <n v="53.739999999999995"/>
        <n v="35.180000000000007"/>
        <n v="28.989999999999995"/>
        <n v="36.03"/>
        <n v="55.58"/>
        <n v="36.989999999999995"/>
        <n v="1.9300000000000068"/>
        <n v="31.46"/>
        <n v="28.47"/>
        <n v="28.72"/>
        <n v="26.54"/>
        <n v="-6.1299999999999955"/>
        <n v="26.39"/>
        <n v="29.08"/>
        <n v="41.31"/>
        <n v="17.8"/>
        <n v="25.94"/>
        <n v="16.27"/>
        <n v="8.3500000000000014"/>
        <n v="-8.86"/>
        <n v="7.7899999999999991"/>
        <n v="7.6900000000000013"/>
      </sharedItems>
    </cacheField>
    <cacheField name="Marža" numFmtId="9">
      <sharedItems containsSemiMixedTypes="0" containsString="0" containsNumber="1" minValue="-0.41370000000000007" maxValue="0.73767857142857152"/>
    </cacheField>
    <cacheField name="Rok" numFmtId="0">
      <sharedItems containsSemiMixedTypes="0" containsString="0" containsNumber="1" containsInteger="1" minValue="2024" maxValue="2026" count="3">
        <n v="2025"/>
        <n v="2024"/>
        <n v="2026"/>
      </sharedItems>
    </cacheField>
    <cacheField name="Mesiace" numFmtId="0">
      <sharedItems count="12">
        <s v="október"/>
        <s v="marec"/>
        <s v="august"/>
        <s v="júl"/>
        <s v="február"/>
        <s v="december"/>
        <s v="apríl"/>
        <s v="september"/>
        <s v="január"/>
        <s v="november"/>
        <s v="jún"/>
        <s v="máj"/>
      </sharedItems>
    </cacheField>
    <cacheField name="Mesiace (Datum)" numFmtId="0" databaseField="0">
      <fieldGroup base="0">
        <rangePr groupBy="months" startDate="2024-01-01T00:00:00" endDate="2026-05-31T00:00:00"/>
        <groupItems count="14">
          <s v="&lt;1.1.2024"/>
          <s v="1"/>
          <s v="2"/>
          <s v="3"/>
          <s v="4"/>
          <s v="5"/>
          <s v="6"/>
          <s v="7"/>
          <s v="8"/>
          <s v="9"/>
          <s v="10"/>
          <s v="11"/>
          <s v="12"/>
          <s v="&gt;31.5.2026"/>
        </groupItems>
      </fieldGroup>
    </cacheField>
    <cacheField name="Štvrťroky (Datum)" numFmtId="0" databaseField="0">
      <fieldGroup base="0">
        <rangePr groupBy="quarters" startDate="2024-01-01T00:00:00" endDate="2026-05-31T00:00:00"/>
        <groupItems count="6">
          <s v="&lt;1.1.2024"/>
          <s v="štv1"/>
          <s v="štv2"/>
          <s v="štv3"/>
          <s v="štv4"/>
          <s v="&gt;31.5.2026"/>
        </groupItems>
      </fieldGroup>
    </cacheField>
    <cacheField name="Roky (Datum)" numFmtId="0" databaseField="0">
      <fieldGroup base="0">
        <rangePr groupBy="years" startDate="2024-01-01T00:00:00" endDate="2026-05-31T00:00:00"/>
        <groupItems count="5">
          <s v="&lt;1.1.2024"/>
          <s v="2024"/>
          <s v="2025"/>
          <s v="2026"/>
          <s v="&gt;31.5.2026"/>
        </groupItems>
      </fieldGroup>
    </cacheField>
    <cacheField name="Marza" numFmtId="0" formula="Zisk/Trzba" databaseField="0"/>
    <cacheField name="Marza%" numFmtId="0" formula="Zisk/Trzba" databaseField="0"/>
    <cacheField name="ABC zisk" numFmtId="0" formula="Zisk/Zisk" databaseField="0"/>
  </cacheFields>
  <extLst>
    <ext xmlns:x14="http://schemas.microsoft.com/office/spreadsheetml/2009/9/main" uri="{725AE2AE-9491-48be-B2B4-4EB974FC3084}">
      <x14:pivotCacheDefinition pivotCacheId="146443260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300.77835925926" createdVersion="8" refreshedVersion="8" minRefreshableVersion="3" recordCount="32" xr:uid="{7B0FA7B5-3141-43D1-ADBF-0C40FBAF7EE9}">
  <cacheSource type="worksheet">
    <worksheetSource name="Tabuľka1"/>
  </cacheSource>
  <cacheFields count="4">
    <cacheField name="Produkt" numFmtId="0">
      <sharedItems count="32">
        <s v="Notebook 14&quot;"/>
        <s v="Čistička vzduchu"/>
        <s v="Stůl kancelářský"/>
        <s v="Vysavač tyčový"/>
        <s v="Monitor 27&quot;"/>
        <s v="Židle ergonomická"/>
        <s v="Běžecké boty"/>
        <s v="Reproduktor BT"/>
        <s v="Batoh sportovní"/>
        <s v="Toner HP 12A"/>
        <s v="Klávesnice mechanická"/>
        <s v="Fitness náramek"/>
        <s v="Powerbanka 20k"/>
        <s v="Sluchátka BT"/>
        <s v="Topinkovač"/>
        <s v="Mixér stolní"/>
        <s v="Pánev 28 cm"/>
        <s v="Rychlovarná konvice"/>
        <s v="Činka 10 kg"/>
        <s v="Podložka na jógu"/>
        <s v="Sada dóz"/>
        <s v="Myš bezdrátová"/>
        <s v="Webkamera HD"/>
        <s v="Laminovací fólie"/>
        <s v="Bandáž kolene"/>
        <s v="Láhev 1l"/>
        <s v="LED žárovka 10W"/>
        <s v="Švihadlo"/>
        <s v="Papír A4 80g"/>
        <s v="Pořadač pákový"/>
        <s v="Sešit A5"/>
        <s v="Pero gelové"/>
      </sharedItems>
    </cacheField>
    <cacheField name="Trzba" numFmtId="165">
      <sharedItems containsSemiMixedTypes="0" containsString="0" containsNumber="1" containsInteger="1" minValue="1549" maxValue="1383022"/>
    </cacheField>
    <cacheField name="KP" numFmtId="9">
      <sharedItems containsSemiMixedTypes="0" containsString="0" containsNumber="1" minValue="0.32731568018335067" maxValue="1"/>
    </cacheField>
    <cacheField name="Trieda" numFmtId="0">
      <sharedItems count="3">
        <s v="A"/>
        <s v="B"/>
        <s v="C"/>
      </sharedItems>
    </cacheField>
  </cacheFields>
  <extLst>
    <ext xmlns:x14="http://schemas.microsoft.com/office/spreadsheetml/2009/9/main" uri="{725AE2AE-9491-48be-B2B4-4EB974FC3084}">
      <x14:pivotCacheDefinition pivotCacheId="52156248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314.695015046294" createdVersion="8" refreshedVersion="8" minRefreshableVersion="3" recordCount="32" xr:uid="{79F8F07E-9E41-4E60-8CFB-410F7B6B9069}">
  <cacheSource type="worksheet">
    <worksheetSource name="Tabuľka5"/>
  </cacheSource>
  <cacheFields count="4">
    <cacheField name="Produkt" numFmtId="0">
      <sharedItems count="32">
        <s v="Notebook 14&quot;"/>
        <s v="Čistička vzduchu"/>
        <s v="Stůl kancelářský"/>
        <s v="Vysavač tyčový"/>
        <s v="Židle ergonomická"/>
        <s v="Monitor 27&quot;"/>
        <s v="Běžecké boty"/>
        <s v="Batoh sportovní"/>
        <s v="Toner HP 12A"/>
        <s v="Reproduktor BT"/>
        <s v="Fitness náramek"/>
        <s v="Klávesnice mechanická"/>
        <s v="Topinkovač"/>
        <s v="Powerbanka 20k"/>
        <s v="Rychlovarná konvice"/>
        <s v="Podložka na jógu"/>
        <s v="Pánev 28 cm"/>
        <s v="Mixér stolní"/>
        <s v="Sluchátka BT"/>
        <s v="Činka 10 kg"/>
        <s v="Sada dóz"/>
        <s v="Webkamera HD"/>
        <s v="Myš bezdrátová"/>
        <s v="Laminovací fólie"/>
        <s v="Bandáž kolene"/>
        <s v="Láhev 1l"/>
        <s v="LED žárovka 10W"/>
        <s v="Švihadlo"/>
        <s v="Papír A4 80g"/>
        <s v="Pořadač pákový"/>
        <s v="Pero gelové"/>
        <s v="Sešit A5"/>
      </sharedItems>
    </cacheField>
    <cacheField name="Zisk" numFmtId="167">
      <sharedItems containsSemiMixedTypes="0" containsString="0" containsNumber="1" minValue="266.08999999999997" maxValue="338961.91"/>
    </cacheField>
    <cacheField name="KP" numFmtId="9">
      <sharedItems containsSemiMixedTypes="0" containsString="0" containsNumber="1" minValue="0.2757496255993459" maxValue="1"/>
    </cacheField>
    <cacheField name="Trieda" numFmtId="0">
      <sharedItems count="3">
        <s v="A"/>
        <s v="B"/>
        <s v="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s v="Alfa s.r.o."/>
    <x v="0"/>
    <x v="0"/>
    <x v="0"/>
    <x v="0"/>
    <x v="0"/>
    <x v="0"/>
    <s v="Veselý"/>
    <n v="13"/>
    <n v="21145"/>
    <n v="0"/>
    <n v="274885"/>
    <n v="224812.07"/>
    <x v="0"/>
    <n v="0.18215955763319203"/>
    <x v="0"/>
    <x v="0"/>
  </r>
  <r>
    <x v="1"/>
    <x v="1"/>
    <s v="Gama s.r.o."/>
    <x v="0"/>
    <x v="0"/>
    <x v="0"/>
    <x v="1"/>
    <x v="0"/>
    <x v="0"/>
    <s v="Novák"/>
    <n v="10"/>
    <n v="21466"/>
    <n v="0.11"/>
    <n v="214660"/>
    <n v="156407.17000000001"/>
    <x v="1"/>
    <n v="0.27137254262554733"/>
    <x v="1"/>
    <x v="1"/>
  </r>
  <r>
    <x v="2"/>
    <x v="2"/>
    <s v="Delta a.s."/>
    <x v="0"/>
    <x v="1"/>
    <x v="0"/>
    <x v="1"/>
    <x v="0"/>
    <x v="0"/>
    <s v="Kučera"/>
    <n v="6"/>
    <n v="18017"/>
    <n v="0.04"/>
    <n v="108102"/>
    <n v="94651.07"/>
    <x v="2"/>
    <n v="0.12442813268949689"/>
    <x v="2"/>
    <x v="1"/>
  </r>
  <r>
    <x v="3"/>
    <x v="3"/>
    <s v="Vltava s.r.o."/>
    <x v="0"/>
    <x v="0"/>
    <x v="0"/>
    <x v="1"/>
    <x v="0"/>
    <x v="0"/>
    <s v="Fiala"/>
    <n v="5"/>
    <n v="18861"/>
    <n v="0.03"/>
    <n v="94305"/>
    <n v="74521.55"/>
    <x v="3"/>
    <n v="0.20978155983245847"/>
    <x v="1"/>
    <x v="2"/>
  </r>
  <r>
    <x v="4"/>
    <x v="4"/>
    <s v="Petra Král"/>
    <x v="1"/>
    <x v="1"/>
    <x v="0"/>
    <x v="2"/>
    <x v="0"/>
    <x v="0"/>
    <s v="Dvořák"/>
    <n v="4"/>
    <n v="22519"/>
    <n v="0.08"/>
    <n v="90076"/>
    <n v="70600.31"/>
    <x v="4"/>
    <n v="0.21621397486566901"/>
    <x v="0"/>
    <x v="3"/>
  </r>
  <r>
    <x v="5"/>
    <x v="5"/>
    <s v="Daniel Hájek"/>
    <x v="1"/>
    <x v="1"/>
    <x v="0"/>
    <x v="0"/>
    <x v="0"/>
    <x v="0"/>
    <s v="Fiala"/>
    <n v="4"/>
    <n v="20583"/>
    <n v="0.13"/>
    <n v="82332"/>
    <n v="59734.31"/>
    <x v="5"/>
    <n v="0.27447031530874999"/>
    <x v="1"/>
    <x v="2"/>
  </r>
  <r>
    <x v="6"/>
    <x v="6"/>
    <s v="Eliška Král"/>
    <x v="1"/>
    <x v="2"/>
    <x v="0"/>
    <x v="2"/>
    <x v="0"/>
    <x v="0"/>
    <s v="Kučera"/>
    <n v="3"/>
    <n v="24798"/>
    <n v="0.17"/>
    <n v="74394"/>
    <n v="47857.27"/>
    <x v="6"/>
    <n v="0.35670524504664358"/>
    <x v="2"/>
    <x v="4"/>
  </r>
  <r>
    <x v="7"/>
    <x v="7"/>
    <s v="Veronika Veselý"/>
    <x v="1"/>
    <x v="2"/>
    <x v="0"/>
    <x v="0"/>
    <x v="0"/>
    <x v="0"/>
    <s v="Fiala"/>
    <n v="3"/>
    <n v="23697"/>
    <n v="7.0000000000000007E-2"/>
    <n v="71091"/>
    <n v="52858.67"/>
    <x v="7"/>
    <n v="0.25646467204006135"/>
    <x v="0"/>
    <x v="5"/>
  </r>
  <r>
    <x v="8"/>
    <x v="8"/>
    <s v="Kappa s.r.o."/>
    <x v="0"/>
    <x v="0"/>
    <x v="0"/>
    <x v="1"/>
    <x v="1"/>
    <x v="1"/>
    <s v="Novák"/>
    <n v="11"/>
    <n v="6031"/>
    <n v="7.0000000000000007E-2"/>
    <n v="66341"/>
    <n v="49583.16"/>
    <x v="8"/>
    <n v="0.25260155861382849"/>
    <x v="1"/>
    <x v="3"/>
  </r>
  <r>
    <x v="9"/>
    <x v="9"/>
    <s v="David Novotný"/>
    <x v="1"/>
    <x v="0"/>
    <x v="0"/>
    <x v="2"/>
    <x v="0"/>
    <x v="0"/>
    <s v="Fiala"/>
    <n v="3"/>
    <n v="21767"/>
    <n v="0.09"/>
    <n v="65301"/>
    <n v="44715.24"/>
    <x v="9"/>
    <n v="0.31524417696513074"/>
    <x v="1"/>
    <x v="6"/>
  </r>
  <r>
    <x v="10"/>
    <x v="10"/>
    <s v="Vltava s.r.o."/>
    <x v="0"/>
    <x v="1"/>
    <x v="0"/>
    <x v="1"/>
    <x v="2"/>
    <x v="2"/>
    <s v="Novák"/>
    <n v="7"/>
    <n v="9017"/>
    <n v="0"/>
    <n v="63119"/>
    <n v="44515.8"/>
    <x v="10"/>
    <n v="0.29473217256293666"/>
    <x v="0"/>
    <x v="6"/>
  </r>
  <r>
    <x v="11"/>
    <x v="11"/>
    <s v="Petra Hájek"/>
    <x v="1"/>
    <x v="1"/>
    <x v="0"/>
    <x v="2"/>
    <x v="0"/>
    <x v="0"/>
    <s v="Kučera"/>
    <n v="3"/>
    <n v="20270"/>
    <n v="0.01"/>
    <n v="60810"/>
    <n v="48445.61"/>
    <x v="11"/>
    <n v="0.20332823548758427"/>
    <x v="1"/>
    <x v="7"/>
  </r>
  <r>
    <x v="12"/>
    <x v="12"/>
    <s v="Orion a.s."/>
    <x v="0"/>
    <x v="1"/>
    <x v="0"/>
    <x v="0"/>
    <x v="1"/>
    <x v="1"/>
    <s v="Kučera"/>
    <n v="9"/>
    <n v="6373"/>
    <n v="7.0000000000000007E-2"/>
    <n v="57357"/>
    <n v="38599.9"/>
    <x v="12"/>
    <n v="0.32702372857715706"/>
    <x v="1"/>
    <x v="0"/>
  </r>
  <r>
    <x v="13"/>
    <x v="13"/>
    <s v="Veronika Svoboda"/>
    <x v="1"/>
    <x v="2"/>
    <x v="0"/>
    <x v="2"/>
    <x v="0"/>
    <x v="0"/>
    <s v="Král"/>
    <n v="3"/>
    <n v="17877"/>
    <n v="0.09"/>
    <n v="53631"/>
    <n v="43309.94"/>
    <x v="13"/>
    <n v="0.19244578695157646"/>
    <x v="1"/>
    <x v="8"/>
  </r>
  <r>
    <x v="14"/>
    <x v="14"/>
    <s v="Martina Novák"/>
    <x v="1"/>
    <x v="1"/>
    <x v="0"/>
    <x v="0"/>
    <x v="0"/>
    <x v="0"/>
    <s v="Novák"/>
    <n v="2"/>
    <n v="25465"/>
    <n v="0.14000000000000001"/>
    <n v="50930"/>
    <n v="29331.53"/>
    <x v="14"/>
    <n v="0.42408148439033971"/>
    <x v="0"/>
    <x v="9"/>
  </r>
  <r>
    <x v="15"/>
    <x v="15"/>
    <s v="Kappa s.r.o."/>
    <x v="0"/>
    <x v="2"/>
    <x v="0"/>
    <x v="1"/>
    <x v="1"/>
    <x v="3"/>
    <s v="Novák"/>
    <n v="9"/>
    <n v="5388"/>
    <n v="0.12"/>
    <n v="48492"/>
    <n v="32528.26"/>
    <x v="15"/>
    <n v="0.32920357997195415"/>
    <x v="2"/>
    <x v="8"/>
  </r>
  <r>
    <x v="16"/>
    <x v="16"/>
    <s v="Omega s.r.o."/>
    <x v="0"/>
    <x v="2"/>
    <x v="0"/>
    <x v="1"/>
    <x v="2"/>
    <x v="4"/>
    <s v="Veselý"/>
    <n v="10"/>
    <n v="4766"/>
    <n v="0.2"/>
    <n v="47660"/>
    <n v="31529.97"/>
    <x v="16"/>
    <n v="0.33843957196810742"/>
    <x v="0"/>
    <x v="9"/>
  </r>
  <r>
    <x v="17"/>
    <x v="17"/>
    <s v="Alfa s.r.o."/>
    <x v="0"/>
    <x v="2"/>
    <x v="0"/>
    <x v="0"/>
    <x v="1"/>
    <x v="3"/>
    <s v="Fiala"/>
    <n v="7"/>
    <n v="6783"/>
    <n v="0.11"/>
    <n v="47481"/>
    <n v="30036.36"/>
    <x v="17"/>
    <n v="0.36740253996335376"/>
    <x v="1"/>
    <x v="5"/>
  </r>
  <r>
    <x v="18"/>
    <x v="18"/>
    <s v="David Král"/>
    <x v="1"/>
    <x v="1"/>
    <x v="0"/>
    <x v="2"/>
    <x v="0"/>
    <x v="0"/>
    <s v="Veselý"/>
    <n v="2"/>
    <n v="20916"/>
    <n v="0.24"/>
    <n v="41832"/>
    <n v="24780.93"/>
    <x v="18"/>
    <n v="0.40760829030407342"/>
    <x v="2"/>
    <x v="8"/>
  </r>
  <r>
    <x v="19"/>
    <x v="19"/>
    <s v="Delta a.s."/>
    <x v="0"/>
    <x v="1"/>
    <x v="0"/>
    <x v="2"/>
    <x v="1"/>
    <x v="1"/>
    <s v="Svoboda"/>
    <n v="9"/>
    <n v="4376"/>
    <n v="0"/>
    <n v="39384"/>
    <n v="30586.02"/>
    <x v="19"/>
    <n v="0.2233897014015844"/>
    <x v="1"/>
    <x v="7"/>
  </r>
  <r>
    <x v="20"/>
    <x v="20"/>
    <s v="Jan Procházka"/>
    <x v="1"/>
    <x v="1"/>
    <x v="0"/>
    <x v="2"/>
    <x v="1"/>
    <x v="1"/>
    <s v="Dvořák"/>
    <n v="5"/>
    <n v="7640"/>
    <n v="0"/>
    <n v="38200"/>
    <n v="27559.93"/>
    <x v="20"/>
    <n v="0.27853586387434554"/>
    <x v="2"/>
    <x v="8"/>
  </r>
  <r>
    <x v="21"/>
    <x v="21"/>
    <s v="Eliška Fiala"/>
    <x v="1"/>
    <x v="0"/>
    <x v="0"/>
    <x v="0"/>
    <x v="1"/>
    <x v="3"/>
    <s v="Fiala"/>
    <n v="5"/>
    <n v="7587"/>
    <n v="0.08"/>
    <n v="37935"/>
    <n v="25000.61"/>
    <x v="21"/>
    <n v="0.34096190852774483"/>
    <x v="0"/>
    <x v="10"/>
  </r>
  <r>
    <x v="22"/>
    <x v="22"/>
    <s v="Veronika Černý"/>
    <x v="1"/>
    <x v="0"/>
    <x v="0"/>
    <x v="0"/>
    <x v="0"/>
    <x v="0"/>
    <s v="Král"/>
    <n v="2"/>
    <n v="18055"/>
    <n v="0.19"/>
    <n v="36110"/>
    <n v="23144.38"/>
    <x v="22"/>
    <n v="0.35905898643035167"/>
    <x v="1"/>
    <x v="9"/>
  </r>
  <r>
    <x v="23"/>
    <x v="23"/>
    <s v="Kappa s.r.o."/>
    <x v="0"/>
    <x v="0"/>
    <x v="0"/>
    <x v="0"/>
    <x v="0"/>
    <x v="5"/>
    <s v="Fiala"/>
    <n v="6"/>
    <n v="5928"/>
    <n v="0.08"/>
    <n v="35568"/>
    <n v="27076.93"/>
    <x v="23"/>
    <n v="0.23872778902384165"/>
    <x v="1"/>
    <x v="4"/>
  </r>
  <r>
    <x v="24"/>
    <x v="24"/>
    <s v="Alfa s.r.o."/>
    <x v="0"/>
    <x v="2"/>
    <x v="0"/>
    <x v="2"/>
    <x v="2"/>
    <x v="2"/>
    <s v="Novák"/>
    <n v="6"/>
    <n v="5765"/>
    <n v="0.08"/>
    <n v="34590"/>
    <n v="23619.62"/>
    <x v="24"/>
    <n v="0.31715466897947386"/>
    <x v="0"/>
    <x v="8"/>
  </r>
  <r>
    <x v="25"/>
    <x v="25"/>
    <s v="Orion a.s."/>
    <x v="0"/>
    <x v="1"/>
    <x v="0"/>
    <x v="0"/>
    <x v="1"/>
    <x v="3"/>
    <s v="Král"/>
    <n v="10"/>
    <n v="3354"/>
    <n v="0"/>
    <n v="33540"/>
    <n v="25346.61"/>
    <x v="25"/>
    <n v="0.24428711985688728"/>
    <x v="1"/>
    <x v="4"/>
  </r>
  <r>
    <x v="26"/>
    <x v="26"/>
    <s v="Radek Novotný"/>
    <x v="1"/>
    <x v="1"/>
    <x v="0"/>
    <x v="2"/>
    <x v="2"/>
    <x v="2"/>
    <s v="Novák"/>
    <n v="3"/>
    <n v="10489"/>
    <n v="0"/>
    <n v="31467"/>
    <n v="22436.63"/>
    <x v="26"/>
    <n v="0.2869790574252391"/>
    <x v="1"/>
    <x v="11"/>
  </r>
  <r>
    <x v="27"/>
    <x v="27"/>
    <s v="Karel Jelínek"/>
    <x v="1"/>
    <x v="0"/>
    <x v="0"/>
    <x v="2"/>
    <x v="0"/>
    <x v="5"/>
    <s v="Svoboda"/>
    <n v="5"/>
    <n v="6071"/>
    <n v="7.0000000000000007E-2"/>
    <n v="30355"/>
    <n v="25934.67"/>
    <x v="27"/>
    <n v="0.14562114972821616"/>
    <x v="0"/>
    <x v="9"/>
  </r>
  <r>
    <x v="28"/>
    <x v="28"/>
    <s v="Kappa s.r.o."/>
    <x v="0"/>
    <x v="0"/>
    <x v="0"/>
    <x v="1"/>
    <x v="3"/>
    <x v="6"/>
    <s v="Dvořák"/>
    <n v="9"/>
    <n v="3172"/>
    <n v="0.02"/>
    <n v="28548"/>
    <n v="20378.400000000001"/>
    <x v="28"/>
    <n v="0.28617065994115171"/>
    <x v="2"/>
    <x v="11"/>
  </r>
  <r>
    <x v="29"/>
    <x v="29"/>
    <s v="Kateřina Horák"/>
    <x v="1"/>
    <x v="1"/>
    <x v="0"/>
    <x v="2"/>
    <x v="2"/>
    <x v="2"/>
    <s v="Kučera"/>
    <n v="3"/>
    <n v="8832"/>
    <n v="0.04"/>
    <n v="26496"/>
    <n v="19022.919999999998"/>
    <x v="29"/>
    <n v="0.28204559178743965"/>
    <x v="1"/>
    <x v="7"/>
  </r>
  <r>
    <x v="30"/>
    <x v="30"/>
    <s v="Tomáš Němec"/>
    <x v="1"/>
    <x v="2"/>
    <x v="0"/>
    <x v="2"/>
    <x v="2"/>
    <x v="2"/>
    <s v="Veselý"/>
    <n v="3"/>
    <n v="8555"/>
    <n v="0.04"/>
    <n v="25665"/>
    <n v="17759.22"/>
    <x v="30"/>
    <n v="0.30803740502630034"/>
    <x v="1"/>
    <x v="10"/>
  </r>
  <r>
    <x v="19"/>
    <x v="31"/>
    <s v="Gama s.r.o."/>
    <x v="0"/>
    <x v="1"/>
    <x v="0"/>
    <x v="1"/>
    <x v="3"/>
    <x v="6"/>
    <s v="Novák"/>
    <n v="11"/>
    <n v="2158"/>
    <n v="0.16"/>
    <n v="23738"/>
    <n v="15786.86"/>
    <x v="31"/>
    <n v="0.33495408206251576"/>
    <x v="1"/>
    <x v="7"/>
  </r>
  <r>
    <x v="31"/>
    <x v="32"/>
    <s v="Omega s.r.o."/>
    <x v="0"/>
    <x v="2"/>
    <x v="0"/>
    <x v="1"/>
    <x v="0"/>
    <x v="5"/>
    <s v="Novák"/>
    <n v="5"/>
    <n v="4547"/>
    <n v="7.0000000000000007E-2"/>
    <n v="22735"/>
    <n v="17347.34"/>
    <x v="32"/>
    <n v="0.23697646800087968"/>
    <x v="0"/>
    <x v="8"/>
  </r>
  <r>
    <x v="32"/>
    <x v="33"/>
    <s v="Jana Černý"/>
    <x v="1"/>
    <x v="2"/>
    <x v="0"/>
    <x v="2"/>
    <x v="0"/>
    <x v="0"/>
    <s v="Svoboda"/>
    <n v="1"/>
    <n v="22538"/>
    <n v="0.14000000000000001"/>
    <n v="22538"/>
    <n v="16416.080000000002"/>
    <x v="33"/>
    <n v="0.27162658620995644"/>
    <x v="0"/>
    <x v="5"/>
  </r>
  <r>
    <x v="33"/>
    <x v="34"/>
    <s v="Vltava s.r.o."/>
    <x v="0"/>
    <x v="1"/>
    <x v="0"/>
    <x v="0"/>
    <x v="0"/>
    <x v="7"/>
    <s v="Král"/>
    <n v="7"/>
    <n v="3162"/>
    <n v="0.11"/>
    <n v="22134"/>
    <n v="15998.66"/>
    <x v="34"/>
    <n v="0.27719074726664861"/>
    <x v="2"/>
    <x v="4"/>
  </r>
  <r>
    <x v="34"/>
    <x v="35"/>
    <s v="Petra Fiala"/>
    <x v="1"/>
    <x v="2"/>
    <x v="0"/>
    <x v="2"/>
    <x v="0"/>
    <x v="0"/>
    <s v="Kučera"/>
    <n v="1"/>
    <n v="21857"/>
    <n v="0.04"/>
    <n v="21857"/>
    <n v="17113.689999999999"/>
    <x v="35"/>
    <n v="0.2170156014091596"/>
    <x v="2"/>
    <x v="1"/>
  </r>
  <r>
    <x v="35"/>
    <x v="36"/>
    <s v="Jana Veselý"/>
    <x v="1"/>
    <x v="2"/>
    <x v="0"/>
    <x v="1"/>
    <x v="1"/>
    <x v="1"/>
    <s v="Kučera"/>
    <n v="4"/>
    <n v="5392"/>
    <n v="0.2"/>
    <n v="21568"/>
    <n v="12039.3"/>
    <x v="36"/>
    <n v="0.44179803412462909"/>
    <x v="1"/>
    <x v="5"/>
  </r>
  <r>
    <x v="36"/>
    <x v="37"/>
    <s v="Markéta Hájek"/>
    <x v="1"/>
    <x v="1"/>
    <x v="0"/>
    <x v="0"/>
    <x v="1"/>
    <x v="1"/>
    <s v="Novák"/>
    <n v="4"/>
    <n v="5331"/>
    <n v="0.03"/>
    <n v="21324"/>
    <n v="13720.59"/>
    <x v="37"/>
    <n v="0.35656584130557117"/>
    <x v="1"/>
    <x v="6"/>
  </r>
  <r>
    <x v="37"/>
    <x v="38"/>
    <s v="David Hájek"/>
    <x v="1"/>
    <x v="1"/>
    <x v="0"/>
    <x v="0"/>
    <x v="2"/>
    <x v="2"/>
    <s v="Svoboda"/>
    <n v="3"/>
    <n v="7070"/>
    <n v="0.13"/>
    <n v="21210"/>
    <n v="13234.3"/>
    <x v="38"/>
    <n v="0.37603488920320605"/>
    <x v="0"/>
    <x v="10"/>
  </r>
  <r>
    <x v="38"/>
    <x v="39"/>
    <s v="Orion a.s."/>
    <x v="0"/>
    <x v="3"/>
    <x v="0"/>
    <x v="2"/>
    <x v="2"/>
    <x v="4"/>
    <s v="Svoboda"/>
    <n v="6"/>
    <n v="3521"/>
    <n v="0.05"/>
    <n v="21126"/>
    <n v="15852.54"/>
    <x v="39"/>
    <n v="0.24961942629934675"/>
    <x v="0"/>
    <x v="2"/>
  </r>
  <r>
    <x v="39"/>
    <x v="40"/>
    <s v="Petra Pokorný"/>
    <x v="1"/>
    <x v="1"/>
    <x v="0"/>
    <x v="0"/>
    <x v="1"/>
    <x v="1"/>
    <s v="Svoboda"/>
    <n v="6"/>
    <n v="3509"/>
    <n v="0.01"/>
    <n v="21054"/>
    <n v="16783.43"/>
    <x v="40"/>
    <n v="0.20283889047211931"/>
    <x v="0"/>
    <x v="4"/>
  </r>
  <r>
    <x v="40"/>
    <x v="41"/>
    <s v="Martin Fiala"/>
    <x v="1"/>
    <x v="2"/>
    <x v="0"/>
    <x v="2"/>
    <x v="0"/>
    <x v="5"/>
    <s v="Kučera"/>
    <n v="3"/>
    <n v="6870"/>
    <n v="0.1"/>
    <n v="20610"/>
    <n v="14089.95"/>
    <x v="41"/>
    <n v="0.31635371179039296"/>
    <x v="0"/>
    <x v="10"/>
  </r>
  <r>
    <x v="41"/>
    <x v="42"/>
    <s v="Kateřina Veselý"/>
    <x v="1"/>
    <x v="3"/>
    <x v="0"/>
    <x v="2"/>
    <x v="1"/>
    <x v="1"/>
    <s v="Fiala"/>
    <n v="5"/>
    <n v="4067"/>
    <n v="0.19"/>
    <n v="20335"/>
    <n v="10861.68"/>
    <x v="42"/>
    <n v="0.46586279813130071"/>
    <x v="1"/>
    <x v="8"/>
  </r>
  <r>
    <x v="42"/>
    <x v="43"/>
    <s v="Martin Kučera"/>
    <x v="1"/>
    <x v="1"/>
    <x v="0"/>
    <x v="2"/>
    <x v="0"/>
    <x v="0"/>
    <s v="Dvořák"/>
    <n v="1"/>
    <n v="20168"/>
    <n v="0.01"/>
    <n v="20168"/>
    <n v="15360.27"/>
    <x v="43"/>
    <n v="0.23838407378024593"/>
    <x v="1"/>
    <x v="2"/>
  </r>
  <r>
    <x v="43"/>
    <x v="44"/>
    <s v="Anna Veselý"/>
    <x v="1"/>
    <x v="2"/>
    <x v="0"/>
    <x v="2"/>
    <x v="0"/>
    <x v="5"/>
    <s v="Svoboda"/>
    <n v="3"/>
    <n v="6577"/>
    <n v="0.1"/>
    <n v="19731"/>
    <n v="13414.88"/>
    <x v="44"/>
    <n v="0.32011149967056918"/>
    <x v="1"/>
    <x v="5"/>
  </r>
  <r>
    <x v="44"/>
    <x v="45"/>
    <s v="Omega s.r.o."/>
    <x v="0"/>
    <x v="2"/>
    <x v="0"/>
    <x v="1"/>
    <x v="3"/>
    <x v="8"/>
    <s v="Kučera"/>
    <n v="14"/>
    <n v="1364"/>
    <n v="0.09"/>
    <n v="19096"/>
    <n v="10908.56"/>
    <x v="45"/>
    <n v="0.42875157100963557"/>
    <x v="1"/>
    <x v="5"/>
  </r>
  <r>
    <x v="45"/>
    <x v="46"/>
    <s v="Petra Dvořák"/>
    <x v="1"/>
    <x v="2"/>
    <x v="0"/>
    <x v="2"/>
    <x v="0"/>
    <x v="5"/>
    <s v="Fiala"/>
    <n v="3"/>
    <n v="6312"/>
    <n v="0.12"/>
    <n v="18936"/>
    <n v="14628.53"/>
    <x v="46"/>
    <n v="0.22747517955217572"/>
    <x v="1"/>
    <x v="0"/>
  </r>
  <r>
    <x v="46"/>
    <x v="47"/>
    <s v="Omega s.r.o."/>
    <x v="0"/>
    <x v="2"/>
    <x v="0"/>
    <x v="1"/>
    <x v="0"/>
    <x v="9"/>
    <s v="Svoboda"/>
    <n v="11"/>
    <n v="1691"/>
    <n v="0"/>
    <n v="18601"/>
    <n v="15110.91"/>
    <x v="47"/>
    <n v="0.18762915972259556"/>
    <x v="1"/>
    <x v="0"/>
  </r>
  <r>
    <x v="47"/>
    <x v="48"/>
    <s v="Martin Jelínek"/>
    <x v="1"/>
    <x v="1"/>
    <x v="0"/>
    <x v="2"/>
    <x v="0"/>
    <x v="5"/>
    <s v="Veselý"/>
    <n v="4"/>
    <n v="4622"/>
    <n v="0.04"/>
    <n v="18488"/>
    <n v="13300.08"/>
    <x v="48"/>
    <n v="0.28061012548680225"/>
    <x v="0"/>
    <x v="11"/>
  </r>
  <r>
    <x v="48"/>
    <x v="49"/>
    <s v="Orion a.s."/>
    <x v="0"/>
    <x v="1"/>
    <x v="0"/>
    <x v="1"/>
    <x v="0"/>
    <x v="9"/>
    <s v="Kučera"/>
    <n v="12"/>
    <n v="1539"/>
    <n v="0.1"/>
    <n v="18468"/>
    <n v="14043.74"/>
    <x v="49"/>
    <n v="0.23956356941737059"/>
    <x v="1"/>
    <x v="2"/>
  </r>
  <r>
    <x v="49"/>
    <x v="50"/>
    <s v="Martin Procházka"/>
    <x v="1"/>
    <x v="2"/>
    <x v="0"/>
    <x v="0"/>
    <x v="1"/>
    <x v="3"/>
    <s v="Beneš"/>
    <n v="3"/>
    <n v="6120"/>
    <n v="0.06"/>
    <n v="18360"/>
    <n v="13329.51"/>
    <x v="50"/>
    <n v="0.27399183006535949"/>
    <x v="0"/>
    <x v="0"/>
  </r>
  <r>
    <x v="50"/>
    <x v="51"/>
    <s v="Lukáš Pokorný"/>
    <x v="1"/>
    <x v="3"/>
    <x v="0"/>
    <x v="0"/>
    <x v="1"/>
    <x v="1"/>
    <s v="Dvořák"/>
    <n v="3"/>
    <n v="6077"/>
    <n v="0.12"/>
    <n v="18231"/>
    <n v="11941.51"/>
    <x v="51"/>
    <n v="0.34498875541659807"/>
    <x v="0"/>
    <x v="0"/>
  </r>
  <r>
    <x v="51"/>
    <x v="52"/>
    <s v="Alfa s.r.o."/>
    <x v="0"/>
    <x v="3"/>
    <x v="0"/>
    <x v="1"/>
    <x v="3"/>
    <x v="6"/>
    <s v="Král"/>
    <n v="9"/>
    <n v="1991"/>
    <n v="0.14000000000000001"/>
    <n v="17919"/>
    <n v="10375.85"/>
    <x v="52"/>
    <n v="0.42095820079245494"/>
    <x v="1"/>
    <x v="2"/>
  </r>
  <r>
    <x v="23"/>
    <x v="53"/>
    <s v="Karolína Veselý"/>
    <x v="1"/>
    <x v="0"/>
    <x v="0"/>
    <x v="0"/>
    <x v="2"/>
    <x v="2"/>
    <s v="Veselý"/>
    <n v="2"/>
    <n v="8669"/>
    <n v="0.08"/>
    <n v="17338"/>
    <n v="12126.27"/>
    <x v="53"/>
    <n v="0.30059580113046486"/>
    <x v="1"/>
    <x v="4"/>
  </r>
  <r>
    <x v="52"/>
    <x v="54"/>
    <s v="Jiří Horák"/>
    <x v="1"/>
    <x v="3"/>
    <x v="0"/>
    <x v="0"/>
    <x v="1"/>
    <x v="3"/>
    <s v="Veselý"/>
    <n v="5"/>
    <n v="3441"/>
    <n v="0.11"/>
    <n v="17205"/>
    <n v="11519.06"/>
    <x v="54"/>
    <n v="0.33048183667538511"/>
    <x v="2"/>
    <x v="1"/>
  </r>
  <r>
    <x v="53"/>
    <x v="55"/>
    <s v="David Jelínek"/>
    <x v="1"/>
    <x v="1"/>
    <x v="0"/>
    <x v="0"/>
    <x v="3"/>
    <x v="6"/>
    <s v="Kučera"/>
    <n v="5"/>
    <n v="3430"/>
    <n v="0"/>
    <n v="17150"/>
    <n v="11466.76"/>
    <x v="55"/>
    <n v="0.33138425655976678"/>
    <x v="0"/>
    <x v="6"/>
  </r>
  <r>
    <x v="54"/>
    <x v="56"/>
    <s v="Tereza Král"/>
    <x v="1"/>
    <x v="2"/>
    <x v="0"/>
    <x v="2"/>
    <x v="0"/>
    <x v="5"/>
    <s v="Beneš"/>
    <n v="3"/>
    <n v="5639"/>
    <n v="0.12"/>
    <n v="16917"/>
    <n v="10655.5"/>
    <x v="56"/>
    <n v="0.37013063781994443"/>
    <x v="0"/>
    <x v="4"/>
  </r>
  <r>
    <x v="55"/>
    <x v="57"/>
    <s v="Michal Pospíšil"/>
    <x v="1"/>
    <x v="2"/>
    <x v="0"/>
    <x v="0"/>
    <x v="1"/>
    <x v="3"/>
    <s v="Dvořák"/>
    <n v="4"/>
    <n v="4125"/>
    <n v="0"/>
    <n v="16500"/>
    <n v="12922.5"/>
    <x v="57"/>
    <n v="0.21681818181818183"/>
    <x v="0"/>
    <x v="9"/>
  </r>
  <r>
    <x v="56"/>
    <x v="58"/>
    <s v="Veronika Němec"/>
    <x v="1"/>
    <x v="3"/>
    <x v="0"/>
    <x v="2"/>
    <x v="1"/>
    <x v="1"/>
    <s v="Král"/>
    <n v="3"/>
    <n v="5490"/>
    <n v="0.05"/>
    <n v="16470"/>
    <n v="10357.370000000001"/>
    <x v="58"/>
    <n v="0.37113721918639947"/>
    <x v="0"/>
    <x v="7"/>
  </r>
  <r>
    <x v="57"/>
    <x v="59"/>
    <s v="Daniel Pokorný"/>
    <x v="1"/>
    <x v="1"/>
    <x v="0"/>
    <x v="2"/>
    <x v="2"/>
    <x v="4"/>
    <s v="Beneš"/>
    <n v="4"/>
    <n v="4076"/>
    <n v="0.12"/>
    <n v="16304"/>
    <n v="10704.5"/>
    <x v="59"/>
    <n v="0.34344332679097156"/>
    <x v="1"/>
    <x v="9"/>
  </r>
  <r>
    <x v="58"/>
    <x v="60"/>
    <s v="Lukáš Veselý"/>
    <x v="1"/>
    <x v="2"/>
    <x v="0"/>
    <x v="0"/>
    <x v="1"/>
    <x v="3"/>
    <s v="Král"/>
    <n v="3"/>
    <n v="5434"/>
    <n v="0.15"/>
    <n v="16302"/>
    <n v="10198.92"/>
    <x v="60"/>
    <n v="0.37437615016562387"/>
    <x v="0"/>
    <x v="4"/>
  </r>
  <r>
    <x v="59"/>
    <x v="61"/>
    <s v="Václav Novotný"/>
    <x v="1"/>
    <x v="1"/>
    <x v="0"/>
    <x v="0"/>
    <x v="1"/>
    <x v="1"/>
    <s v="Beneš"/>
    <n v="5"/>
    <n v="3260"/>
    <n v="0.05"/>
    <n v="16300"/>
    <n v="12136.26"/>
    <x v="61"/>
    <n v="0.25544417177914108"/>
    <x v="1"/>
    <x v="10"/>
  </r>
  <r>
    <x v="60"/>
    <x v="62"/>
    <s v="Jiří Hájek"/>
    <x v="1"/>
    <x v="0"/>
    <x v="0"/>
    <x v="2"/>
    <x v="2"/>
    <x v="2"/>
    <s v="Dvořák"/>
    <n v="2"/>
    <n v="8104"/>
    <n v="0.12"/>
    <n v="16208"/>
    <n v="11105.29"/>
    <x v="62"/>
    <n v="0.3148266288252714"/>
    <x v="1"/>
    <x v="9"/>
  </r>
  <r>
    <x v="61"/>
    <x v="63"/>
    <s v="Jan Kučera"/>
    <x v="1"/>
    <x v="1"/>
    <x v="0"/>
    <x v="2"/>
    <x v="2"/>
    <x v="2"/>
    <s v="Kučera"/>
    <n v="2"/>
    <n v="7912"/>
    <n v="0.02"/>
    <n v="15824"/>
    <n v="10487.9"/>
    <x v="63"/>
    <n v="0.33721562184024267"/>
    <x v="0"/>
    <x v="4"/>
  </r>
  <r>
    <x v="62"/>
    <x v="64"/>
    <s v="Karel Novák"/>
    <x v="1"/>
    <x v="3"/>
    <x v="0"/>
    <x v="0"/>
    <x v="2"/>
    <x v="4"/>
    <s v="Beneš"/>
    <n v="4"/>
    <n v="3945"/>
    <n v="0.08"/>
    <n v="15780"/>
    <n v="11306.24"/>
    <x v="64"/>
    <n v="0.28350823827629912"/>
    <x v="2"/>
    <x v="1"/>
  </r>
  <r>
    <x v="63"/>
    <x v="65"/>
    <s v="Orion a.s."/>
    <x v="0"/>
    <x v="1"/>
    <x v="0"/>
    <x v="1"/>
    <x v="0"/>
    <x v="7"/>
    <s v="Fiala"/>
    <n v="8"/>
    <n v="1962"/>
    <n v="0.03"/>
    <n v="15696"/>
    <n v="12356.63"/>
    <x v="65"/>
    <n v="0.2127529306829766"/>
    <x v="1"/>
    <x v="10"/>
  </r>
  <r>
    <x v="64"/>
    <x v="66"/>
    <s v="Daniel Novák"/>
    <x v="1"/>
    <x v="1"/>
    <x v="0"/>
    <x v="2"/>
    <x v="2"/>
    <x v="4"/>
    <s v="Beneš"/>
    <n v="3"/>
    <n v="5076"/>
    <n v="0.15"/>
    <n v="15228"/>
    <n v="8406.02"/>
    <x v="66"/>
    <n v="0.44798923036511684"/>
    <x v="1"/>
    <x v="1"/>
  </r>
  <r>
    <x v="65"/>
    <x v="67"/>
    <s v="Radek Veselý"/>
    <x v="1"/>
    <x v="2"/>
    <x v="0"/>
    <x v="2"/>
    <x v="2"/>
    <x v="4"/>
    <s v="Veselý"/>
    <n v="3"/>
    <n v="5049"/>
    <n v="0.06"/>
    <n v="15147"/>
    <n v="10508.66"/>
    <x v="67"/>
    <n v="0.30622169406483135"/>
    <x v="0"/>
    <x v="7"/>
  </r>
  <r>
    <x v="66"/>
    <x v="68"/>
    <s v="Karel Černý"/>
    <x v="1"/>
    <x v="0"/>
    <x v="0"/>
    <x v="2"/>
    <x v="1"/>
    <x v="1"/>
    <s v="Fiala"/>
    <n v="3"/>
    <n v="5037"/>
    <n v="0.17"/>
    <n v="15111"/>
    <n v="10540.7"/>
    <x v="68"/>
    <n v="0.30244854741578975"/>
    <x v="0"/>
    <x v="8"/>
  </r>
  <r>
    <x v="67"/>
    <x v="69"/>
    <s v="Vltava s.r.o."/>
    <x v="0"/>
    <x v="1"/>
    <x v="0"/>
    <x v="1"/>
    <x v="3"/>
    <x v="6"/>
    <s v="Kučera"/>
    <n v="9"/>
    <n v="1666"/>
    <n v="0.01"/>
    <n v="14994"/>
    <n v="11026.58"/>
    <x v="69"/>
    <n v="0.26460050686941444"/>
    <x v="2"/>
    <x v="4"/>
  </r>
  <r>
    <x v="44"/>
    <x v="70"/>
    <s v="Kappa s.r.o."/>
    <x v="0"/>
    <x v="0"/>
    <x v="0"/>
    <x v="1"/>
    <x v="0"/>
    <x v="10"/>
    <s v="Kučera"/>
    <n v="9"/>
    <n v="1643"/>
    <n v="0.14000000000000001"/>
    <n v="14787"/>
    <n v="9885.9500000000007"/>
    <x v="70"/>
    <n v="0.3314431595320213"/>
    <x v="1"/>
    <x v="5"/>
  </r>
  <r>
    <x v="68"/>
    <x v="71"/>
    <s v="Filip Pokorný"/>
    <x v="1"/>
    <x v="2"/>
    <x v="0"/>
    <x v="0"/>
    <x v="0"/>
    <x v="5"/>
    <s v="Beneš"/>
    <n v="3"/>
    <n v="4853"/>
    <n v="0.04"/>
    <n v="14559"/>
    <n v="10552.15"/>
    <x v="71"/>
    <n v="0.27521464386290267"/>
    <x v="0"/>
    <x v="4"/>
  </r>
  <r>
    <x v="32"/>
    <x v="72"/>
    <s v="Kappa s.r.o."/>
    <x v="0"/>
    <x v="1"/>
    <x v="0"/>
    <x v="2"/>
    <x v="0"/>
    <x v="11"/>
    <s v="Fiala"/>
    <n v="9"/>
    <n v="1592"/>
    <n v="0.13"/>
    <n v="14328"/>
    <n v="10301.25"/>
    <x v="72"/>
    <n v="0.28104061976549416"/>
    <x v="0"/>
    <x v="5"/>
  </r>
  <r>
    <x v="69"/>
    <x v="73"/>
    <s v="Vltava s.r.o."/>
    <x v="0"/>
    <x v="1"/>
    <x v="0"/>
    <x v="2"/>
    <x v="2"/>
    <x v="12"/>
    <s v="Veselý"/>
    <n v="7"/>
    <n v="2010"/>
    <n v="0.06"/>
    <n v="14070"/>
    <n v="9348.89"/>
    <x v="73"/>
    <n v="0.33554442075337604"/>
    <x v="2"/>
    <x v="11"/>
  </r>
  <r>
    <x v="53"/>
    <x v="74"/>
    <s v="Filip Pospíšil"/>
    <x v="1"/>
    <x v="2"/>
    <x v="0"/>
    <x v="0"/>
    <x v="1"/>
    <x v="1"/>
    <s v="Veselý"/>
    <n v="3"/>
    <n v="4657"/>
    <n v="0.01"/>
    <n v="13971"/>
    <n v="9646.83"/>
    <x v="74"/>
    <n v="0.30951041442989047"/>
    <x v="0"/>
    <x v="6"/>
  </r>
  <r>
    <x v="70"/>
    <x v="75"/>
    <s v="Orion a.s."/>
    <x v="0"/>
    <x v="3"/>
    <x v="0"/>
    <x v="1"/>
    <x v="2"/>
    <x v="12"/>
    <s v="Dvořák"/>
    <n v="8"/>
    <n v="1703"/>
    <n v="0.11"/>
    <n v="13624"/>
    <n v="6657"/>
    <x v="75"/>
    <n v="0.51137698179682911"/>
    <x v="2"/>
    <x v="6"/>
  </r>
  <r>
    <x v="71"/>
    <x v="76"/>
    <s v="Václav Černý"/>
    <x v="1"/>
    <x v="3"/>
    <x v="0"/>
    <x v="0"/>
    <x v="0"/>
    <x v="5"/>
    <s v="Kučera"/>
    <n v="3"/>
    <n v="4540"/>
    <n v="0"/>
    <n v="13620"/>
    <n v="11082"/>
    <x v="76"/>
    <n v="0.18634361233480176"/>
    <x v="0"/>
    <x v="1"/>
  </r>
  <r>
    <x v="72"/>
    <x v="77"/>
    <s v="Václav Veselý"/>
    <x v="1"/>
    <x v="2"/>
    <x v="0"/>
    <x v="0"/>
    <x v="3"/>
    <x v="6"/>
    <s v="Beneš"/>
    <n v="4"/>
    <n v="3403"/>
    <n v="0.12"/>
    <n v="13612"/>
    <n v="9150.4"/>
    <x v="77"/>
    <n v="0.32776961504554808"/>
    <x v="0"/>
    <x v="11"/>
  </r>
  <r>
    <x v="73"/>
    <x v="78"/>
    <s v="Alfa s.r.o."/>
    <x v="0"/>
    <x v="3"/>
    <x v="0"/>
    <x v="1"/>
    <x v="0"/>
    <x v="9"/>
    <s v="Král"/>
    <n v="6"/>
    <n v="2214"/>
    <n v="0.14000000000000001"/>
    <n v="13284"/>
    <n v="8434.94"/>
    <x v="78"/>
    <n v="0.36503011141222519"/>
    <x v="1"/>
    <x v="4"/>
  </r>
  <r>
    <x v="74"/>
    <x v="79"/>
    <s v="Beta a.s."/>
    <x v="0"/>
    <x v="2"/>
    <x v="0"/>
    <x v="1"/>
    <x v="3"/>
    <x v="13"/>
    <s v="Svoboda"/>
    <n v="10"/>
    <n v="1319"/>
    <n v="0.06"/>
    <n v="13190"/>
    <n v="6554.92"/>
    <x v="79"/>
    <n v="0.5030386656557998"/>
    <x v="1"/>
    <x v="8"/>
  </r>
  <r>
    <x v="75"/>
    <x v="80"/>
    <s v="Ondřej Král"/>
    <x v="1"/>
    <x v="2"/>
    <x v="0"/>
    <x v="2"/>
    <x v="2"/>
    <x v="2"/>
    <s v="Král"/>
    <n v="2"/>
    <n v="6313"/>
    <n v="0.22"/>
    <n v="12626"/>
    <n v="7378.12"/>
    <x v="80"/>
    <n v="0.41564074132741963"/>
    <x v="0"/>
    <x v="5"/>
  </r>
  <r>
    <x v="76"/>
    <x v="81"/>
    <s v="Beta a.s."/>
    <x v="0"/>
    <x v="3"/>
    <x v="0"/>
    <x v="1"/>
    <x v="1"/>
    <x v="14"/>
    <s v="Král"/>
    <n v="8"/>
    <n v="1556"/>
    <n v="0"/>
    <n v="12448"/>
    <n v="9989.4500000000007"/>
    <x v="81"/>
    <n v="0.19750562339331615"/>
    <x v="0"/>
    <x v="6"/>
  </r>
  <r>
    <x v="77"/>
    <x v="82"/>
    <s v="Martin Král"/>
    <x v="1"/>
    <x v="3"/>
    <x v="0"/>
    <x v="2"/>
    <x v="0"/>
    <x v="5"/>
    <s v="Kučera"/>
    <n v="3"/>
    <n v="4119"/>
    <n v="0"/>
    <n v="12357"/>
    <n v="10570.79"/>
    <x v="82"/>
    <n v="0.14455045723071935"/>
    <x v="1"/>
    <x v="4"/>
  </r>
  <r>
    <x v="78"/>
    <x v="83"/>
    <s v="Orion a.s."/>
    <x v="0"/>
    <x v="1"/>
    <x v="0"/>
    <x v="1"/>
    <x v="3"/>
    <x v="13"/>
    <s v="Veselý"/>
    <n v="10"/>
    <n v="1229"/>
    <n v="0.11"/>
    <n v="12290"/>
    <n v="6601.5"/>
    <x v="83"/>
    <n v="0.46285598047192839"/>
    <x v="0"/>
    <x v="11"/>
  </r>
  <r>
    <x v="79"/>
    <x v="84"/>
    <s v="Orion a.s."/>
    <x v="0"/>
    <x v="0"/>
    <x v="0"/>
    <x v="1"/>
    <x v="3"/>
    <x v="13"/>
    <s v="Kučera"/>
    <n v="11"/>
    <n v="1116"/>
    <n v="0.18"/>
    <n v="12276"/>
    <n v="8089.5"/>
    <x v="84"/>
    <n v="0.34103128054740955"/>
    <x v="0"/>
    <x v="10"/>
  </r>
  <r>
    <x v="80"/>
    <x v="85"/>
    <s v="Anna Novák"/>
    <x v="1"/>
    <x v="2"/>
    <x v="0"/>
    <x v="2"/>
    <x v="2"/>
    <x v="4"/>
    <s v="Fiala"/>
    <n v="2"/>
    <n v="6116"/>
    <n v="0.06"/>
    <n v="12232"/>
    <n v="9106.94"/>
    <x v="85"/>
    <n v="0.25548234139960757"/>
    <x v="0"/>
    <x v="0"/>
  </r>
  <r>
    <x v="81"/>
    <x v="86"/>
    <s v="Alena Pokorný"/>
    <x v="1"/>
    <x v="2"/>
    <x v="0"/>
    <x v="2"/>
    <x v="2"/>
    <x v="4"/>
    <s v="Fiala"/>
    <n v="2"/>
    <n v="5981"/>
    <n v="0.09"/>
    <n v="11962"/>
    <n v="8073.22"/>
    <x v="86"/>
    <n v="0.32509446580839324"/>
    <x v="1"/>
    <x v="11"/>
  </r>
  <r>
    <x v="82"/>
    <x v="87"/>
    <s v="Gama s.r.o."/>
    <x v="0"/>
    <x v="2"/>
    <x v="0"/>
    <x v="1"/>
    <x v="0"/>
    <x v="11"/>
    <s v="Kučera"/>
    <n v="8"/>
    <n v="1422"/>
    <n v="0.04"/>
    <n v="11376"/>
    <n v="9965.98"/>
    <x v="87"/>
    <n v="0.12394690576652606"/>
    <x v="0"/>
    <x v="2"/>
  </r>
  <r>
    <x v="83"/>
    <x v="88"/>
    <s v="Alena Svoboda"/>
    <x v="1"/>
    <x v="1"/>
    <x v="0"/>
    <x v="2"/>
    <x v="3"/>
    <x v="6"/>
    <s v="Král"/>
    <n v="3"/>
    <n v="3791"/>
    <n v="0.14000000000000001"/>
    <n v="11373"/>
    <n v="7683.64"/>
    <x v="88"/>
    <n v="0.32439637738503468"/>
    <x v="1"/>
    <x v="6"/>
  </r>
  <r>
    <x v="84"/>
    <x v="89"/>
    <s v="Omega s.r.o."/>
    <x v="0"/>
    <x v="2"/>
    <x v="0"/>
    <x v="1"/>
    <x v="0"/>
    <x v="7"/>
    <s v="Fiala"/>
    <n v="8"/>
    <n v="1415"/>
    <n v="0.06"/>
    <n v="11320"/>
    <n v="8192.58"/>
    <x v="89"/>
    <n v="0.27627385159010603"/>
    <x v="1"/>
    <x v="2"/>
  </r>
  <r>
    <x v="85"/>
    <x v="90"/>
    <s v="Ondřej Svoboda"/>
    <x v="1"/>
    <x v="2"/>
    <x v="0"/>
    <x v="1"/>
    <x v="1"/>
    <x v="1"/>
    <s v="Fiala"/>
    <n v="3"/>
    <n v="3714"/>
    <n v="0.06"/>
    <n v="11142"/>
    <n v="6557.51"/>
    <x v="90"/>
    <n v="0.41146024053132291"/>
    <x v="2"/>
    <x v="1"/>
  </r>
  <r>
    <x v="86"/>
    <x v="91"/>
    <s v="Alfa s.r.o."/>
    <x v="0"/>
    <x v="0"/>
    <x v="0"/>
    <x v="1"/>
    <x v="1"/>
    <x v="15"/>
    <s v="Fiala"/>
    <n v="10"/>
    <n v="1105"/>
    <n v="0.11"/>
    <n v="11050"/>
    <n v="7114.54"/>
    <x v="91"/>
    <n v="0.35615022624434389"/>
    <x v="1"/>
    <x v="1"/>
  </r>
  <r>
    <x v="87"/>
    <x v="92"/>
    <s v="Omega s.r.o."/>
    <x v="0"/>
    <x v="2"/>
    <x v="0"/>
    <x v="1"/>
    <x v="3"/>
    <x v="8"/>
    <s v="Kučera"/>
    <n v="9"/>
    <n v="1222"/>
    <n v="0"/>
    <n v="10998"/>
    <n v="5656.21"/>
    <x v="92"/>
    <n v="0.48570558283324239"/>
    <x v="2"/>
    <x v="11"/>
  </r>
  <r>
    <x v="88"/>
    <x v="93"/>
    <s v="Jana Svoboda"/>
    <x v="1"/>
    <x v="0"/>
    <x v="0"/>
    <x v="0"/>
    <x v="0"/>
    <x v="5"/>
    <s v="Kučera"/>
    <n v="2"/>
    <n v="5483"/>
    <n v="0.1"/>
    <n v="10966"/>
    <n v="8052.5"/>
    <x v="93"/>
    <n v="0.26568484406346893"/>
    <x v="2"/>
    <x v="1"/>
  </r>
  <r>
    <x v="89"/>
    <x v="94"/>
    <s v="Tomáš Jelínek"/>
    <x v="1"/>
    <x v="1"/>
    <x v="0"/>
    <x v="0"/>
    <x v="2"/>
    <x v="4"/>
    <s v="Beneš"/>
    <n v="2"/>
    <n v="5461"/>
    <n v="0.1"/>
    <n v="10922"/>
    <n v="6712.23"/>
    <x v="94"/>
    <n v="0.3854394799487274"/>
    <x v="0"/>
    <x v="8"/>
  </r>
  <r>
    <x v="90"/>
    <x v="95"/>
    <s v="Kateřina Veselý"/>
    <x v="1"/>
    <x v="1"/>
    <x v="0"/>
    <x v="2"/>
    <x v="0"/>
    <x v="5"/>
    <s v="Beneš"/>
    <n v="2"/>
    <n v="5443"/>
    <n v="0.03"/>
    <n v="10886"/>
    <n v="8583.64"/>
    <x v="95"/>
    <n v="0.21149733602792584"/>
    <x v="1"/>
    <x v="5"/>
  </r>
  <r>
    <x v="91"/>
    <x v="96"/>
    <s v="Karolína Hájek"/>
    <x v="1"/>
    <x v="2"/>
    <x v="0"/>
    <x v="0"/>
    <x v="2"/>
    <x v="12"/>
    <s v="Veselý"/>
    <n v="7"/>
    <n v="1531"/>
    <n v="0.1"/>
    <n v="10717"/>
    <n v="6299.28"/>
    <x v="96"/>
    <n v="0.41221610525333585"/>
    <x v="2"/>
    <x v="8"/>
  </r>
  <r>
    <x v="92"/>
    <x v="97"/>
    <s v="Kateřina Veselý"/>
    <x v="1"/>
    <x v="2"/>
    <x v="0"/>
    <x v="2"/>
    <x v="2"/>
    <x v="4"/>
    <s v="Novák"/>
    <n v="2"/>
    <n v="5339"/>
    <n v="0.03"/>
    <n v="10678"/>
    <n v="8430.85"/>
    <x v="97"/>
    <n v="0.21044671286757816"/>
    <x v="1"/>
    <x v="0"/>
  </r>
  <r>
    <x v="44"/>
    <x v="98"/>
    <s v="Radek Král"/>
    <x v="1"/>
    <x v="2"/>
    <x v="0"/>
    <x v="2"/>
    <x v="1"/>
    <x v="3"/>
    <s v="Svoboda"/>
    <n v="2"/>
    <n v="5312"/>
    <n v="0.13"/>
    <n v="10624"/>
    <n v="5479.64"/>
    <x v="98"/>
    <n v="0.48422063253012043"/>
    <x v="1"/>
    <x v="5"/>
  </r>
  <r>
    <x v="93"/>
    <x v="99"/>
    <s v="Jana Svoboda"/>
    <x v="1"/>
    <x v="1"/>
    <x v="0"/>
    <x v="2"/>
    <x v="1"/>
    <x v="1"/>
    <s v="Dvořák"/>
    <n v="2"/>
    <n v="5281"/>
    <n v="0.05"/>
    <n v="10562"/>
    <n v="6836.96"/>
    <x v="99"/>
    <n v="0.35268320393864799"/>
    <x v="1"/>
    <x v="4"/>
  </r>
  <r>
    <x v="10"/>
    <x v="100"/>
    <s v="Alfa s.r.o."/>
    <x v="0"/>
    <x v="3"/>
    <x v="0"/>
    <x v="0"/>
    <x v="0"/>
    <x v="11"/>
    <s v="Veselý"/>
    <n v="7"/>
    <n v="1507"/>
    <n v="0.03"/>
    <n v="10549"/>
    <n v="8552.2900000000009"/>
    <x v="100"/>
    <n v="0.18927955256422402"/>
    <x v="0"/>
    <x v="6"/>
  </r>
  <r>
    <x v="94"/>
    <x v="101"/>
    <s v="Orion a.s."/>
    <x v="0"/>
    <x v="1"/>
    <x v="0"/>
    <x v="1"/>
    <x v="0"/>
    <x v="7"/>
    <s v="Dvořák"/>
    <n v="6"/>
    <n v="1733"/>
    <n v="0.22"/>
    <n v="10398"/>
    <n v="6363.74"/>
    <x v="101"/>
    <n v="0.38798422773610314"/>
    <x v="0"/>
    <x v="3"/>
  </r>
  <r>
    <x v="95"/>
    <x v="102"/>
    <s v="Martina Novák"/>
    <x v="1"/>
    <x v="0"/>
    <x v="0"/>
    <x v="2"/>
    <x v="2"/>
    <x v="2"/>
    <s v="Král"/>
    <n v="1"/>
    <n v="9989"/>
    <n v="0.06"/>
    <n v="9989"/>
    <n v="7151.46"/>
    <x v="102"/>
    <n v="0.28406647312043248"/>
    <x v="1"/>
    <x v="0"/>
  </r>
  <r>
    <x v="96"/>
    <x v="103"/>
    <s v="Martina Beneš"/>
    <x v="1"/>
    <x v="0"/>
    <x v="0"/>
    <x v="2"/>
    <x v="1"/>
    <x v="1"/>
    <s v="Beneš"/>
    <n v="2"/>
    <n v="4974"/>
    <n v="0.17"/>
    <n v="9948"/>
    <n v="5544.42"/>
    <x v="103"/>
    <n v="0.44265983112183355"/>
    <x v="1"/>
    <x v="5"/>
  </r>
  <r>
    <x v="97"/>
    <x v="104"/>
    <s v="Beta a.s."/>
    <x v="0"/>
    <x v="2"/>
    <x v="0"/>
    <x v="0"/>
    <x v="2"/>
    <x v="12"/>
    <s v="Dvořák"/>
    <n v="6"/>
    <n v="1657"/>
    <n v="0.09"/>
    <n v="9942"/>
    <n v="6249.61"/>
    <x v="104"/>
    <n v="0.37139307986320663"/>
    <x v="0"/>
    <x v="4"/>
  </r>
  <r>
    <x v="98"/>
    <x v="105"/>
    <s v="Beta a.s."/>
    <x v="0"/>
    <x v="1"/>
    <x v="0"/>
    <x v="1"/>
    <x v="3"/>
    <x v="8"/>
    <s v="Novák"/>
    <n v="9"/>
    <n v="1092"/>
    <n v="7.0000000000000007E-2"/>
    <n v="9828"/>
    <n v="5672.05"/>
    <x v="105"/>
    <n v="0.42286833536833535"/>
    <x v="0"/>
    <x v="6"/>
  </r>
  <r>
    <x v="99"/>
    <x v="106"/>
    <s v="Jan Dvořák"/>
    <x v="1"/>
    <x v="0"/>
    <x v="0"/>
    <x v="2"/>
    <x v="0"/>
    <x v="9"/>
    <s v="Veselý"/>
    <n v="4"/>
    <n v="2451"/>
    <n v="0.15"/>
    <n v="9804"/>
    <n v="6914.57"/>
    <x v="106"/>
    <n v="0.29471950224398208"/>
    <x v="0"/>
    <x v="10"/>
  </r>
  <r>
    <x v="100"/>
    <x v="107"/>
    <s v="Jiří Novotný"/>
    <x v="1"/>
    <x v="0"/>
    <x v="0"/>
    <x v="2"/>
    <x v="2"/>
    <x v="12"/>
    <s v="Dvořák"/>
    <n v="5"/>
    <n v="1956"/>
    <n v="0.02"/>
    <n v="9780"/>
    <n v="6374.6"/>
    <x v="107"/>
    <n v="0.34820040899795496"/>
    <x v="1"/>
    <x v="5"/>
  </r>
  <r>
    <x v="101"/>
    <x v="108"/>
    <s v="Petra Novotný"/>
    <x v="1"/>
    <x v="1"/>
    <x v="0"/>
    <x v="2"/>
    <x v="1"/>
    <x v="1"/>
    <s v="Novák"/>
    <n v="2"/>
    <n v="4827"/>
    <n v="0.01"/>
    <n v="9654"/>
    <n v="6572.32"/>
    <x v="108"/>
    <n v="0.31921276154961675"/>
    <x v="1"/>
    <x v="3"/>
  </r>
  <r>
    <x v="102"/>
    <x v="109"/>
    <s v="Delta a.s."/>
    <x v="0"/>
    <x v="2"/>
    <x v="0"/>
    <x v="1"/>
    <x v="1"/>
    <x v="15"/>
    <s v="Novák"/>
    <n v="11"/>
    <n v="872"/>
    <n v="0.21"/>
    <n v="9592"/>
    <n v="5932.62"/>
    <x v="109"/>
    <n v="0.38150333611342785"/>
    <x v="1"/>
    <x v="9"/>
  </r>
  <r>
    <x v="103"/>
    <x v="110"/>
    <s v="Petra Hájek"/>
    <x v="1"/>
    <x v="2"/>
    <x v="0"/>
    <x v="2"/>
    <x v="0"/>
    <x v="7"/>
    <s v="Král"/>
    <n v="3"/>
    <n v="3183"/>
    <n v="0.18"/>
    <n v="9549"/>
    <n v="6114.65"/>
    <x v="110"/>
    <n v="0.35965546130484871"/>
    <x v="0"/>
    <x v="5"/>
  </r>
  <r>
    <x v="104"/>
    <x v="111"/>
    <s v="Martin Hájek"/>
    <x v="1"/>
    <x v="2"/>
    <x v="0"/>
    <x v="1"/>
    <x v="2"/>
    <x v="4"/>
    <s v="Kučera"/>
    <n v="2"/>
    <n v="4638"/>
    <n v="0.11"/>
    <n v="9276"/>
    <n v="5595.88"/>
    <x v="111"/>
    <n v="0.39673566192324278"/>
    <x v="2"/>
    <x v="1"/>
  </r>
  <r>
    <x v="105"/>
    <x v="112"/>
    <s v="Ondřej Pokorný"/>
    <x v="1"/>
    <x v="0"/>
    <x v="0"/>
    <x v="2"/>
    <x v="3"/>
    <x v="13"/>
    <s v="Svoboda"/>
    <n v="7"/>
    <n v="1290"/>
    <n v="0"/>
    <n v="9030"/>
    <n v="5887.77"/>
    <x v="112"/>
    <n v="0.34797674418604646"/>
    <x v="0"/>
    <x v="2"/>
  </r>
  <r>
    <x v="31"/>
    <x v="113"/>
    <s v="Michal Fiala"/>
    <x v="1"/>
    <x v="0"/>
    <x v="0"/>
    <x v="2"/>
    <x v="1"/>
    <x v="3"/>
    <s v="Veselý"/>
    <n v="2"/>
    <n v="4493"/>
    <n v="0.04"/>
    <n v="8986"/>
    <n v="6906.02"/>
    <x v="113"/>
    <n v="0.23146895170264853"/>
    <x v="0"/>
    <x v="8"/>
  </r>
  <r>
    <x v="103"/>
    <x v="114"/>
    <s v="Daniel Novotný"/>
    <x v="1"/>
    <x v="0"/>
    <x v="0"/>
    <x v="0"/>
    <x v="0"/>
    <x v="5"/>
    <s v="Král"/>
    <n v="2"/>
    <n v="4482"/>
    <n v="0.18"/>
    <n v="8964"/>
    <n v="5820.98"/>
    <x v="114"/>
    <n v="0.3506269522534583"/>
    <x v="0"/>
    <x v="5"/>
  </r>
  <r>
    <x v="106"/>
    <x v="115"/>
    <s v="Michal Pokorný"/>
    <x v="1"/>
    <x v="2"/>
    <x v="0"/>
    <x v="2"/>
    <x v="2"/>
    <x v="2"/>
    <s v="Novák"/>
    <n v="1"/>
    <n v="8948"/>
    <n v="0.08"/>
    <n v="8948"/>
    <n v="5585.09"/>
    <x v="115"/>
    <n v="0.37582811801519889"/>
    <x v="1"/>
    <x v="11"/>
  </r>
  <r>
    <x v="107"/>
    <x v="116"/>
    <s v="Karolína Horák"/>
    <x v="1"/>
    <x v="0"/>
    <x v="0"/>
    <x v="0"/>
    <x v="1"/>
    <x v="1"/>
    <s v="Dvořák"/>
    <n v="2"/>
    <n v="4444"/>
    <n v="0.05"/>
    <n v="8888"/>
    <n v="6094.32"/>
    <x v="116"/>
    <n v="0.31432043204320437"/>
    <x v="2"/>
    <x v="11"/>
  </r>
  <r>
    <x v="108"/>
    <x v="117"/>
    <s v="Vltava s.r.o."/>
    <x v="0"/>
    <x v="2"/>
    <x v="0"/>
    <x v="0"/>
    <x v="0"/>
    <x v="16"/>
    <s v="Král"/>
    <n v="7"/>
    <n v="1264"/>
    <n v="0.04"/>
    <n v="8848"/>
    <n v="6546.28"/>
    <x v="117"/>
    <n v="0.26014014466546115"/>
    <x v="2"/>
    <x v="1"/>
  </r>
  <r>
    <x v="109"/>
    <x v="118"/>
    <s v="Omega s.r.o."/>
    <x v="0"/>
    <x v="2"/>
    <x v="0"/>
    <x v="1"/>
    <x v="0"/>
    <x v="9"/>
    <s v="Novák"/>
    <n v="6"/>
    <n v="1458"/>
    <n v="0.18"/>
    <n v="8748"/>
    <n v="5940.39"/>
    <x v="118"/>
    <n v="0.32094307270233191"/>
    <x v="0"/>
    <x v="9"/>
  </r>
  <r>
    <x v="110"/>
    <x v="119"/>
    <s v="Gama s.r.o."/>
    <x v="0"/>
    <x v="2"/>
    <x v="0"/>
    <x v="1"/>
    <x v="3"/>
    <x v="6"/>
    <s v="Kučera"/>
    <n v="5"/>
    <n v="1748"/>
    <n v="0.03"/>
    <n v="8740"/>
    <n v="6014.31"/>
    <x v="119"/>
    <n v="0.3118638443935926"/>
    <x v="1"/>
    <x v="5"/>
  </r>
  <r>
    <x v="56"/>
    <x v="120"/>
    <s v="Vltava s.r.o."/>
    <x v="0"/>
    <x v="2"/>
    <x v="0"/>
    <x v="1"/>
    <x v="1"/>
    <x v="17"/>
    <s v="Veselý"/>
    <n v="9"/>
    <n v="959"/>
    <n v="0.04"/>
    <n v="8631"/>
    <n v="6801.51"/>
    <x v="120"/>
    <n v="0.21196732707681609"/>
    <x v="0"/>
    <x v="7"/>
  </r>
  <r>
    <x v="73"/>
    <x v="121"/>
    <s v="Jana Hájek"/>
    <x v="1"/>
    <x v="1"/>
    <x v="0"/>
    <x v="2"/>
    <x v="2"/>
    <x v="4"/>
    <s v="Beneš"/>
    <n v="2"/>
    <n v="4301"/>
    <n v="0.08"/>
    <n v="8602"/>
    <n v="4749.22"/>
    <x v="121"/>
    <n v="0.44789351313647985"/>
    <x v="1"/>
    <x v="4"/>
  </r>
  <r>
    <x v="111"/>
    <x v="122"/>
    <s v="Beta a.s."/>
    <x v="0"/>
    <x v="2"/>
    <x v="0"/>
    <x v="0"/>
    <x v="0"/>
    <x v="9"/>
    <s v="Kučera"/>
    <n v="4"/>
    <n v="2149"/>
    <n v="0.14000000000000001"/>
    <n v="8596"/>
    <n v="6488.53"/>
    <x v="122"/>
    <n v="0.24516868310842255"/>
    <x v="1"/>
    <x v="5"/>
  </r>
  <r>
    <x v="112"/>
    <x v="123"/>
    <s v="Karolína Kučera"/>
    <x v="1"/>
    <x v="1"/>
    <x v="0"/>
    <x v="2"/>
    <x v="1"/>
    <x v="3"/>
    <s v="Dvořák"/>
    <n v="2"/>
    <n v="4274"/>
    <n v="0.02"/>
    <n v="8548"/>
    <n v="6227.01"/>
    <x v="123"/>
    <n v="0.27152433317735142"/>
    <x v="2"/>
    <x v="11"/>
  </r>
  <r>
    <x v="113"/>
    <x v="124"/>
    <s v="Gama s.r.o."/>
    <x v="0"/>
    <x v="1"/>
    <x v="0"/>
    <x v="1"/>
    <x v="3"/>
    <x v="8"/>
    <s v="Kučera"/>
    <n v="9"/>
    <n v="944"/>
    <n v="0.08"/>
    <n v="8496"/>
    <n v="5299.28"/>
    <x v="124"/>
    <n v="0.3762617702448211"/>
    <x v="0"/>
    <x v="11"/>
  </r>
  <r>
    <x v="114"/>
    <x v="125"/>
    <s v="Beta a.s."/>
    <x v="0"/>
    <x v="3"/>
    <x v="0"/>
    <x v="1"/>
    <x v="3"/>
    <x v="13"/>
    <s v="Svoboda"/>
    <n v="9"/>
    <n v="943"/>
    <n v="0.2"/>
    <n v="8487"/>
    <n v="4654.05"/>
    <x v="125"/>
    <n v="0.45162601626016258"/>
    <x v="1"/>
    <x v="8"/>
  </r>
  <r>
    <x v="115"/>
    <x v="126"/>
    <s v="Vltava s.r.o."/>
    <x v="0"/>
    <x v="1"/>
    <x v="0"/>
    <x v="1"/>
    <x v="0"/>
    <x v="16"/>
    <s v="Svoboda"/>
    <n v="10"/>
    <n v="831"/>
    <n v="0.1"/>
    <n v="8310"/>
    <n v="6154.09"/>
    <x v="126"/>
    <n v="0.25943561973525869"/>
    <x v="1"/>
    <x v="7"/>
  </r>
  <r>
    <x v="116"/>
    <x v="127"/>
    <s v="Petr Dvořák"/>
    <x v="1"/>
    <x v="1"/>
    <x v="0"/>
    <x v="0"/>
    <x v="1"/>
    <x v="1"/>
    <s v="Fiala"/>
    <n v="2"/>
    <n v="4031"/>
    <n v="0"/>
    <n v="8062"/>
    <n v="5896.26"/>
    <x v="127"/>
    <n v="0.26863557429918133"/>
    <x v="1"/>
    <x v="0"/>
  </r>
  <r>
    <x v="117"/>
    <x v="128"/>
    <s v="Beta a.s."/>
    <x v="0"/>
    <x v="2"/>
    <x v="0"/>
    <x v="1"/>
    <x v="1"/>
    <x v="18"/>
    <s v="Veselý"/>
    <n v="13"/>
    <n v="619"/>
    <n v="0.13"/>
    <n v="8047"/>
    <n v="5002.0200000000004"/>
    <x v="128"/>
    <n v="0.37839940350441154"/>
    <x v="0"/>
    <x v="10"/>
  </r>
  <r>
    <x v="118"/>
    <x v="129"/>
    <s v="Kateřina Němec"/>
    <x v="1"/>
    <x v="2"/>
    <x v="0"/>
    <x v="1"/>
    <x v="2"/>
    <x v="2"/>
    <s v="Fiala"/>
    <n v="1"/>
    <n v="8036"/>
    <n v="0.06"/>
    <n v="8036"/>
    <n v="5971.02"/>
    <x v="129"/>
    <n v="0.25696615231458431"/>
    <x v="0"/>
    <x v="8"/>
  </r>
  <r>
    <x v="119"/>
    <x v="130"/>
    <s v="Anna Hájek"/>
    <x v="1"/>
    <x v="1"/>
    <x v="0"/>
    <x v="0"/>
    <x v="3"/>
    <x v="6"/>
    <s v="Novák"/>
    <n v="3"/>
    <n v="2668"/>
    <n v="0.12"/>
    <n v="8004"/>
    <n v="4399.8100000000004"/>
    <x v="130"/>
    <n v="0.45029860069965011"/>
    <x v="0"/>
    <x v="11"/>
  </r>
  <r>
    <x v="120"/>
    <x v="131"/>
    <s v="Markéta Černý"/>
    <x v="1"/>
    <x v="2"/>
    <x v="0"/>
    <x v="2"/>
    <x v="1"/>
    <x v="3"/>
    <s v="Kučera"/>
    <n v="2"/>
    <n v="3997"/>
    <n v="0.14000000000000001"/>
    <n v="7994"/>
    <n v="5146.74"/>
    <x v="131"/>
    <n v="0.35617463097322993"/>
    <x v="0"/>
    <x v="5"/>
  </r>
  <r>
    <x v="7"/>
    <x v="132"/>
    <s v="Alfa s.r.o."/>
    <x v="0"/>
    <x v="2"/>
    <x v="0"/>
    <x v="0"/>
    <x v="0"/>
    <x v="11"/>
    <s v="Kučera"/>
    <n v="8"/>
    <n v="996"/>
    <n v="0.15"/>
    <n v="7968"/>
    <n v="5316.13"/>
    <x v="132"/>
    <n v="0.33281501004016062"/>
    <x v="0"/>
    <x v="5"/>
  </r>
  <r>
    <x v="121"/>
    <x v="133"/>
    <s v="Martina Pospíšil"/>
    <x v="1"/>
    <x v="0"/>
    <x v="0"/>
    <x v="2"/>
    <x v="0"/>
    <x v="7"/>
    <s v="Dvořák"/>
    <n v="3"/>
    <n v="2644"/>
    <n v="0.02"/>
    <n v="7932"/>
    <n v="6199.73"/>
    <x v="133"/>
    <n v="0.21839006555723656"/>
    <x v="0"/>
    <x v="0"/>
  </r>
  <r>
    <x v="122"/>
    <x v="134"/>
    <s v="Tomáš Horák"/>
    <x v="1"/>
    <x v="3"/>
    <x v="0"/>
    <x v="2"/>
    <x v="2"/>
    <x v="4"/>
    <s v="Kučera"/>
    <n v="2"/>
    <n v="3961"/>
    <n v="0.03"/>
    <n v="7922"/>
    <n v="5304.03"/>
    <x v="134"/>
    <n v="0.33046831608179755"/>
    <x v="2"/>
    <x v="1"/>
  </r>
  <r>
    <x v="123"/>
    <x v="135"/>
    <s v="Omega s.r.o."/>
    <x v="0"/>
    <x v="1"/>
    <x v="0"/>
    <x v="2"/>
    <x v="0"/>
    <x v="9"/>
    <s v="Dvořák"/>
    <n v="4"/>
    <n v="1946"/>
    <n v="0.04"/>
    <n v="7784"/>
    <n v="6023.37"/>
    <x v="135"/>
    <n v="0.22618576567317575"/>
    <x v="1"/>
    <x v="2"/>
  </r>
  <r>
    <x v="124"/>
    <x v="136"/>
    <s v="Jan Beneš"/>
    <x v="1"/>
    <x v="0"/>
    <x v="0"/>
    <x v="2"/>
    <x v="3"/>
    <x v="6"/>
    <s v="Beneš"/>
    <n v="3"/>
    <n v="2573"/>
    <n v="0.04"/>
    <n v="7719"/>
    <n v="5719.15"/>
    <x v="136"/>
    <n v="0.25908148723927976"/>
    <x v="0"/>
    <x v="2"/>
  </r>
  <r>
    <x v="125"/>
    <x v="137"/>
    <s v="Michal Horák"/>
    <x v="1"/>
    <x v="0"/>
    <x v="0"/>
    <x v="0"/>
    <x v="2"/>
    <x v="2"/>
    <s v="Král"/>
    <n v="1"/>
    <n v="7578"/>
    <n v="0"/>
    <n v="7578"/>
    <n v="4653.2299999999996"/>
    <x v="137"/>
    <n v="0.38595539720242816"/>
    <x v="0"/>
    <x v="2"/>
  </r>
  <r>
    <x v="126"/>
    <x v="138"/>
    <s v="Beta a.s."/>
    <x v="0"/>
    <x v="1"/>
    <x v="0"/>
    <x v="0"/>
    <x v="3"/>
    <x v="19"/>
    <s v="Svoboda"/>
    <n v="7"/>
    <n v="1055"/>
    <n v="0.17"/>
    <n v="7385"/>
    <n v="4071.7"/>
    <x v="138"/>
    <n v="0.44865267433987815"/>
    <x v="0"/>
    <x v="8"/>
  </r>
  <r>
    <x v="127"/>
    <x v="139"/>
    <s v="Daniel Hájek"/>
    <x v="1"/>
    <x v="3"/>
    <x v="0"/>
    <x v="0"/>
    <x v="3"/>
    <x v="13"/>
    <s v="Novák"/>
    <n v="4"/>
    <n v="1827"/>
    <n v="0.14000000000000001"/>
    <n v="7308"/>
    <n v="4425.21"/>
    <x v="139"/>
    <n v="0.39447044334975367"/>
    <x v="1"/>
    <x v="11"/>
  </r>
  <r>
    <x v="128"/>
    <x v="140"/>
    <s v="Beta a.s."/>
    <x v="0"/>
    <x v="2"/>
    <x v="0"/>
    <x v="1"/>
    <x v="1"/>
    <x v="18"/>
    <s v="Kučera"/>
    <n v="8"/>
    <n v="910"/>
    <n v="0.08"/>
    <n v="7280"/>
    <n v="5871.78"/>
    <x v="140"/>
    <n v="0.19343681318681322"/>
    <x v="1"/>
    <x v="5"/>
  </r>
  <r>
    <x v="129"/>
    <x v="141"/>
    <s v="Petr Beneš"/>
    <x v="1"/>
    <x v="1"/>
    <x v="0"/>
    <x v="0"/>
    <x v="3"/>
    <x v="13"/>
    <s v="Dvořák"/>
    <n v="4"/>
    <n v="1820"/>
    <n v="0.13"/>
    <n v="7280"/>
    <n v="4493.3999999999996"/>
    <x v="141"/>
    <n v="0.38277472527472534"/>
    <x v="0"/>
    <x v="3"/>
  </r>
  <r>
    <x v="8"/>
    <x v="142"/>
    <s v="Martina Horák"/>
    <x v="1"/>
    <x v="1"/>
    <x v="0"/>
    <x v="0"/>
    <x v="0"/>
    <x v="9"/>
    <s v="Dvořák"/>
    <n v="4"/>
    <n v="1794"/>
    <n v="0.03"/>
    <n v="7176"/>
    <n v="5922.74"/>
    <x v="142"/>
    <n v="0.1746460423634337"/>
    <x v="1"/>
    <x v="3"/>
  </r>
  <r>
    <x v="130"/>
    <x v="143"/>
    <s v="Tomáš Němec"/>
    <x v="1"/>
    <x v="0"/>
    <x v="0"/>
    <x v="1"/>
    <x v="3"/>
    <x v="6"/>
    <s v="Beneš"/>
    <n v="3"/>
    <n v="2355"/>
    <n v="0.13"/>
    <n v="7065"/>
    <n v="3568.62"/>
    <x v="143"/>
    <n v="0.49488747346072187"/>
    <x v="1"/>
    <x v="11"/>
  </r>
  <r>
    <x v="49"/>
    <x v="144"/>
    <s v="Jiří Hájek"/>
    <x v="1"/>
    <x v="1"/>
    <x v="0"/>
    <x v="0"/>
    <x v="0"/>
    <x v="9"/>
    <s v="Novák"/>
    <n v="3"/>
    <n v="2264"/>
    <n v="0.11"/>
    <n v="6792"/>
    <n v="5338.26"/>
    <x v="144"/>
    <n v="0.21403710247349819"/>
    <x v="0"/>
    <x v="0"/>
  </r>
  <r>
    <x v="131"/>
    <x v="145"/>
    <s v="Václav Novotný"/>
    <x v="1"/>
    <x v="2"/>
    <x v="0"/>
    <x v="2"/>
    <x v="1"/>
    <x v="3"/>
    <s v="Beneš"/>
    <n v="1"/>
    <n v="6684"/>
    <n v="0.09"/>
    <n v="6684"/>
    <n v="4242.88"/>
    <x v="145"/>
    <n v="0.36521843207660082"/>
    <x v="1"/>
    <x v="6"/>
  </r>
  <r>
    <x v="132"/>
    <x v="146"/>
    <s v="Eliška Němec"/>
    <x v="1"/>
    <x v="2"/>
    <x v="0"/>
    <x v="2"/>
    <x v="2"/>
    <x v="12"/>
    <s v="Svoboda"/>
    <n v="4"/>
    <n v="1650"/>
    <n v="0.15"/>
    <n v="6600"/>
    <n v="3530.57"/>
    <x v="146"/>
    <n v="0.46506515151515149"/>
    <x v="1"/>
    <x v="0"/>
  </r>
  <r>
    <x v="133"/>
    <x v="147"/>
    <s v="Beta a.s."/>
    <x v="0"/>
    <x v="1"/>
    <x v="0"/>
    <x v="2"/>
    <x v="0"/>
    <x v="20"/>
    <s v="Beneš"/>
    <n v="7"/>
    <n v="940"/>
    <n v="0"/>
    <n v="6580"/>
    <n v="5508.4"/>
    <x v="147"/>
    <n v="0.16285714285714292"/>
    <x v="0"/>
    <x v="6"/>
  </r>
  <r>
    <x v="134"/>
    <x v="148"/>
    <s v="Gama s.r.o."/>
    <x v="0"/>
    <x v="2"/>
    <x v="0"/>
    <x v="0"/>
    <x v="3"/>
    <x v="13"/>
    <s v="Beneš"/>
    <n v="8"/>
    <n v="808"/>
    <n v="0.09"/>
    <n v="6464"/>
    <n v="3734.98"/>
    <x v="148"/>
    <n v="0.42218749999999999"/>
    <x v="1"/>
    <x v="3"/>
  </r>
  <r>
    <x v="135"/>
    <x v="149"/>
    <s v="Beta a.s."/>
    <x v="0"/>
    <x v="0"/>
    <x v="0"/>
    <x v="1"/>
    <x v="3"/>
    <x v="21"/>
    <s v="Kučera"/>
    <n v="8"/>
    <n v="804"/>
    <n v="0.12"/>
    <n v="6432"/>
    <n v="4462.79"/>
    <x v="149"/>
    <n v="0.30615827114427863"/>
    <x v="2"/>
    <x v="4"/>
  </r>
  <r>
    <x v="14"/>
    <x v="150"/>
    <s v="Jan Veselý"/>
    <x v="1"/>
    <x v="0"/>
    <x v="0"/>
    <x v="2"/>
    <x v="3"/>
    <x v="6"/>
    <s v="Beneš"/>
    <n v="3"/>
    <n v="2131"/>
    <n v="0.11"/>
    <n v="6393"/>
    <n v="3743.08"/>
    <x v="150"/>
    <n v="0.41450336305333962"/>
    <x v="0"/>
    <x v="9"/>
  </r>
  <r>
    <x v="136"/>
    <x v="151"/>
    <s v="Radek Beneš"/>
    <x v="1"/>
    <x v="0"/>
    <x v="0"/>
    <x v="0"/>
    <x v="2"/>
    <x v="12"/>
    <s v="Král"/>
    <n v="3"/>
    <n v="2105"/>
    <n v="0.02"/>
    <n v="6315"/>
    <n v="3651.47"/>
    <x v="151"/>
    <n v="0.42177830562153606"/>
    <x v="2"/>
    <x v="4"/>
  </r>
  <r>
    <x v="137"/>
    <x v="152"/>
    <s v="Karolína Procházka"/>
    <x v="1"/>
    <x v="3"/>
    <x v="0"/>
    <x v="2"/>
    <x v="3"/>
    <x v="13"/>
    <s v="Novák"/>
    <n v="6"/>
    <n v="1020"/>
    <n v="0.03"/>
    <n v="6120"/>
    <n v="4183.8100000000004"/>
    <x v="152"/>
    <n v="0.31637091503267967"/>
    <x v="0"/>
    <x v="1"/>
  </r>
  <r>
    <x v="138"/>
    <x v="153"/>
    <s v="Karel Fiala"/>
    <x v="1"/>
    <x v="2"/>
    <x v="0"/>
    <x v="2"/>
    <x v="3"/>
    <x v="13"/>
    <s v="Kučera"/>
    <n v="4"/>
    <n v="1452"/>
    <n v="0.17"/>
    <n v="5808"/>
    <n v="2856.6"/>
    <x v="153"/>
    <n v="0.50816115702479336"/>
    <x v="1"/>
    <x v="9"/>
  </r>
  <r>
    <x v="139"/>
    <x v="154"/>
    <s v="Omega s.r.o."/>
    <x v="0"/>
    <x v="1"/>
    <x v="0"/>
    <x v="2"/>
    <x v="0"/>
    <x v="20"/>
    <s v="Kučera"/>
    <n v="10"/>
    <n v="573"/>
    <n v="0.09"/>
    <n v="5730"/>
    <n v="4550.54"/>
    <x v="154"/>
    <n v="0.20583944153577663"/>
    <x v="1"/>
    <x v="6"/>
  </r>
  <r>
    <x v="140"/>
    <x v="155"/>
    <s v="Beta a.s."/>
    <x v="0"/>
    <x v="1"/>
    <x v="0"/>
    <x v="0"/>
    <x v="1"/>
    <x v="18"/>
    <s v="Dvořák"/>
    <n v="7"/>
    <n v="816"/>
    <n v="7.0000000000000007E-2"/>
    <n v="5712"/>
    <n v="3866.14"/>
    <x v="155"/>
    <n v="0.32315476190476194"/>
    <x v="0"/>
    <x v="11"/>
  </r>
  <r>
    <x v="141"/>
    <x v="156"/>
    <s v="Tomáš Beneš"/>
    <x v="1"/>
    <x v="0"/>
    <x v="0"/>
    <x v="2"/>
    <x v="2"/>
    <x v="12"/>
    <s v="Kučera"/>
    <n v="3"/>
    <n v="1885"/>
    <n v="0.24"/>
    <n v="5655"/>
    <n v="3191.95"/>
    <x v="156"/>
    <n v="0.43555260831122905"/>
    <x v="1"/>
    <x v="5"/>
  </r>
  <r>
    <x v="142"/>
    <x v="157"/>
    <s v="Daniel Pospíšil"/>
    <x v="1"/>
    <x v="1"/>
    <x v="0"/>
    <x v="2"/>
    <x v="3"/>
    <x v="13"/>
    <s v="Kučera"/>
    <n v="3"/>
    <n v="1847"/>
    <n v="0.14000000000000001"/>
    <n v="5541"/>
    <n v="3662.35"/>
    <x v="157"/>
    <n v="0.33904529868254829"/>
    <x v="1"/>
    <x v="6"/>
  </r>
  <r>
    <x v="143"/>
    <x v="158"/>
    <s v="Radek Beneš"/>
    <x v="1"/>
    <x v="1"/>
    <x v="0"/>
    <x v="2"/>
    <x v="0"/>
    <x v="5"/>
    <s v="Svoboda"/>
    <n v="1"/>
    <n v="5451"/>
    <n v="0.09"/>
    <n v="5451"/>
    <n v="4045.68"/>
    <x v="158"/>
    <n v="0.25780957622454598"/>
    <x v="2"/>
    <x v="4"/>
  </r>
  <r>
    <x v="144"/>
    <x v="159"/>
    <s v="Alfa s.r.o."/>
    <x v="0"/>
    <x v="2"/>
    <x v="0"/>
    <x v="1"/>
    <x v="3"/>
    <x v="21"/>
    <s v="Svoboda"/>
    <n v="9"/>
    <n v="604"/>
    <n v="0.03"/>
    <n v="5436"/>
    <n v="4486.21"/>
    <x v="159"/>
    <n v="0.17472222222222222"/>
    <x v="2"/>
    <x v="8"/>
  </r>
  <r>
    <x v="145"/>
    <x v="160"/>
    <s v="Omega s.r.o."/>
    <x v="0"/>
    <x v="3"/>
    <x v="0"/>
    <x v="0"/>
    <x v="0"/>
    <x v="9"/>
    <s v="Fiala"/>
    <n v="6"/>
    <n v="895"/>
    <n v="0.08"/>
    <n v="5370"/>
    <n v="4341.09"/>
    <x v="160"/>
    <n v="0.19160335195530723"/>
    <x v="0"/>
    <x v="6"/>
  </r>
  <r>
    <x v="146"/>
    <x v="161"/>
    <s v="Kateřina Procházka"/>
    <x v="1"/>
    <x v="1"/>
    <x v="0"/>
    <x v="2"/>
    <x v="0"/>
    <x v="5"/>
    <s v="Svoboda"/>
    <n v="1"/>
    <n v="5357"/>
    <n v="0.04"/>
    <n v="5357"/>
    <n v="3905.39"/>
    <x v="161"/>
    <n v="0.27097442598469296"/>
    <x v="1"/>
    <x v="1"/>
  </r>
  <r>
    <x v="147"/>
    <x v="162"/>
    <s v="Martina Veselý"/>
    <x v="1"/>
    <x v="1"/>
    <x v="0"/>
    <x v="2"/>
    <x v="2"/>
    <x v="12"/>
    <s v="Fiala"/>
    <n v="3"/>
    <n v="1780"/>
    <n v="7.0000000000000007E-2"/>
    <n v="5340"/>
    <n v="3860.34"/>
    <x v="162"/>
    <n v="0.27708988764044939"/>
    <x v="0"/>
    <x v="3"/>
  </r>
  <r>
    <x v="59"/>
    <x v="163"/>
    <s v="Orion a.s."/>
    <x v="0"/>
    <x v="3"/>
    <x v="0"/>
    <x v="1"/>
    <x v="3"/>
    <x v="21"/>
    <s v="Dvořák"/>
    <n v="7"/>
    <n v="755"/>
    <n v="0.04"/>
    <n v="5285"/>
    <n v="3649.54"/>
    <x v="163"/>
    <n v="0.30945316934720907"/>
    <x v="1"/>
    <x v="10"/>
  </r>
  <r>
    <x v="148"/>
    <x v="164"/>
    <s v="Radek Pokorný"/>
    <x v="1"/>
    <x v="2"/>
    <x v="0"/>
    <x v="2"/>
    <x v="3"/>
    <x v="13"/>
    <s v="Kučera"/>
    <n v="5"/>
    <n v="1046"/>
    <n v="0.12"/>
    <n v="5230"/>
    <n v="2767.15"/>
    <x v="164"/>
    <n v="0.47090822179732311"/>
    <x v="1"/>
    <x v="5"/>
  </r>
  <r>
    <x v="149"/>
    <x v="165"/>
    <s v="Jana Pokorný"/>
    <x v="1"/>
    <x v="1"/>
    <x v="0"/>
    <x v="2"/>
    <x v="2"/>
    <x v="4"/>
    <s v="Fiala"/>
    <n v="1"/>
    <n v="5212"/>
    <n v="7.0000000000000007E-2"/>
    <n v="5212"/>
    <n v="3194.96"/>
    <x v="165"/>
    <n v="0.38699923254029162"/>
    <x v="1"/>
    <x v="0"/>
  </r>
  <r>
    <x v="150"/>
    <x v="166"/>
    <s v="Karolína Pokorný"/>
    <x v="1"/>
    <x v="2"/>
    <x v="0"/>
    <x v="2"/>
    <x v="0"/>
    <x v="5"/>
    <s v="Novák"/>
    <n v="1"/>
    <n v="5173"/>
    <n v="0.06"/>
    <n v="5173"/>
    <n v="3584.28"/>
    <x v="166"/>
    <n v="0.30711772665764542"/>
    <x v="2"/>
    <x v="8"/>
  </r>
  <r>
    <x v="151"/>
    <x v="167"/>
    <s v="Orion a.s."/>
    <x v="0"/>
    <x v="2"/>
    <x v="0"/>
    <x v="1"/>
    <x v="0"/>
    <x v="16"/>
    <s v="Král"/>
    <n v="6"/>
    <n v="860"/>
    <n v="0.13"/>
    <n v="5160"/>
    <n v="3791.64"/>
    <x v="167"/>
    <n v="0.26518604651162792"/>
    <x v="2"/>
    <x v="8"/>
  </r>
  <r>
    <x v="152"/>
    <x v="168"/>
    <s v="Omega s.r.o."/>
    <x v="0"/>
    <x v="2"/>
    <x v="0"/>
    <x v="1"/>
    <x v="3"/>
    <x v="19"/>
    <s v="Veselý"/>
    <n v="6"/>
    <n v="858"/>
    <n v="0.1"/>
    <n v="5148"/>
    <n v="4074.82"/>
    <x v="168"/>
    <n v="0.20846542346542343"/>
    <x v="1"/>
    <x v="7"/>
  </r>
  <r>
    <x v="153"/>
    <x v="169"/>
    <s v="Jiří Dvořák"/>
    <x v="1"/>
    <x v="0"/>
    <x v="0"/>
    <x v="2"/>
    <x v="1"/>
    <x v="1"/>
    <s v="Král"/>
    <n v="1"/>
    <n v="5123"/>
    <n v="0.19"/>
    <n v="5123"/>
    <n v="2578.48"/>
    <x v="169"/>
    <n v="0.49668553581885616"/>
    <x v="1"/>
    <x v="1"/>
  </r>
  <r>
    <x v="91"/>
    <x v="170"/>
    <s v="Markéta Svoboda"/>
    <x v="1"/>
    <x v="2"/>
    <x v="0"/>
    <x v="2"/>
    <x v="0"/>
    <x v="9"/>
    <s v="Beneš"/>
    <n v="3"/>
    <n v="1698"/>
    <n v="0.05"/>
    <n v="5094"/>
    <n v="4437.38"/>
    <x v="170"/>
    <n v="0.12890066745190418"/>
    <x v="2"/>
    <x v="8"/>
  </r>
  <r>
    <x v="154"/>
    <x v="171"/>
    <s v="Beta a.s."/>
    <x v="0"/>
    <x v="0"/>
    <x v="0"/>
    <x v="1"/>
    <x v="3"/>
    <x v="19"/>
    <s v="Veselý"/>
    <n v="10"/>
    <n v="504"/>
    <n v="0.02"/>
    <n v="5040"/>
    <n v="2860.2"/>
    <x v="171"/>
    <n v="0.43250000000000005"/>
    <x v="1"/>
    <x v="1"/>
  </r>
  <r>
    <x v="100"/>
    <x v="172"/>
    <s v="Gama s.r.o."/>
    <x v="0"/>
    <x v="0"/>
    <x v="0"/>
    <x v="1"/>
    <x v="1"/>
    <x v="17"/>
    <s v="Beneš"/>
    <n v="7"/>
    <n v="716"/>
    <n v="0.22"/>
    <n v="5012"/>
    <n v="3451.93"/>
    <x v="172"/>
    <n v="0.31126695929768561"/>
    <x v="1"/>
    <x v="5"/>
  </r>
  <r>
    <x v="155"/>
    <x v="173"/>
    <s v="Vltava s.r.o."/>
    <x v="0"/>
    <x v="0"/>
    <x v="0"/>
    <x v="2"/>
    <x v="3"/>
    <x v="21"/>
    <s v="Dvořák"/>
    <n v="10"/>
    <n v="494"/>
    <n v="0.03"/>
    <n v="4940"/>
    <n v="4219.71"/>
    <x v="173"/>
    <n v="0.1458076923076923"/>
    <x v="1"/>
    <x v="6"/>
  </r>
  <r>
    <x v="156"/>
    <x v="174"/>
    <s v="Václav Novák"/>
    <x v="1"/>
    <x v="1"/>
    <x v="0"/>
    <x v="2"/>
    <x v="3"/>
    <x v="13"/>
    <s v="Novák"/>
    <n v="4"/>
    <n v="1221"/>
    <n v="0.05"/>
    <n v="4884"/>
    <n v="3280.28"/>
    <x v="174"/>
    <n v="0.32836199836199831"/>
    <x v="0"/>
    <x v="3"/>
  </r>
  <r>
    <x v="157"/>
    <x v="175"/>
    <s v="Petr Němec"/>
    <x v="1"/>
    <x v="1"/>
    <x v="0"/>
    <x v="2"/>
    <x v="1"/>
    <x v="15"/>
    <s v="Novák"/>
    <n v="5"/>
    <n v="953"/>
    <n v="7.0000000000000007E-2"/>
    <n v="4765"/>
    <n v="3061.59"/>
    <x v="175"/>
    <n v="0.35748373557187824"/>
    <x v="1"/>
    <x v="6"/>
  </r>
  <r>
    <x v="158"/>
    <x v="176"/>
    <s v="Orion a.s."/>
    <x v="0"/>
    <x v="1"/>
    <x v="0"/>
    <x v="2"/>
    <x v="1"/>
    <x v="18"/>
    <s v="Fiala"/>
    <n v="6"/>
    <n v="793"/>
    <n v="0.18"/>
    <n v="4758"/>
    <n v="2862.57"/>
    <x v="176"/>
    <n v="0.39836696090794449"/>
    <x v="0"/>
    <x v="0"/>
  </r>
  <r>
    <x v="159"/>
    <x v="177"/>
    <s v="Alena Pospíšil"/>
    <x v="1"/>
    <x v="0"/>
    <x v="0"/>
    <x v="0"/>
    <x v="0"/>
    <x v="5"/>
    <s v="Beneš"/>
    <n v="1"/>
    <n v="4748"/>
    <n v="0.04"/>
    <n v="4748"/>
    <n v="3331.37"/>
    <x v="177"/>
    <n v="0.2983635214827296"/>
    <x v="1"/>
    <x v="10"/>
  </r>
  <r>
    <x v="113"/>
    <x v="178"/>
    <s v="Anna Svoboda"/>
    <x v="1"/>
    <x v="2"/>
    <x v="0"/>
    <x v="0"/>
    <x v="1"/>
    <x v="18"/>
    <s v="Dvořák"/>
    <n v="5"/>
    <n v="937"/>
    <n v="0.14000000000000001"/>
    <n v="4685"/>
    <n v="3005.28"/>
    <x v="178"/>
    <n v="0.35853148345784414"/>
    <x v="0"/>
    <x v="11"/>
  </r>
  <r>
    <x v="160"/>
    <x v="179"/>
    <s v="Eliška Dvořák"/>
    <x v="1"/>
    <x v="0"/>
    <x v="0"/>
    <x v="2"/>
    <x v="2"/>
    <x v="12"/>
    <s v="Svoboda"/>
    <n v="3"/>
    <n v="1561"/>
    <n v="0.05"/>
    <n v="4683"/>
    <n v="3126.78"/>
    <x v="179"/>
    <n v="0.33231262011531065"/>
    <x v="1"/>
    <x v="7"/>
  </r>
  <r>
    <x v="161"/>
    <x v="180"/>
    <s v="Kappa s.r.o."/>
    <x v="0"/>
    <x v="2"/>
    <x v="0"/>
    <x v="1"/>
    <x v="0"/>
    <x v="16"/>
    <s v="Fiala"/>
    <n v="5"/>
    <n v="926"/>
    <n v="0.08"/>
    <n v="4630"/>
    <n v="3634.89"/>
    <x v="180"/>
    <n v="0.21492656587473005"/>
    <x v="2"/>
    <x v="4"/>
  </r>
  <r>
    <x v="162"/>
    <x v="181"/>
    <s v="Michal Beneš"/>
    <x v="1"/>
    <x v="0"/>
    <x v="0"/>
    <x v="0"/>
    <x v="0"/>
    <x v="9"/>
    <s v="Svoboda"/>
    <n v="3"/>
    <n v="1539"/>
    <n v="0.04"/>
    <n v="4617"/>
    <n v="3680.29"/>
    <x v="181"/>
    <n v="0.20288282434481267"/>
    <x v="1"/>
    <x v="1"/>
  </r>
  <r>
    <x v="163"/>
    <x v="182"/>
    <s v="Lukáš Procházka"/>
    <x v="1"/>
    <x v="1"/>
    <x v="0"/>
    <x v="2"/>
    <x v="1"/>
    <x v="14"/>
    <s v="Beneš"/>
    <n v="2"/>
    <n v="2302"/>
    <n v="0.13"/>
    <n v="4604"/>
    <n v="2868.59"/>
    <x v="182"/>
    <n v="0.37693527367506513"/>
    <x v="1"/>
    <x v="0"/>
  </r>
  <r>
    <x v="164"/>
    <x v="183"/>
    <s v="Martin Jelínek"/>
    <x v="1"/>
    <x v="1"/>
    <x v="0"/>
    <x v="0"/>
    <x v="1"/>
    <x v="17"/>
    <s v="Novák"/>
    <n v="4"/>
    <n v="1145"/>
    <n v="7.0000000000000007E-2"/>
    <n v="4580"/>
    <n v="3298.3"/>
    <x v="183"/>
    <n v="0.27984716157205236"/>
    <x v="1"/>
    <x v="1"/>
  </r>
  <r>
    <x v="165"/>
    <x v="184"/>
    <s v="Radek Pospíšil"/>
    <x v="1"/>
    <x v="0"/>
    <x v="0"/>
    <x v="0"/>
    <x v="0"/>
    <x v="9"/>
    <s v="Veselý"/>
    <n v="2"/>
    <n v="2272"/>
    <n v="0.18"/>
    <n v="4544"/>
    <n v="3160.49"/>
    <x v="184"/>
    <n v="0.30446963028169016"/>
    <x v="1"/>
    <x v="9"/>
  </r>
  <r>
    <x v="166"/>
    <x v="185"/>
    <s v="Alena Černý"/>
    <x v="1"/>
    <x v="3"/>
    <x v="0"/>
    <x v="0"/>
    <x v="1"/>
    <x v="3"/>
    <s v="Fiala"/>
    <n v="1"/>
    <n v="4540"/>
    <n v="0.04"/>
    <n v="4540"/>
    <n v="3213.24"/>
    <x v="185"/>
    <n v="0.29223788546255514"/>
    <x v="1"/>
    <x v="9"/>
  </r>
  <r>
    <x v="167"/>
    <x v="186"/>
    <s v="Lucie Veselý"/>
    <x v="1"/>
    <x v="2"/>
    <x v="0"/>
    <x v="2"/>
    <x v="0"/>
    <x v="11"/>
    <s v="Novák"/>
    <n v="3"/>
    <n v="1510"/>
    <n v="0"/>
    <n v="4530"/>
    <n v="3787.29"/>
    <x v="186"/>
    <n v="0.16395364238410598"/>
    <x v="2"/>
    <x v="6"/>
  </r>
  <r>
    <x v="168"/>
    <x v="187"/>
    <s v="Karel Fiala"/>
    <x v="1"/>
    <x v="3"/>
    <x v="0"/>
    <x v="0"/>
    <x v="1"/>
    <x v="14"/>
    <s v="Kučera"/>
    <n v="3"/>
    <n v="1494"/>
    <n v="0.18"/>
    <n v="4482"/>
    <n v="2775.06"/>
    <x v="187"/>
    <n v="0.3808433734939759"/>
    <x v="1"/>
    <x v="8"/>
  </r>
  <r>
    <x v="109"/>
    <x v="188"/>
    <s v="Jiří Němec"/>
    <x v="1"/>
    <x v="1"/>
    <x v="0"/>
    <x v="2"/>
    <x v="0"/>
    <x v="16"/>
    <s v="Beneš"/>
    <n v="3"/>
    <n v="1478"/>
    <n v="0.05"/>
    <n v="4434"/>
    <n v="3078.15"/>
    <x v="188"/>
    <n v="0.30578484438430309"/>
    <x v="0"/>
    <x v="9"/>
  </r>
  <r>
    <x v="169"/>
    <x v="189"/>
    <s v="Ondřej Veselý"/>
    <x v="1"/>
    <x v="2"/>
    <x v="0"/>
    <x v="0"/>
    <x v="0"/>
    <x v="9"/>
    <s v="Beneš"/>
    <n v="4"/>
    <n v="1103"/>
    <n v="0.12"/>
    <n v="4412"/>
    <n v="3327.47"/>
    <x v="189"/>
    <n v="0.24581368993653677"/>
    <x v="0"/>
    <x v="0"/>
  </r>
  <r>
    <x v="170"/>
    <x v="190"/>
    <s v="Gama s.r.o."/>
    <x v="0"/>
    <x v="1"/>
    <x v="0"/>
    <x v="1"/>
    <x v="1"/>
    <x v="15"/>
    <s v="Dvořák"/>
    <n v="8"/>
    <n v="551"/>
    <n v="0.08"/>
    <n v="4408"/>
    <n v="3313.36"/>
    <x v="190"/>
    <n v="0.24833030852994553"/>
    <x v="1"/>
    <x v="3"/>
  </r>
  <r>
    <x v="171"/>
    <x v="191"/>
    <s v="Alena Hájek"/>
    <x v="1"/>
    <x v="1"/>
    <x v="0"/>
    <x v="2"/>
    <x v="2"/>
    <x v="4"/>
    <s v="Veselý"/>
    <n v="1"/>
    <n v="4387"/>
    <n v="0"/>
    <n v="4387"/>
    <n v="2923.97"/>
    <x v="191"/>
    <n v="0.33349213585593807"/>
    <x v="1"/>
    <x v="2"/>
  </r>
  <r>
    <x v="172"/>
    <x v="192"/>
    <s v="Michal Hájek"/>
    <x v="1"/>
    <x v="0"/>
    <x v="0"/>
    <x v="2"/>
    <x v="0"/>
    <x v="20"/>
    <s v="Svoboda"/>
    <n v="7"/>
    <n v="626"/>
    <n v="0.08"/>
    <n v="4382"/>
    <n v="3226.18"/>
    <x v="192"/>
    <n v="0.26376540392514836"/>
    <x v="0"/>
    <x v="9"/>
  </r>
  <r>
    <x v="173"/>
    <x v="193"/>
    <s v="Delta a.s."/>
    <x v="0"/>
    <x v="2"/>
    <x v="0"/>
    <x v="1"/>
    <x v="1"/>
    <x v="18"/>
    <s v="Král"/>
    <n v="6"/>
    <n v="728"/>
    <n v="0.09"/>
    <n v="4368"/>
    <n v="2703.8"/>
    <x v="193"/>
    <n v="0.38099816849816848"/>
    <x v="1"/>
    <x v="11"/>
  </r>
  <r>
    <x v="174"/>
    <x v="194"/>
    <s v="David Procházka"/>
    <x v="1"/>
    <x v="3"/>
    <x v="0"/>
    <x v="0"/>
    <x v="0"/>
    <x v="16"/>
    <s v="Dvořák"/>
    <n v="4"/>
    <n v="1090"/>
    <n v="0.14000000000000001"/>
    <n v="4360"/>
    <n v="2818.2"/>
    <x v="194"/>
    <n v="0.3536238532110092"/>
    <x v="0"/>
    <x v="8"/>
  </r>
  <r>
    <x v="175"/>
    <x v="195"/>
    <s v="Veronika Svoboda"/>
    <x v="1"/>
    <x v="2"/>
    <x v="0"/>
    <x v="2"/>
    <x v="3"/>
    <x v="6"/>
    <s v="Veselý"/>
    <n v="2"/>
    <n v="2165"/>
    <n v="0.14000000000000001"/>
    <n v="4330"/>
    <n v="2432.9"/>
    <x v="195"/>
    <n v="0.43812933025404155"/>
    <x v="0"/>
    <x v="10"/>
  </r>
  <r>
    <x v="176"/>
    <x v="196"/>
    <s v="Ondřej Němec"/>
    <x v="1"/>
    <x v="0"/>
    <x v="0"/>
    <x v="2"/>
    <x v="1"/>
    <x v="14"/>
    <s v="Svoboda"/>
    <n v="3"/>
    <n v="1435"/>
    <n v="0.09"/>
    <n v="4305"/>
    <n v="2900.01"/>
    <x v="196"/>
    <n v="0.32636236933797902"/>
    <x v="2"/>
    <x v="6"/>
  </r>
  <r>
    <x v="177"/>
    <x v="197"/>
    <s v="Jana Novotný"/>
    <x v="1"/>
    <x v="0"/>
    <x v="0"/>
    <x v="2"/>
    <x v="3"/>
    <x v="8"/>
    <s v="Svoboda"/>
    <n v="4"/>
    <n v="1066"/>
    <n v="0.06"/>
    <n v="4264"/>
    <n v="2872.27"/>
    <x v="197"/>
    <n v="0.32639071294559102"/>
    <x v="1"/>
    <x v="5"/>
  </r>
  <r>
    <x v="178"/>
    <x v="198"/>
    <s v="Václav Fiala"/>
    <x v="1"/>
    <x v="2"/>
    <x v="0"/>
    <x v="0"/>
    <x v="0"/>
    <x v="16"/>
    <s v="Fiala"/>
    <n v="5"/>
    <n v="852"/>
    <n v="0.09"/>
    <n v="4260"/>
    <n v="3341.36"/>
    <x v="198"/>
    <n v="0.21564319248826289"/>
    <x v="0"/>
    <x v="0"/>
  </r>
  <r>
    <x v="179"/>
    <x v="199"/>
    <s v="Martina Dvořák"/>
    <x v="1"/>
    <x v="1"/>
    <x v="0"/>
    <x v="0"/>
    <x v="0"/>
    <x v="11"/>
    <s v="Novák"/>
    <n v="4"/>
    <n v="1062"/>
    <n v="0.09"/>
    <n v="4248"/>
    <n v="3137.25"/>
    <x v="199"/>
    <n v="0.26147598870056499"/>
    <x v="0"/>
    <x v="7"/>
  </r>
  <r>
    <x v="180"/>
    <x v="200"/>
    <s v="Gama s.r.o."/>
    <x v="0"/>
    <x v="0"/>
    <x v="0"/>
    <x v="2"/>
    <x v="3"/>
    <x v="19"/>
    <s v="Kučera"/>
    <n v="8"/>
    <n v="521"/>
    <n v="0"/>
    <n v="4168"/>
    <n v="2885.05"/>
    <x v="200"/>
    <n v="0.30780950095969284"/>
    <x v="1"/>
    <x v="10"/>
  </r>
  <r>
    <x v="181"/>
    <x v="201"/>
    <s v="Beta a.s."/>
    <x v="0"/>
    <x v="1"/>
    <x v="0"/>
    <x v="2"/>
    <x v="3"/>
    <x v="22"/>
    <s v="Dvořák"/>
    <n v="10"/>
    <n v="416"/>
    <n v="0.09"/>
    <n v="4160"/>
    <n v="2969.31"/>
    <x v="201"/>
    <n v="0.28622355769230773"/>
    <x v="0"/>
    <x v="8"/>
  </r>
  <r>
    <x v="162"/>
    <x v="202"/>
    <s v="Markéta Procházka"/>
    <x v="1"/>
    <x v="0"/>
    <x v="0"/>
    <x v="0"/>
    <x v="1"/>
    <x v="14"/>
    <s v="Svoboda"/>
    <n v="4"/>
    <n v="1037"/>
    <n v="0.09"/>
    <n v="4148"/>
    <n v="2180.83"/>
    <x v="202"/>
    <n v="0.47424541947926713"/>
    <x v="1"/>
    <x v="1"/>
  </r>
  <r>
    <x v="92"/>
    <x v="203"/>
    <s v="Martin Novotný"/>
    <x v="1"/>
    <x v="1"/>
    <x v="0"/>
    <x v="0"/>
    <x v="1"/>
    <x v="1"/>
    <s v="Král"/>
    <n v="1"/>
    <n v="4100"/>
    <n v="0.11"/>
    <n v="4100"/>
    <n v="2745.83"/>
    <x v="203"/>
    <n v="0.33028536585365853"/>
    <x v="1"/>
    <x v="0"/>
  </r>
  <r>
    <x v="182"/>
    <x v="204"/>
    <s v="Eliška Němec"/>
    <x v="1"/>
    <x v="1"/>
    <x v="0"/>
    <x v="2"/>
    <x v="0"/>
    <x v="11"/>
    <s v="Dvořák"/>
    <n v="2"/>
    <n v="2045"/>
    <n v="0.03"/>
    <n v="4090"/>
    <n v="3204.09"/>
    <x v="204"/>
    <n v="0.21660391198044007"/>
    <x v="1"/>
    <x v="1"/>
  </r>
  <r>
    <x v="183"/>
    <x v="205"/>
    <s v="Karel Svoboda"/>
    <x v="1"/>
    <x v="0"/>
    <x v="0"/>
    <x v="2"/>
    <x v="1"/>
    <x v="3"/>
    <s v="Novák"/>
    <n v="1"/>
    <n v="4089"/>
    <n v="7.0000000000000007E-2"/>
    <n v="4089"/>
    <n v="2676.44"/>
    <x v="205"/>
    <n v="0.34545365615064805"/>
    <x v="2"/>
    <x v="6"/>
  </r>
  <r>
    <x v="184"/>
    <x v="206"/>
    <s v="Tomáš Král"/>
    <x v="1"/>
    <x v="1"/>
    <x v="0"/>
    <x v="0"/>
    <x v="0"/>
    <x v="9"/>
    <s v="Veselý"/>
    <n v="2"/>
    <n v="2042"/>
    <n v="0.03"/>
    <n v="4084"/>
    <n v="3181.43"/>
    <x v="206"/>
    <n v="0.22100146914789426"/>
    <x v="0"/>
    <x v="11"/>
  </r>
  <r>
    <x v="18"/>
    <x v="207"/>
    <s v="Jan Kučera"/>
    <x v="1"/>
    <x v="2"/>
    <x v="0"/>
    <x v="1"/>
    <x v="3"/>
    <x v="13"/>
    <s v="Dvořák"/>
    <n v="4"/>
    <n v="1008"/>
    <n v="0.12"/>
    <n v="4032"/>
    <n v="2263.88"/>
    <x v="207"/>
    <n v="0.43852182539682538"/>
    <x v="2"/>
    <x v="8"/>
  </r>
  <r>
    <x v="185"/>
    <x v="208"/>
    <s v="Lukáš Hájek"/>
    <x v="1"/>
    <x v="2"/>
    <x v="0"/>
    <x v="2"/>
    <x v="3"/>
    <x v="19"/>
    <s v="Beneš"/>
    <n v="4"/>
    <n v="1007"/>
    <n v="0.03"/>
    <n v="4028"/>
    <n v="2523.5700000000002"/>
    <x v="208"/>
    <n v="0.37349304865938426"/>
    <x v="1"/>
    <x v="11"/>
  </r>
  <r>
    <x v="186"/>
    <x v="209"/>
    <s v="Martin Novotný"/>
    <x v="1"/>
    <x v="0"/>
    <x v="0"/>
    <x v="2"/>
    <x v="0"/>
    <x v="7"/>
    <s v="Fiala"/>
    <n v="2"/>
    <n v="2014"/>
    <n v="7.0000000000000007E-2"/>
    <n v="4028"/>
    <n v="3051.75"/>
    <x v="209"/>
    <n v="0.24236593843098311"/>
    <x v="1"/>
    <x v="6"/>
  </r>
  <r>
    <x v="187"/>
    <x v="210"/>
    <s v="Eliška Pospíšil"/>
    <x v="1"/>
    <x v="2"/>
    <x v="0"/>
    <x v="0"/>
    <x v="3"/>
    <x v="6"/>
    <s v="Veselý"/>
    <n v="2"/>
    <n v="1976"/>
    <n v="0"/>
    <n v="3952"/>
    <n v="2300.17"/>
    <x v="210"/>
    <n v="0.41797317813765178"/>
    <x v="2"/>
    <x v="6"/>
  </r>
  <r>
    <x v="122"/>
    <x v="211"/>
    <s v="Lukáš Král"/>
    <x v="1"/>
    <x v="2"/>
    <x v="0"/>
    <x v="2"/>
    <x v="0"/>
    <x v="11"/>
    <s v="Král"/>
    <n v="2"/>
    <n v="1955"/>
    <n v="0.08"/>
    <n v="3910"/>
    <n v="2845.23"/>
    <x v="211"/>
    <n v="0.27231969309462917"/>
    <x v="2"/>
    <x v="1"/>
  </r>
  <r>
    <x v="188"/>
    <x v="212"/>
    <s v="Lucie Černý"/>
    <x v="1"/>
    <x v="0"/>
    <x v="0"/>
    <x v="0"/>
    <x v="1"/>
    <x v="14"/>
    <s v="Fiala"/>
    <n v="2"/>
    <n v="1951"/>
    <n v="0.12"/>
    <n v="3902"/>
    <n v="2770.53"/>
    <x v="212"/>
    <n v="0.28997180932854943"/>
    <x v="0"/>
    <x v="5"/>
  </r>
  <r>
    <x v="132"/>
    <x v="213"/>
    <s v="Lukáš Hájek"/>
    <x v="1"/>
    <x v="2"/>
    <x v="0"/>
    <x v="2"/>
    <x v="1"/>
    <x v="14"/>
    <s v="Beneš"/>
    <n v="3"/>
    <n v="1294"/>
    <n v="0.14000000000000001"/>
    <n v="3882"/>
    <n v="2785.48"/>
    <x v="213"/>
    <n v="0.28246264811952604"/>
    <x v="1"/>
    <x v="0"/>
  </r>
  <r>
    <x v="189"/>
    <x v="214"/>
    <s v="Martina Jelínek"/>
    <x v="1"/>
    <x v="1"/>
    <x v="0"/>
    <x v="0"/>
    <x v="2"/>
    <x v="4"/>
    <s v="Dvořák"/>
    <n v="1"/>
    <n v="3880"/>
    <n v="0.08"/>
    <n v="3880"/>
    <n v="2693.72"/>
    <x v="214"/>
    <n v="0.30574226804123716"/>
    <x v="0"/>
    <x v="10"/>
  </r>
  <r>
    <x v="190"/>
    <x v="215"/>
    <s v="Karolína Hájek"/>
    <x v="1"/>
    <x v="0"/>
    <x v="0"/>
    <x v="0"/>
    <x v="3"/>
    <x v="8"/>
    <s v="Dvořák"/>
    <n v="3"/>
    <n v="1272"/>
    <n v="0.05"/>
    <n v="3816"/>
    <n v="2705.45"/>
    <x v="215"/>
    <n v="0.29102463312368976"/>
    <x v="1"/>
    <x v="2"/>
  </r>
  <r>
    <x v="191"/>
    <x v="216"/>
    <s v="Daniel Veselý"/>
    <x v="1"/>
    <x v="2"/>
    <x v="0"/>
    <x v="0"/>
    <x v="2"/>
    <x v="12"/>
    <s v="Beneš"/>
    <n v="2"/>
    <n v="1904"/>
    <n v="0.01"/>
    <n v="3808"/>
    <n v="3242.98"/>
    <x v="216"/>
    <n v="0.14837710084033612"/>
    <x v="0"/>
    <x v="8"/>
  </r>
  <r>
    <x v="192"/>
    <x v="217"/>
    <s v="David Kučera"/>
    <x v="1"/>
    <x v="2"/>
    <x v="0"/>
    <x v="2"/>
    <x v="1"/>
    <x v="17"/>
    <s v="Fiala"/>
    <n v="4"/>
    <n v="943"/>
    <n v="0.11"/>
    <n v="3772"/>
    <n v="2588.6799999999998"/>
    <x v="217"/>
    <n v="0.31371155885471902"/>
    <x v="0"/>
    <x v="9"/>
  </r>
  <r>
    <x v="193"/>
    <x v="218"/>
    <s v="Tereza Hájek"/>
    <x v="1"/>
    <x v="0"/>
    <x v="0"/>
    <x v="0"/>
    <x v="2"/>
    <x v="4"/>
    <s v="Novák"/>
    <n v="1"/>
    <n v="3763"/>
    <n v="0.05"/>
    <n v="3763"/>
    <n v="2438.7199999999998"/>
    <x v="218"/>
    <n v="0.35192133935689612"/>
    <x v="2"/>
    <x v="6"/>
  </r>
  <r>
    <x v="194"/>
    <x v="219"/>
    <s v="Tereza Jelínek"/>
    <x v="1"/>
    <x v="3"/>
    <x v="0"/>
    <x v="2"/>
    <x v="3"/>
    <x v="13"/>
    <s v="Novák"/>
    <n v="4"/>
    <n v="933"/>
    <n v="0.06"/>
    <n v="3732"/>
    <n v="2719.48"/>
    <x v="219"/>
    <n v="0.27130760986066454"/>
    <x v="0"/>
    <x v="8"/>
  </r>
  <r>
    <x v="87"/>
    <x v="220"/>
    <s v="Václav Němec"/>
    <x v="1"/>
    <x v="0"/>
    <x v="0"/>
    <x v="2"/>
    <x v="1"/>
    <x v="3"/>
    <s v="Svoboda"/>
    <n v="1"/>
    <n v="3679"/>
    <n v="0"/>
    <n v="3679"/>
    <n v="2493.13"/>
    <x v="220"/>
    <n v="0.32233487360695839"/>
    <x v="2"/>
    <x v="11"/>
  </r>
  <r>
    <x v="195"/>
    <x v="221"/>
    <s v="Lucie Procházka"/>
    <x v="1"/>
    <x v="1"/>
    <x v="0"/>
    <x v="2"/>
    <x v="3"/>
    <x v="8"/>
    <s v="Fiala"/>
    <n v="3"/>
    <n v="1184"/>
    <n v="0.13"/>
    <n v="3552"/>
    <n v="2467.4"/>
    <x v="221"/>
    <n v="0.30534909909909907"/>
    <x v="0"/>
    <x v="3"/>
  </r>
  <r>
    <x v="196"/>
    <x v="222"/>
    <s v="Václav Svoboda"/>
    <x v="1"/>
    <x v="1"/>
    <x v="0"/>
    <x v="2"/>
    <x v="1"/>
    <x v="18"/>
    <s v="Dvořák"/>
    <n v="4"/>
    <n v="883"/>
    <n v="0.02"/>
    <n v="3532"/>
    <n v="2765.08"/>
    <x v="222"/>
    <n v="0.21713476783691962"/>
    <x v="1"/>
    <x v="0"/>
  </r>
  <r>
    <x v="197"/>
    <x v="223"/>
    <s v="Martin Němec"/>
    <x v="1"/>
    <x v="2"/>
    <x v="0"/>
    <x v="2"/>
    <x v="1"/>
    <x v="14"/>
    <s v="Kučera"/>
    <n v="3"/>
    <n v="1172"/>
    <n v="0.14000000000000001"/>
    <n v="3516"/>
    <n v="2225.37"/>
    <x v="223"/>
    <n v="0.36707337883959046"/>
    <x v="1"/>
    <x v="8"/>
  </r>
  <r>
    <x v="198"/>
    <x v="224"/>
    <s v="Tomáš Beneš"/>
    <x v="1"/>
    <x v="1"/>
    <x v="0"/>
    <x v="2"/>
    <x v="0"/>
    <x v="10"/>
    <s v="Svoboda"/>
    <n v="2"/>
    <n v="1744"/>
    <n v="0.01"/>
    <n v="3488"/>
    <n v="2805.15"/>
    <x v="224"/>
    <n v="0.19577121559633026"/>
    <x v="0"/>
    <x v="4"/>
  </r>
  <r>
    <x v="199"/>
    <x v="225"/>
    <s v="Lucie Dvořák"/>
    <x v="1"/>
    <x v="1"/>
    <x v="0"/>
    <x v="0"/>
    <x v="2"/>
    <x v="12"/>
    <s v="Svoboda"/>
    <n v="2"/>
    <n v="1708"/>
    <n v="0.08"/>
    <n v="3416"/>
    <n v="2391.2800000000002"/>
    <x v="225"/>
    <n v="0.29997658079625289"/>
    <x v="2"/>
    <x v="6"/>
  </r>
  <r>
    <x v="200"/>
    <x v="226"/>
    <s v="Omega s.r.o."/>
    <x v="0"/>
    <x v="1"/>
    <x v="0"/>
    <x v="1"/>
    <x v="1"/>
    <x v="15"/>
    <s v="Fiala"/>
    <n v="5"/>
    <n v="679"/>
    <n v="0"/>
    <n v="3395"/>
    <n v="2428.91"/>
    <x v="226"/>
    <n v="0.28456259204712819"/>
    <x v="0"/>
    <x v="1"/>
  </r>
  <r>
    <x v="201"/>
    <x v="227"/>
    <s v="Radek Jelínek"/>
    <x v="1"/>
    <x v="1"/>
    <x v="0"/>
    <x v="0"/>
    <x v="2"/>
    <x v="12"/>
    <s v="Svoboda"/>
    <n v="2"/>
    <n v="1671"/>
    <n v="0.03"/>
    <n v="3342"/>
    <n v="2060.4899999999998"/>
    <x v="227"/>
    <n v="0.38345601436265714"/>
    <x v="1"/>
    <x v="11"/>
  </r>
  <r>
    <x v="202"/>
    <x v="228"/>
    <s v="Karel Novák"/>
    <x v="1"/>
    <x v="2"/>
    <x v="0"/>
    <x v="2"/>
    <x v="1"/>
    <x v="17"/>
    <s v="Beneš"/>
    <n v="3"/>
    <n v="1106"/>
    <n v="0.03"/>
    <n v="3318"/>
    <n v="2288.42"/>
    <x v="228"/>
    <n v="0.31030138637733573"/>
    <x v="0"/>
    <x v="5"/>
  </r>
  <r>
    <x v="203"/>
    <x v="229"/>
    <s v="Lucie Horák"/>
    <x v="1"/>
    <x v="2"/>
    <x v="0"/>
    <x v="2"/>
    <x v="0"/>
    <x v="9"/>
    <s v="Novák"/>
    <n v="3"/>
    <n v="1093"/>
    <n v="0.15"/>
    <n v="3279"/>
    <n v="2179.0500000000002"/>
    <x v="229"/>
    <n v="0.3354528819762122"/>
    <x v="2"/>
    <x v="8"/>
  </r>
  <r>
    <x v="20"/>
    <x v="230"/>
    <s v="Tomáš Král"/>
    <x v="1"/>
    <x v="0"/>
    <x v="0"/>
    <x v="0"/>
    <x v="1"/>
    <x v="14"/>
    <s v="Fiala"/>
    <n v="3"/>
    <n v="1088"/>
    <n v="0.08"/>
    <n v="3264"/>
    <n v="2064.4499999999998"/>
    <x v="230"/>
    <n v="0.36750919117647063"/>
    <x v="2"/>
    <x v="8"/>
  </r>
  <r>
    <x v="204"/>
    <x v="231"/>
    <s v="Karolína Beneš"/>
    <x v="1"/>
    <x v="1"/>
    <x v="0"/>
    <x v="2"/>
    <x v="1"/>
    <x v="18"/>
    <s v="Veselý"/>
    <n v="5"/>
    <n v="645"/>
    <n v="7.0000000000000007E-2"/>
    <n v="3225"/>
    <n v="2174.23"/>
    <x v="231"/>
    <n v="0.32582015503875966"/>
    <x v="1"/>
    <x v="5"/>
  </r>
  <r>
    <x v="205"/>
    <x v="232"/>
    <s v="Filip Jelínek"/>
    <x v="1"/>
    <x v="2"/>
    <x v="0"/>
    <x v="0"/>
    <x v="0"/>
    <x v="16"/>
    <s v="Beneš"/>
    <n v="3"/>
    <n v="1072"/>
    <n v="0"/>
    <n v="3216"/>
    <n v="2688.93"/>
    <x v="232"/>
    <n v="0.16388992537313438"/>
    <x v="2"/>
    <x v="6"/>
  </r>
  <r>
    <x v="136"/>
    <x v="233"/>
    <s v="Jan Veselý"/>
    <x v="1"/>
    <x v="0"/>
    <x v="0"/>
    <x v="0"/>
    <x v="3"/>
    <x v="19"/>
    <s v="Král"/>
    <n v="5"/>
    <n v="635"/>
    <n v="0.06"/>
    <n v="3175"/>
    <n v="1913.79"/>
    <x v="233"/>
    <n v="0.39723149606299213"/>
    <x v="2"/>
    <x v="4"/>
  </r>
  <r>
    <x v="206"/>
    <x v="234"/>
    <s v="Lukáš Svoboda"/>
    <x v="1"/>
    <x v="1"/>
    <x v="0"/>
    <x v="2"/>
    <x v="1"/>
    <x v="18"/>
    <s v="Veselý"/>
    <n v="4"/>
    <n v="792"/>
    <n v="0"/>
    <n v="3168"/>
    <n v="2681.96"/>
    <x v="234"/>
    <n v="0.15342171717171715"/>
    <x v="0"/>
    <x v="11"/>
  </r>
  <r>
    <x v="207"/>
    <x v="235"/>
    <s v="Michal Svoboda"/>
    <x v="1"/>
    <x v="1"/>
    <x v="0"/>
    <x v="2"/>
    <x v="3"/>
    <x v="8"/>
    <s v="Veselý"/>
    <n v="3"/>
    <n v="1056"/>
    <n v="0.08"/>
    <n v="3168"/>
    <n v="2308.0500000000002"/>
    <x v="235"/>
    <n v="0.27144886363636356"/>
    <x v="0"/>
    <x v="2"/>
  </r>
  <r>
    <x v="208"/>
    <x v="236"/>
    <s v="Václav Veselý"/>
    <x v="1"/>
    <x v="2"/>
    <x v="0"/>
    <x v="2"/>
    <x v="0"/>
    <x v="9"/>
    <s v="Beneš"/>
    <n v="2"/>
    <n v="1579"/>
    <n v="0.04"/>
    <n v="3158"/>
    <n v="2095.33"/>
    <x v="236"/>
    <n v="0.33650094996833441"/>
    <x v="0"/>
    <x v="9"/>
  </r>
  <r>
    <x v="209"/>
    <x v="237"/>
    <s v="Jan Svoboda"/>
    <x v="1"/>
    <x v="2"/>
    <x v="0"/>
    <x v="2"/>
    <x v="0"/>
    <x v="10"/>
    <s v="Fiala"/>
    <n v="4"/>
    <n v="789"/>
    <n v="0.02"/>
    <n v="3156"/>
    <n v="2678.77"/>
    <x v="237"/>
    <n v="0.15121356147021547"/>
    <x v="0"/>
    <x v="0"/>
  </r>
  <r>
    <x v="210"/>
    <x v="238"/>
    <s v="Petra Černý"/>
    <x v="1"/>
    <x v="2"/>
    <x v="0"/>
    <x v="2"/>
    <x v="0"/>
    <x v="20"/>
    <s v="Král"/>
    <n v="5"/>
    <n v="630"/>
    <n v="0.04"/>
    <n v="3150"/>
    <n v="2616.77"/>
    <x v="238"/>
    <n v="0.16927936507936509"/>
    <x v="2"/>
    <x v="4"/>
  </r>
  <r>
    <x v="3"/>
    <x v="239"/>
    <s v="Martin Fiala"/>
    <x v="1"/>
    <x v="3"/>
    <x v="0"/>
    <x v="2"/>
    <x v="1"/>
    <x v="14"/>
    <s v="Kučera"/>
    <n v="2"/>
    <n v="1549"/>
    <n v="0.01"/>
    <n v="3098"/>
    <n v="2088.02"/>
    <x v="239"/>
    <n v="0.32601032924467399"/>
    <x v="1"/>
    <x v="2"/>
  </r>
  <r>
    <x v="211"/>
    <x v="240"/>
    <s v="Orion a.s."/>
    <x v="0"/>
    <x v="2"/>
    <x v="0"/>
    <x v="1"/>
    <x v="1"/>
    <x v="17"/>
    <s v="Beneš"/>
    <n v="5"/>
    <n v="619"/>
    <n v="0.11"/>
    <n v="3095"/>
    <n v="1938.89"/>
    <x v="240"/>
    <n v="0.37354119547657511"/>
    <x v="0"/>
    <x v="8"/>
  </r>
  <r>
    <x v="212"/>
    <x v="241"/>
    <s v="Petra Dvořák"/>
    <x v="1"/>
    <x v="0"/>
    <x v="0"/>
    <x v="0"/>
    <x v="2"/>
    <x v="12"/>
    <s v="Beneš"/>
    <n v="2"/>
    <n v="1538"/>
    <n v="0.02"/>
    <n v="3076"/>
    <n v="2068.9899999999998"/>
    <x v="241"/>
    <n v="0.32737646293888173"/>
    <x v="0"/>
    <x v="1"/>
  </r>
  <r>
    <x v="213"/>
    <x v="242"/>
    <s v="Orion a.s."/>
    <x v="0"/>
    <x v="2"/>
    <x v="0"/>
    <x v="2"/>
    <x v="2"/>
    <x v="23"/>
    <s v="Svoboda"/>
    <n v="10"/>
    <n v="306"/>
    <n v="0.05"/>
    <n v="3060"/>
    <n v="2182.48"/>
    <x v="242"/>
    <n v="0.28677124183006536"/>
    <x v="0"/>
    <x v="0"/>
  </r>
  <r>
    <x v="214"/>
    <x v="243"/>
    <s v="Radek Černý"/>
    <x v="1"/>
    <x v="1"/>
    <x v="0"/>
    <x v="2"/>
    <x v="1"/>
    <x v="18"/>
    <s v="Beneš"/>
    <n v="3"/>
    <n v="1008"/>
    <n v="7.0000000000000007E-2"/>
    <n v="3024"/>
    <n v="2325.92"/>
    <x v="243"/>
    <n v="0.23084656084656083"/>
    <x v="0"/>
    <x v="11"/>
  </r>
  <r>
    <x v="215"/>
    <x v="244"/>
    <s v="David Procházka"/>
    <x v="1"/>
    <x v="0"/>
    <x v="0"/>
    <x v="0"/>
    <x v="1"/>
    <x v="18"/>
    <s v="Kučera"/>
    <n v="2"/>
    <n v="1510"/>
    <n v="0.06"/>
    <n v="3020"/>
    <n v="2025.01"/>
    <x v="244"/>
    <n v="0.32946688741721852"/>
    <x v="1"/>
    <x v="3"/>
  </r>
  <r>
    <x v="197"/>
    <x v="245"/>
    <s v="Jiří Horák"/>
    <x v="1"/>
    <x v="2"/>
    <x v="0"/>
    <x v="2"/>
    <x v="0"/>
    <x v="20"/>
    <s v="Novák"/>
    <n v="5"/>
    <n v="602"/>
    <n v="0.05"/>
    <n v="3010"/>
    <n v="2309.33"/>
    <x v="245"/>
    <n v="0.23278073089700999"/>
    <x v="1"/>
    <x v="8"/>
  </r>
  <r>
    <x v="216"/>
    <x v="246"/>
    <s v="Václav Beneš"/>
    <x v="1"/>
    <x v="2"/>
    <x v="0"/>
    <x v="0"/>
    <x v="3"/>
    <x v="8"/>
    <s v="Veselý"/>
    <n v="4"/>
    <n v="750"/>
    <n v="0.02"/>
    <n v="3000"/>
    <n v="2310.12"/>
    <x v="246"/>
    <n v="0.22996000000000003"/>
    <x v="1"/>
    <x v="11"/>
  </r>
  <r>
    <x v="217"/>
    <x v="247"/>
    <s v="Ondřej Černý"/>
    <x v="1"/>
    <x v="0"/>
    <x v="0"/>
    <x v="2"/>
    <x v="3"/>
    <x v="13"/>
    <s v="Beneš"/>
    <n v="2"/>
    <n v="1498"/>
    <n v="0.12"/>
    <n v="2996"/>
    <n v="1858.08"/>
    <x v="247"/>
    <n v="0.37981308411214953"/>
    <x v="0"/>
    <x v="3"/>
  </r>
  <r>
    <x v="218"/>
    <x v="248"/>
    <s v="Gama s.r.o."/>
    <x v="0"/>
    <x v="0"/>
    <x v="0"/>
    <x v="1"/>
    <x v="1"/>
    <x v="24"/>
    <s v="Beneš"/>
    <n v="7"/>
    <n v="423"/>
    <n v="0.05"/>
    <n v="2961"/>
    <n v="2051.96"/>
    <x v="248"/>
    <n v="0.30700439040864569"/>
    <x v="2"/>
    <x v="11"/>
  </r>
  <r>
    <x v="219"/>
    <x v="249"/>
    <s v="Markéta Pokorný"/>
    <x v="1"/>
    <x v="2"/>
    <x v="0"/>
    <x v="2"/>
    <x v="0"/>
    <x v="16"/>
    <s v="Veselý"/>
    <n v="4"/>
    <n v="729"/>
    <n v="0.14000000000000001"/>
    <n v="2916"/>
    <n v="1908.3"/>
    <x v="249"/>
    <n v="0.34557613168724283"/>
    <x v="1"/>
    <x v="9"/>
  </r>
  <r>
    <x v="220"/>
    <x v="250"/>
    <s v="Tereza Horák"/>
    <x v="1"/>
    <x v="0"/>
    <x v="0"/>
    <x v="2"/>
    <x v="0"/>
    <x v="10"/>
    <s v="Fiala"/>
    <n v="4"/>
    <n v="728"/>
    <n v="7.0000000000000007E-2"/>
    <n v="2912"/>
    <n v="2206.91"/>
    <x v="250"/>
    <n v="0.24213255494505501"/>
    <x v="0"/>
    <x v="9"/>
  </r>
  <r>
    <x v="221"/>
    <x v="251"/>
    <s v="Martin Jelínek"/>
    <x v="1"/>
    <x v="2"/>
    <x v="0"/>
    <x v="0"/>
    <x v="0"/>
    <x v="9"/>
    <s v="Beneš"/>
    <n v="2"/>
    <n v="1450"/>
    <n v="0.1"/>
    <n v="2900"/>
    <n v="2152.7600000000002"/>
    <x v="251"/>
    <n v="0.25766896551724128"/>
    <x v="1"/>
    <x v="7"/>
  </r>
  <r>
    <x v="35"/>
    <x v="252"/>
    <s v="Markéta Novák"/>
    <x v="1"/>
    <x v="1"/>
    <x v="0"/>
    <x v="0"/>
    <x v="0"/>
    <x v="10"/>
    <s v="Kučera"/>
    <n v="4"/>
    <n v="716"/>
    <n v="0.22"/>
    <n v="2864"/>
    <n v="1915.35"/>
    <x v="252"/>
    <n v="0.33123254189944135"/>
    <x v="1"/>
    <x v="5"/>
  </r>
  <r>
    <x v="222"/>
    <x v="253"/>
    <s v="Veronika Dvořák"/>
    <x v="1"/>
    <x v="1"/>
    <x v="0"/>
    <x v="2"/>
    <x v="1"/>
    <x v="24"/>
    <s v="Beneš"/>
    <n v="4"/>
    <n v="715"/>
    <n v="0.05"/>
    <n v="2860"/>
    <n v="2093.06"/>
    <x v="253"/>
    <n v="0.26816083916083916"/>
    <x v="2"/>
    <x v="6"/>
  </r>
  <r>
    <x v="223"/>
    <x v="254"/>
    <s v="Jiří Němec"/>
    <x v="1"/>
    <x v="0"/>
    <x v="0"/>
    <x v="0"/>
    <x v="0"/>
    <x v="20"/>
    <s v="Fiala"/>
    <n v="4"/>
    <n v="710"/>
    <n v="0.1"/>
    <n v="2840"/>
    <n v="2127.52"/>
    <x v="254"/>
    <n v="0.25087323943661971"/>
    <x v="2"/>
    <x v="11"/>
  </r>
  <r>
    <x v="24"/>
    <x v="255"/>
    <s v="Daniel Svoboda"/>
    <x v="1"/>
    <x v="0"/>
    <x v="0"/>
    <x v="0"/>
    <x v="2"/>
    <x v="12"/>
    <s v="Svoboda"/>
    <n v="2"/>
    <n v="1416"/>
    <n v="0.16"/>
    <n v="2832"/>
    <n v="1701.36"/>
    <x v="255"/>
    <n v="0.39923728813559328"/>
    <x v="0"/>
    <x v="8"/>
  </r>
  <r>
    <x v="213"/>
    <x v="256"/>
    <s v="Alena Novák"/>
    <x v="1"/>
    <x v="0"/>
    <x v="0"/>
    <x v="0"/>
    <x v="1"/>
    <x v="24"/>
    <s v="Novák"/>
    <n v="6"/>
    <n v="471"/>
    <n v="0"/>
    <n v="2826"/>
    <n v="2206"/>
    <x v="256"/>
    <n v="0.21939136588818117"/>
    <x v="0"/>
    <x v="0"/>
  </r>
  <r>
    <x v="224"/>
    <x v="257"/>
    <s v="Omega s.r.o."/>
    <x v="0"/>
    <x v="2"/>
    <x v="0"/>
    <x v="2"/>
    <x v="1"/>
    <x v="24"/>
    <s v="Kučera"/>
    <n v="8"/>
    <n v="350"/>
    <n v="0.14000000000000001"/>
    <n v="2800"/>
    <n v="1548.68"/>
    <x v="257"/>
    <n v="0.44689999999999996"/>
    <x v="0"/>
    <x v="4"/>
  </r>
  <r>
    <x v="225"/>
    <x v="258"/>
    <s v="Petr Černý"/>
    <x v="1"/>
    <x v="0"/>
    <x v="0"/>
    <x v="0"/>
    <x v="0"/>
    <x v="7"/>
    <s v="Novák"/>
    <n v="1"/>
    <n v="2780"/>
    <n v="0.13"/>
    <n v="2780"/>
    <n v="2020.76"/>
    <x v="258"/>
    <n v="0.27310791366906473"/>
    <x v="0"/>
    <x v="10"/>
  </r>
  <r>
    <x v="226"/>
    <x v="259"/>
    <s v="Orion a.s."/>
    <x v="0"/>
    <x v="3"/>
    <x v="0"/>
    <x v="2"/>
    <x v="1"/>
    <x v="24"/>
    <s v="Beneš"/>
    <n v="8"/>
    <n v="341"/>
    <n v="0.13"/>
    <n v="2728"/>
    <n v="1488.55"/>
    <x v="259"/>
    <n v="0.45434384164222874"/>
    <x v="2"/>
    <x v="11"/>
  </r>
  <r>
    <x v="227"/>
    <x v="260"/>
    <s v="Anna Kučera"/>
    <x v="1"/>
    <x v="2"/>
    <x v="0"/>
    <x v="2"/>
    <x v="1"/>
    <x v="18"/>
    <s v="Fiala"/>
    <n v="2"/>
    <n v="1334"/>
    <n v="0.12"/>
    <n v="2668"/>
    <n v="1877.19"/>
    <x v="260"/>
    <n v="0.29640554722638679"/>
    <x v="0"/>
    <x v="5"/>
  </r>
  <r>
    <x v="228"/>
    <x v="261"/>
    <s v="Kateřina Pospíšil"/>
    <x v="1"/>
    <x v="0"/>
    <x v="0"/>
    <x v="2"/>
    <x v="0"/>
    <x v="9"/>
    <s v="Beneš"/>
    <n v="2"/>
    <n v="1311"/>
    <n v="0.08"/>
    <n v="2622"/>
    <n v="1987.67"/>
    <x v="261"/>
    <n v="0.24192601067887107"/>
    <x v="1"/>
    <x v="6"/>
  </r>
  <r>
    <x v="229"/>
    <x v="262"/>
    <s v="Kateřina Pokorný"/>
    <x v="1"/>
    <x v="2"/>
    <x v="0"/>
    <x v="2"/>
    <x v="3"/>
    <x v="21"/>
    <s v="Fiala"/>
    <n v="4"/>
    <n v="652"/>
    <n v="0.12"/>
    <n v="2608"/>
    <n v="1711.33"/>
    <x v="262"/>
    <n v="0.34381518404907979"/>
    <x v="2"/>
    <x v="8"/>
  </r>
  <r>
    <x v="223"/>
    <x v="263"/>
    <s v="Karel Dvořák"/>
    <x v="1"/>
    <x v="2"/>
    <x v="0"/>
    <x v="0"/>
    <x v="0"/>
    <x v="20"/>
    <s v="Dvořák"/>
    <n v="3"/>
    <n v="869"/>
    <n v="0.11"/>
    <n v="2607"/>
    <n v="1787.96"/>
    <x v="263"/>
    <n v="0.31416954353663212"/>
    <x v="2"/>
    <x v="11"/>
  </r>
  <r>
    <x v="230"/>
    <x v="264"/>
    <s v="Alena Fiala"/>
    <x v="1"/>
    <x v="0"/>
    <x v="0"/>
    <x v="0"/>
    <x v="0"/>
    <x v="16"/>
    <s v="Dvořák"/>
    <n v="2"/>
    <n v="1296"/>
    <n v="0.08"/>
    <n v="2592"/>
    <n v="1937.58"/>
    <x v="264"/>
    <n v="0.25247685185185187"/>
    <x v="0"/>
    <x v="6"/>
  </r>
  <r>
    <x v="231"/>
    <x v="265"/>
    <s v="Alena Beneš"/>
    <x v="1"/>
    <x v="1"/>
    <x v="0"/>
    <x v="2"/>
    <x v="1"/>
    <x v="17"/>
    <s v="Fiala"/>
    <n v="3"/>
    <n v="853"/>
    <n v="0"/>
    <n v="2559"/>
    <n v="2006.75"/>
    <x v="265"/>
    <n v="0.21580695584212584"/>
    <x v="1"/>
    <x v="0"/>
  </r>
  <r>
    <x v="232"/>
    <x v="266"/>
    <s v="Anna Fiala"/>
    <x v="1"/>
    <x v="1"/>
    <x v="0"/>
    <x v="0"/>
    <x v="1"/>
    <x v="24"/>
    <s v="Novák"/>
    <n v="4"/>
    <n v="637"/>
    <n v="0.04"/>
    <n v="2548"/>
    <n v="1671.44"/>
    <x v="266"/>
    <n v="0.34401883830455254"/>
    <x v="0"/>
    <x v="10"/>
  </r>
  <r>
    <x v="169"/>
    <x v="267"/>
    <s v="Michal Hájek"/>
    <x v="1"/>
    <x v="1"/>
    <x v="0"/>
    <x v="2"/>
    <x v="0"/>
    <x v="16"/>
    <s v="Svoboda"/>
    <n v="2"/>
    <n v="1265"/>
    <n v="0.09"/>
    <n v="2530"/>
    <n v="1993.53"/>
    <x v="267"/>
    <n v="0.21204347826086958"/>
    <x v="0"/>
    <x v="0"/>
  </r>
  <r>
    <x v="233"/>
    <x v="268"/>
    <s v="Kappa s.r.o."/>
    <x v="0"/>
    <x v="2"/>
    <x v="0"/>
    <x v="1"/>
    <x v="2"/>
    <x v="23"/>
    <s v="Beneš"/>
    <n v="9"/>
    <n v="280"/>
    <n v="0"/>
    <n v="2520"/>
    <n v="1536.3"/>
    <x v="268"/>
    <n v="0.3903571428571429"/>
    <x v="1"/>
    <x v="7"/>
  </r>
  <r>
    <x v="25"/>
    <x v="269"/>
    <s v="Veronika Němec"/>
    <x v="1"/>
    <x v="1"/>
    <x v="0"/>
    <x v="0"/>
    <x v="3"/>
    <x v="13"/>
    <s v="Dvořák"/>
    <n v="2"/>
    <n v="1250"/>
    <n v="0.02"/>
    <n v="2500"/>
    <n v="1588.64"/>
    <x v="269"/>
    <n v="0.36454399999999998"/>
    <x v="1"/>
    <x v="4"/>
  </r>
  <r>
    <x v="234"/>
    <x v="270"/>
    <s v="Ondřej Dvořák"/>
    <x v="1"/>
    <x v="0"/>
    <x v="0"/>
    <x v="2"/>
    <x v="1"/>
    <x v="17"/>
    <s v="Dvořák"/>
    <n v="2"/>
    <n v="1249"/>
    <n v="0.09"/>
    <n v="2498"/>
    <n v="1583.17"/>
    <x v="270"/>
    <n v="0.36622497998398718"/>
    <x v="0"/>
    <x v="1"/>
  </r>
  <r>
    <x v="235"/>
    <x v="271"/>
    <s v="Vltava s.r.o."/>
    <x v="0"/>
    <x v="3"/>
    <x v="0"/>
    <x v="1"/>
    <x v="3"/>
    <x v="19"/>
    <s v="Fiala"/>
    <n v="3"/>
    <n v="819"/>
    <n v="0.08"/>
    <n v="2457"/>
    <n v="1581"/>
    <x v="271"/>
    <n v="0.35653235653235654"/>
    <x v="0"/>
    <x v="0"/>
  </r>
  <r>
    <x v="236"/>
    <x v="272"/>
    <s v="Eliška Horák"/>
    <x v="1"/>
    <x v="0"/>
    <x v="0"/>
    <x v="2"/>
    <x v="0"/>
    <x v="11"/>
    <s v="Fiala"/>
    <n v="2"/>
    <n v="1226"/>
    <n v="0.16"/>
    <n v="2452"/>
    <n v="1668.89"/>
    <x v="272"/>
    <n v="0.31937601957585643"/>
    <x v="2"/>
    <x v="8"/>
  </r>
  <r>
    <x v="237"/>
    <x v="273"/>
    <s v="Lukáš Novotný"/>
    <x v="1"/>
    <x v="0"/>
    <x v="0"/>
    <x v="2"/>
    <x v="1"/>
    <x v="17"/>
    <s v="Kučera"/>
    <n v="2"/>
    <n v="1216"/>
    <n v="0.28000000000000003"/>
    <n v="2432"/>
    <n v="1067.21"/>
    <x v="273"/>
    <n v="0.56118009868421048"/>
    <x v="0"/>
    <x v="9"/>
  </r>
  <r>
    <x v="128"/>
    <x v="274"/>
    <s v="Orion a.s."/>
    <x v="0"/>
    <x v="1"/>
    <x v="0"/>
    <x v="1"/>
    <x v="3"/>
    <x v="25"/>
    <s v="Dvořák"/>
    <n v="11"/>
    <n v="221"/>
    <n v="0.19"/>
    <n v="2431"/>
    <n v="1527.49"/>
    <x v="274"/>
    <n v="0.37166186754422048"/>
    <x v="1"/>
    <x v="5"/>
  </r>
  <r>
    <x v="160"/>
    <x v="275"/>
    <s v="Delta a.s."/>
    <x v="0"/>
    <x v="2"/>
    <x v="0"/>
    <x v="0"/>
    <x v="3"/>
    <x v="25"/>
    <s v="Dvořák"/>
    <n v="9"/>
    <n v="268"/>
    <n v="0.09"/>
    <n v="2412"/>
    <n v="1093.48"/>
    <x v="275"/>
    <n v="0.54665008291873962"/>
    <x v="1"/>
    <x v="7"/>
  </r>
  <r>
    <x v="238"/>
    <x v="276"/>
    <s v="Veronika Dvořák"/>
    <x v="1"/>
    <x v="1"/>
    <x v="0"/>
    <x v="2"/>
    <x v="1"/>
    <x v="18"/>
    <s v="Král"/>
    <n v="2"/>
    <n v="1190"/>
    <n v="0.05"/>
    <n v="2380"/>
    <n v="1346.61"/>
    <x v="276"/>
    <n v="0.43419747899159666"/>
    <x v="2"/>
    <x v="1"/>
  </r>
  <r>
    <x v="239"/>
    <x v="277"/>
    <s v="Karolína Černý"/>
    <x v="1"/>
    <x v="2"/>
    <x v="0"/>
    <x v="2"/>
    <x v="1"/>
    <x v="17"/>
    <s v="Svoboda"/>
    <n v="2"/>
    <n v="1190"/>
    <n v="0"/>
    <n v="2380"/>
    <n v="1471.36"/>
    <x v="277"/>
    <n v="0.38178151260504206"/>
    <x v="0"/>
    <x v="8"/>
  </r>
  <r>
    <x v="240"/>
    <x v="278"/>
    <s v="Eliška Pokorný"/>
    <x v="1"/>
    <x v="2"/>
    <x v="0"/>
    <x v="2"/>
    <x v="1"/>
    <x v="18"/>
    <s v="Beneš"/>
    <n v="3"/>
    <n v="789"/>
    <n v="0.11"/>
    <n v="2367"/>
    <n v="1797.49"/>
    <x v="278"/>
    <n v="0.24060414026193494"/>
    <x v="1"/>
    <x v="1"/>
  </r>
  <r>
    <x v="241"/>
    <x v="279"/>
    <s v="Lucie Němec"/>
    <x v="1"/>
    <x v="0"/>
    <x v="0"/>
    <x v="2"/>
    <x v="0"/>
    <x v="9"/>
    <s v="Novák"/>
    <n v="1"/>
    <n v="2325"/>
    <n v="0.04"/>
    <n v="2325"/>
    <n v="1862.22"/>
    <x v="279"/>
    <n v="0.19904516129032257"/>
    <x v="1"/>
    <x v="3"/>
  </r>
  <r>
    <x v="242"/>
    <x v="280"/>
    <s v="Tomáš Novák"/>
    <x v="1"/>
    <x v="3"/>
    <x v="0"/>
    <x v="0"/>
    <x v="0"/>
    <x v="16"/>
    <s v="Svoboda"/>
    <n v="2"/>
    <n v="1158"/>
    <n v="0.05"/>
    <n v="2316"/>
    <n v="1926.6"/>
    <x v="280"/>
    <n v="0.16813471502590677"/>
    <x v="2"/>
    <x v="6"/>
  </r>
  <r>
    <x v="243"/>
    <x v="281"/>
    <s v="Jiří Černý"/>
    <x v="1"/>
    <x v="1"/>
    <x v="0"/>
    <x v="2"/>
    <x v="0"/>
    <x v="16"/>
    <s v="Novák"/>
    <n v="3"/>
    <n v="769"/>
    <n v="0.06"/>
    <n v="2307"/>
    <n v="1737.56"/>
    <x v="281"/>
    <n v="0.2468313827481578"/>
    <x v="2"/>
    <x v="11"/>
  </r>
  <r>
    <x v="244"/>
    <x v="282"/>
    <s v="Kappa s.r.o."/>
    <x v="0"/>
    <x v="1"/>
    <x v="0"/>
    <x v="1"/>
    <x v="3"/>
    <x v="22"/>
    <s v="Král"/>
    <n v="7"/>
    <n v="329"/>
    <n v="0.11"/>
    <n v="2303"/>
    <n v="1267.23"/>
    <x v="282"/>
    <n v="0.44974815458098133"/>
    <x v="1"/>
    <x v="7"/>
  </r>
  <r>
    <x v="245"/>
    <x v="283"/>
    <s v="Petra Jelínek"/>
    <x v="1"/>
    <x v="1"/>
    <x v="0"/>
    <x v="2"/>
    <x v="0"/>
    <x v="16"/>
    <s v="Novák"/>
    <n v="2"/>
    <n v="1150"/>
    <n v="0.14000000000000001"/>
    <n v="2300"/>
    <n v="1765.6"/>
    <x v="283"/>
    <n v="0.23234782608695656"/>
    <x v="0"/>
    <x v="5"/>
  </r>
  <r>
    <x v="246"/>
    <x v="284"/>
    <s v="Martin Novotný"/>
    <x v="1"/>
    <x v="0"/>
    <x v="0"/>
    <x v="0"/>
    <x v="3"/>
    <x v="19"/>
    <s v="Král"/>
    <n v="3"/>
    <n v="763"/>
    <n v="0.01"/>
    <n v="2289"/>
    <n v="1319.63"/>
    <x v="284"/>
    <n v="0.4234906072520751"/>
    <x v="0"/>
    <x v="6"/>
  </r>
  <r>
    <x v="11"/>
    <x v="285"/>
    <s v="Jan Procházka"/>
    <x v="1"/>
    <x v="2"/>
    <x v="0"/>
    <x v="2"/>
    <x v="1"/>
    <x v="14"/>
    <s v="Kučera"/>
    <n v="1"/>
    <n v="2281"/>
    <n v="0.01"/>
    <n v="2281"/>
    <n v="1831.37"/>
    <x v="285"/>
    <n v="0.19711968434896979"/>
    <x v="1"/>
    <x v="7"/>
  </r>
  <r>
    <x v="162"/>
    <x v="286"/>
    <s v="Ondřej Novotný"/>
    <x v="1"/>
    <x v="3"/>
    <x v="0"/>
    <x v="2"/>
    <x v="0"/>
    <x v="16"/>
    <s v="Beneš"/>
    <n v="2"/>
    <n v="1123"/>
    <n v="0.09"/>
    <n v="2246"/>
    <n v="1545.57"/>
    <x v="286"/>
    <n v="0.31185663401602853"/>
    <x v="1"/>
    <x v="1"/>
  </r>
  <r>
    <x v="247"/>
    <x v="287"/>
    <s v="Jan Pokorný"/>
    <x v="1"/>
    <x v="2"/>
    <x v="0"/>
    <x v="0"/>
    <x v="3"/>
    <x v="21"/>
    <s v="Kučera"/>
    <n v="3"/>
    <n v="748"/>
    <n v="7.0000000000000007E-2"/>
    <n v="2244"/>
    <n v="1396.21"/>
    <x v="287"/>
    <n v="0.37780303030303031"/>
    <x v="0"/>
    <x v="2"/>
  </r>
  <r>
    <x v="248"/>
    <x v="288"/>
    <s v="Martina Novák"/>
    <x v="1"/>
    <x v="3"/>
    <x v="0"/>
    <x v="0"/>
    <x v="1"/>
    <x v="17"/>
    <s v="Dvořák"/>
    <n v="2"/>
    <n v="1106"/>
    <n v="0.11"/>
    <n v="2212"/>
    <n v="1573.76"/>
    <x v="288"/>
    <n v="0.28853526220614828"/>
    <x v="1"/>
    <x v="7"/>
  </r>
  <r>
    <x v="249"/>
    <x v="289"/>
    <s v="Michal Beneš"/>
    <x v="1"/>
    <x v="2"/>
    <x v="0"/>
    <x v="2"/>
    <x v="1"/>
    <x v="18"/>
    <s v="Veselý"/>
    <n v="3"/>
    <n v="725"/>
    <n v="0.04"/>
    <n v="2175"/>
    <n v="1652.55"/>
    <x v="289"/>
    <n v="0.24020689655172417"/>
    <x v="2"/>
    <x v="1"/>
  </r>
  <r>
    <x v="250"/>
    <x v="290"/>
    <s v="Petra Beneš"/>
    <x v="1"/>
    <x v="1"/>
    <x v="0"/>
    <x v="0"/>
    <x v="0"/>
    <x v="16"/>
    <s v="Veselý"/>
    <n v="3"/>
    <n v="720"/>
    <n v="0.05"/>
    <n v="2160"/>
    <n v="1696.85"/>
    <x v="290"/>
    <n v="0.21442129629629633"/>
    <x v="1"/>
    <x v="5"/>
  </r>
  <r>
    <x v="203"/>
    <x v="291"/>
    <s v="Filip Černý"/>
    <x v="1"/>
    <x v="1"/>
    <x v="0"/>
    <x v="2"/>
    <x v="2"/>
    <x v="12"/>
    <s v="Kučera"/>
    <n v="1"/>
    <n v="2139"/>
    <n v="0.15"/>
    <n v="2139"/>
    <n v="1396.46"/>
    <x v="291"/>
    <n v="0.34714352501168771"/>
    <x v="2"/>
    <x v="8"/>
  </r>
  <r>
    <x v="251"/>
    <x v="292"/>
    <s v="Kappa s.r.o."/>
    <x v="0"/>
    <x v="2"/>
    <x v="0"/>
    <x v="1"/>
    <x v="3"/>
    <x v="22"/>
    <s v="Fiala"/>
    <n v="8"/>
    <n v="267"/>
    <n v="0"/>
    <n v="2136"/>
    <n v="1874.39"/>
    <x v="292"/>
    <n v="0.12247659176029958"/>
    <x v="0"/>
    <x v="2"/>
  </r>
  <r>
    <x v="125"/>
    <x v="293"/>
    <s v="Veronika Pospíšil"/>
    <x v="1"/>
    <x v="3"/>
    <x v="0"/>
    <x v="0"/>
    <x v="2"/>
    <x v="12"/>
    <s v="Svoboda"/>
    <n v="1"/>
    <n v="2128"/>
    <n v="0.1"/>
    <n v="2128"/>
    <n v="1455.46"/>
    <x v="293"/>
    <n v="0.31604323308270676"/>
    <x v="0"/>
    <x v="2"/>
  </r>
  <r>
    <x v="252"/>
    <x v="294"/>
    <s v="Petr Dvořák"/>
    <x v="1"/>
    <x v="1"/>
    <x v="0"/>
    <x v="2"/>
    <x v="3"/>
    <x v="21"/>
    <s v="Král"/>
    <n v="5"/>
    <n v="422"/>
    <n v="7.0000000000000007E-2"/>
    <n v="2110"/>
    <n v="1229.95"/>
    <x v="294"/>
    <n v="0.417085308056872"/>
    <x v="2"/>
    <x v="11"/>
  </r>
  <r>
    <x v="241"/>
    <x v="295"/>
    <s v="Filip Veselý"/>
    <x v="1"/>
    <x v="2"/>
    <x v="0"/>
    <x v="2"/>
    <x v="1"/>
    <x v="24"/>
    <s v="Veselý"/>
    <n v="4"/>
    <n v="525"/>
    <n v="0.08"/>
    <n v="2100"/>
    <n v="1399.21"/>
    <x v="295"/>
    <n v="0.33370952380952379"/>
    <x v="1"/>
    <x v="3"/>
  </r>
  <r>
    <x v="95"/>
    <x v="296"/>
    <s v="Lukáš Fiala"/>
    <x v="1"/>
    <x v="1"/>
    <x v="0"/>
    <x v="0"/>
    <x v="2"/>
    <x v="12"/>
    <s v="Král"/>
    <n v="1"/>
    <n v="2097"/>
    <n v="0.01"/>
    <n v="2097"/>
    <n v="1325.43"/>
    <x v="296"/>
    <n v="0.36793991416309008"/>
    <x v="1"/>
    <x v="0"/>
  </r>
  <r>
    <x v="253"/>
    <x v="297"/>
    <s v="Eliška Novák"/>
    <x v="1"/>
    <x v="3"/>
    <x v="0"/>
    <x v="2"/>
    <x v="0"/>
    <x v="16"/>
    <s v="Fiala"/>
    <n v="2"/>
    <n v="1045"/>
    <n v="0.1"/>
    <n v="2090"/>
    <n v="1531.25"/>
    <x v="297"/>
    <n v="0.2673444976076555"/>
    <x v="1"/>
    <x v="1"/>
  </r>
  <r>
    <x v="254"/>
    <x v="298"/>
    <s v="Kappa s.r.o."/>
    <x v="0"/>
    <x v="3"/>
    <x v="0"/>
    <x v="0"/>
    <x v="1"/>
    <x v="24"/>
    <s v="Dvořák"/>
    <n v="8"/>
    <n v="255"/>
    <n v="0.08"/>
    <n v="2040"/>
    <n v="1290.26"/>
    <x v="298"/>
    <n v="0.36751960784313725"/>
    <x v="1"/>
    <x v="1"/>
  </r>
  <r>
    <x v="255"/>
    <x v="299"/>
    <s v="Karolína Veselý"/>
    <x v="1"/>
    <x v="2"/>
    <x v="0"/>
    <x v="2"/>
    <x v="1"/>
    <x v="15"/>
    <s v="Král"/>
    <n v="2"/>
    <n v="1015"/>
    <n v="0.1"/>
    <n v="2030"/>
    <n v="1281.6500000000001"/>
    <x v="299"/>
    <n v="0.36864532019704427"/>
    <x v="0"/>
    <x v="1"/>
  </r>
  <r>
    <x v="256"/>
    <x v="300"/>
    <s v="Vltava s.r.o."/>
    <x v="0"/>
    <x v="1"/>
    <x v="0"/>
    <x v="1"/>
    <x v="3"/>
    <x v="22"/>
    <s v="Král"/>
    <n v="8"/>
    <n v="253"/>
    <n v="0.13"/>
    <n v="2024"/>
    <n v="1047.1199999999999"/>
    <x v="300"/>
    <n v="0.48264822134387358"/>
    <x v="0"/>
    <x v="3"/>
  </r>
  <r>
    <x v="257"/>
    <x v="301"/>
    <s v="Tereza Hájek"/>
    <x v="1"/>
    <x v="0"/>
    <x v="0"/>
    <x v="0"/>
    <x v="1"/>
    <x v="17"/>
    <s v="Novák"/>
    <n v="3"/>
    <n v="671"/>
    <n v="0.05"/>
    <n v="2013"/>
    <n v="1469.27"/>
    <x v="301"/>
    <n v="0.27010928961748637"/>
    <x v="0"/>
    <x v="1"/>
  </r>
  <r>
    <x v="13"/>
    <x v="302"/>
    <s v="Petra Jelínek"/>
    <x v="1"/>
    <x v="2"/>
    <x v="0"/>
    <x v="2"/>
    <x v="1"/>
    <x v="24"/>
    <s v="Fiala"/>
    <n v="6"/>
    <n v="334"/>
    <n v="0.2"/>
    <n v="2004"/>
    <n v="990.79"/>
    <x v="302"/>
    <n v="0.50559381237524947"/>
    <x v="1"/>
    <x v="8"/>
  </r>
  <r>
    <x v="85"/>
    <x v="303"/>
    <s v="Tereza Horák"/>
    <x v="1"/>
    <x v="0"/>
    <x v="0"/>
    <x v="0"/>
    <x v="1"/>
    <x v="17"/>
    <s v="Fiala"/>
    <n v="2"/>
    <n v="999"/>
    <n v="0.05"/>
    <n v="1998"/>
    <n v="1307.54"/>
    <x v="303"/>
    <n v="0.34557557557557561"/>
    <x v="2"/>
    <x v="1"/>
  </r>
  <r>
    <x v="93"/>
    <x v="304"/>
    <s v="Radek Hájek"/>
    <x v="1"/>
    <x v="0"/>
    <x v="0"/>
    <x v="0"/>
    <x v="0"/>
    <x v="11"/>
    <s v="Veselý"/>
    <n v="1"/>
    <n v="1995"/>
    <n v="0.1"/>
    <n v="1995"/>
    <n v="1527"/>
    <x v="304"/>
    <n v="0.23458646616541354"/>
    <x v="1"/>
    <x v="4"/>
  </r>
  <r>
    <x v="258"/>
    <x v="305"/>
    <s v="Veronika Pokorný"/>
    <x v="1"/>
    <x v="0"/>
    <x v="0"/>
    <x v="0"/>
    <x v="1"/>
    <x v="15"/>
    <s v="Král"/>
    <n v="3"/>
    <n v="664"/>
    <n v="7.0000000000000007E-2"/>
    <n v="1992"/>
    <n v="1520.19"/>
    <x v="305"/>
    <n v="0.2368524096385542"/>
    <x v="1"/>
    <x v="0"/>
  </r>
  <r>
    <x v="232"/>
    <x v="306"/>
    <s v="Martin Fiala"/>
    <x v="1"/>
    <x v="1"/>
    <x v="0"/>
    <x v="2"/>
    <x v="0"/>
    <x v="20"/>
    <s v="Svoboda"/>
    <n v="4"/>
    <n v="496"/>
    <n v="0.1"/>
    <n v="1984"/>
    <n v="1578.64"/>
    <x v="306"/>
    <n v="0.2043145161290322"/>
    <x v="0"/>
    <x v="10"/>
  </r>
  <r>
    <x v="259"/>
    <x v="307"/>
    <s v="Petra Kučera"/>
    <x v="1"/>
    <x v="1"/>
    <x v="0"/>
    <x v="2"/>
    <x v="1"/>
    <x v="15"/>
    <s v="Kučera"/>
    <n v="3"/>
    <n v="656"/>
    <n v="7.0000000000000007E-2"/>
    <n v="1968"/>
    <n v="1452.47"/>
    <x v="307"/>
    <n v="0.26195630081300814"/>
    <x v="2"/>
    <x v="1"/>
  </r>
  <r>
    <x v="260"/>
    <x v="308"/>
    <s v="Beta a.s."/>
    <x v="0"/>
    <x v="1"/>
    <x v="0"/>
    <x v="1"/>
    <x v="1"/>
    <x v="15"/>
    <s v="Král"/>
    <n v="3"/>
    <n v="641"/>
    <n v="0.02"/>
    <n v="1923"/>
    <n v="1223.04"/>
    <x v="308"/>
    <n v="0.36399375975039006"/>
    <x v="1"/>
    <x v="4"/>
  </r>
  <r>
    <x v="261"/>
    <x v="309"/>
    <s v="Orion a.s."/>
    <x v="0"/>
    <x v="3"/>
    <x v="0"/>
    <x v="1"/>
    <x v="3"/>
    <x v="25"/>
    <s v="Kučera"/>
    <n v="9"/>
    <n v="212"/>
    <n v="0.12"/>
    <n v="1908"/>
    <n v="1121.44"/>
    <x v="309"/>
    <n v="0.41224318658280917"/>
    <x v="0"/>
    <x v="5"/>
  </r>
  <r>
    <x v="262"/>
    <x v="310"/>
    <s v="Anna Fiala"/>
    <x v="1"/>
    <x v="1"/>
    <x v="0"/>
    <x v="2"/>
    <x v="3"/>
    <x v="21"/>
    <s v="Král"/>
    <n v="4"/>
    <n v="476"/>
    <n v="0.09"/>
    <n v="1904"/>
    <n v="1207.3"/>
    <x v="310"/>
    <n v="0.36591386554621852"/>
    <x v="0"/>
    <x v="10"/>
  </r>
  <r>
    <x v="263"/>
    <x v="311"/>
    <s v="Lukáš Veselý"/>
    <x v="1"/>
    <x v="0"/>
    <x v="0"/>
    <x v="0"/>
    <x v="0"/>
    <x v="20"/>
    <s v="Beneš"/>
    <n v="5"/>
    <n v="375"/>
    <n v="0"/>
    <n v="1875"/>
    <n v="1606.33"/>
    <x v="311"/>
    <n v="0.14329066666666671"/>
    <x v="1"/>
    <x v="6"/>
  </r>
  <r>
    <x v="264"/>
    <x v="312"/>
    <s v="Lucie Černý"/>
    <x v="1"/>
    <x v="0"/>
    <x v="0"/>
    <x v="0"/>
    <x v="3"/>
    <x v="21"/>
    <s v="Dvořák"/>
    <n v="3"/>
    <n v="620"/>
    <n v="7.0000000000000007E-2"/>
    <n v="1860"/>
    <n v="991.56"/>
    <x v="312"/>
    <n v="0.46690322580645166"/>
    <x v="1"/>
    <x v="10"/>
  </r>
  <r>
    <x v="265"/>
    <x v="313"/>
    <s v="Lucie Veselý"/>
    <x v="1"/>
    <x v="3"/>
    <x v="0"/>
    <x v="0"/>
    <x v="3"/>
    <x v="19"/>
    <s v="Král"/>
    <n v="3"/>
    <n v="615"/>
    <n v="0.09"/>
    <n v="1845"/>
    <n v="834.33"/>
    <x v="313"/>
    <n v="0.54778861788617883"/>
    <x v="1"/>
    <x v="11"/>
  </r>
  <r>
    <x v="6"/>
    <x v="314"/>
    <s v="Vltava s.r.o."/>
    <x v="0"/>
    <x v="1"/>
    <x v="0"/>
    <x v="1"/>
    <x v="2"/>
    <x v="23"/>
    <s v="Veselý"/>
    <n v="8"/>
    <n v="228"/>
    <n v="0.02"/>
    <n v="1824"/>
    <n v="1274.77"/>
    <x v="314"/>
    <n v="0.30111293859649124"/>
    <x v="2"/>
    <x v="4"/>
  </r>
  <r>
    <x v="266"/>
    <x v="315"/>
    <s v="Václav Novotný"/>
    <x v="1"/>
    <x v="0"/>
    <x v="0"/>
    <x v="2"/>
    <x v="1"/>
    <x v="15"/>
    <s v="Novák"/>
    <n v="2"/>
    <n v="908"/>
    <n v="0.01"/>
    <n v="1816"/>
    <n v="1415.88"/>
    <x v="315"/>
    <n v="0.22033039647577088"/>
    <x v="1"/>
    <x v="2"/>
  </r>
  <r>
    <x v="239"/>
    <x v="316"/>
    <s v="Karel Černý"/>
    <x v="1"/>
    <x v="2"/>
    <x v="0"/>
    <x v="2"/>
    <x v="3"/>
    <x v="8"/>
    <s v="Novák"/>
    <n v="2"/>
    <n v="903"/>
    <n v="0.14000000000000001"/>
    <n v="1806"/>
    <n v="933.77"/>
    <x v="316"/>
    <n v="0.48296234772978958"/>
    <x v="0"/>
    <x v="8"/>
  </r>
  <r>
    <x v="267"/>
    <x v="317"/>
    <s v="Kappa s.r.o."/>
    <x v="0"/>
    <x v="2"/>
    <x v="0"/>
    <x v="0"/>
    <x v="3"/>
    <x v="26"/>
    <s v="Beneš"/>
    <n v="8"/>
    <n v="222"/>
    <n v="0.02"/>
    <n v="1776"/>
    <n v="1131.0999999999999"/>
    <x v="317"/>
    <n v="0.36311936936936939"/>
    <x v="0"/>
    <x v="4"/>
  </r>
  <r>
    <x v="2"/>
    <x v="318"/>
    <s v="Jana Beneš"/>
    <x v="1"/>
    <x v="1"/>
    <x v="0"/>
    <x v="0"/>
    <x v="1"/>
    <x v="24"/>
    <s v="Fiala"/>
    <n v="5"/>
    <n v="355"/>
    <n v="0.1"/>
    <n v="1775"/>
    <n v="1299.3599999999999"/>
    <x v="318"/>
    <n v="0.26796619718309866"/>
    <x v="2"/>
    <x v="1"/>
  </r>
  <r>
    <x v="268"/>
    <x v="319"/>
    <s v="Martina Horák"/>
    <x v="1"/>
    <x v="1"/>
    <x v="0"/>
    <x v="1"/>
    <x v="3"/>
    <x v="8"/>
    <s v="Svoboda"/>
    <n v="2"/>
    <n v="871"/>
    <n v="0.06"/>
    <n v="1742"/>
    <n v="1177.33"/>
    <x v="319"/>
    <n v="0.32415040183696903"/>
    <x v="2"/>
    <x v="1"/>
  </r>
  <r>
    <x v="269"/>
    <x v="320"/>
    <s v="Eliška Novotný"/>
    <x v="1"/>
    <x v="2"/>
    <x v="0"/>
    <x v="0"/>
    <x v="1"/>
    <x v="24"/>
    <s v="Novák"/>
    <n v="3"/>
    <n v="561"/>
    <n v="0.08"/>
    <n v="1683"/>
    <n v="1233.3"/>
    <x v="320"/>
    <n v="0.26720142602495545"/>
    <x v="2"/>
    <x v="6"/>
  </r>
  <r>
    <x v="270"/>
    <x v="321"/>
    <s v="Eliška Horák"/>
    <x v="1"/>
    <x v="3"/>
    <x v="0"/>
    <x v="0"/>
    <x v="0"/>
    <x v="9"/>
    <s v="Svoboda"/>
    <n v="1"/>
    <n v="1680"/>
    <n v="0.15"/>
    <n v="1680"/>
    <n v="1116.78"/>
    <x v="321"/>
    <n v="0.33524999999999999"/>
    <x v="1"/>
    <x v="6"/>
  </r>
  <r>
    <x v="213"/>
    <x v="322"/>
    <s v="Tereza Dvořák"/>
    <x v="1"/>
    <x v="1"/>
    <x v="0"/>
    <x v="2"/>
    <x v="3"/>
    <x v="19"/>
    <s v="Beneš"/>
    <n v="3"/>
    <n v="542"/>
    <n v="0.08"/>
    <n v="1626"/>
    <n v="1219.77"/>
    <x v="322"/>
    <n v="0.24983394833948341"/>
    <x v="0"/>
    <x v="0"/>
  </r>
  <r>
    <x v="91"/>
    <x v="323"/>
    <s v="Martin Novotný"/>
    <x v="1"/>
    <x v="0"/>
    <x v="0"/>
    <x v="2"/>
    <x v="1"/>
    <x v="18"/>
    <s v="Kučera"/>
    <n v="2"/>
    <n v="808"/>
    <n v="0.08"/>
    <n v="1616"/>
    <n v="979.89"/>
    <x v="323"/>
    <n v="0.39363242574257429"/>
    <x v="2"/>
    <x v="8"/>
  </r>
  <r>
    <x v="81"/>
    <x v="324"/>
    <s v="Alena Němec"/>
    <x v="1"/>
    <x v="1"/>
    <x v="0"/>
    <x v="0"/>
    <x v="0"/>
    <x v="16"/>
    <s v="Novák"/>
    <n v="2"/>
    <n v="807"/>
    <n v="0.04"/>
    <n v="1614"/>
    <n v="1303.4000000000001"/>
    <x v="324"/>
    <n v="0.1924411400247831"/>
    <x v="1"/>
    <x v="11"/>
  </r>
  <r>
    <x v="271"/>
    <x v="325"/>
    <s v="Anna Svoboda"/>
    <x v="1"/>
    <x v="3"/>
    <x v="0"/>
    <x v="0"/>
    <x v="1"/>
    <x v="15"/>
    <s v="Fiala"/>
    <n v="2"/>
    <n v="789"/>
    <n v="0.3"/>
    <n v="1578"/>
    <n v="715.98"/>
    <x v="325"/>
    <n v="0.54627376425855512"/>
    <x v="0"/>
    <x v="5"/>
  </r>
  <r>
    <x v="272"/>
    <x v="326"/>
    <s v="Anna Veselý"/>
    <x v="1"/>
    <x v="2"/>
    <x v="0"/>
    <x v="2"/>
    <x v="0"/>
    <x v="10"/>
    <s v="Dvořák"/>
    <n v="1"/>
    <n v="1547"/>
    <n v="7.0000000000000007E-2"/>
    <n v="1547"/>
    <n v="1248.0999999999999"/>
    <x v="326"/>
    <n v="0.19321266968325798"/>
    <x v="0"/>
    <x v="0"/>
  </r>
  <r>
    <x v="273"/>
    <x v="327"/>
    <s v="Jiří Němec"/>
    <x v="1"/>
    <x v="1"/>
    <x v="0"/>
    <x v="2"/>
    <x v="1"/>
    <x v="17"/>
    <s v="Král"/>
    <n v="2"/>
    <n v="771"/>
    <n v="0.06"/>
    <n v="1542"/>
    <n v="1033.21"/>
    <x v="327"/>
    <n v="0.3299546044098573"/>
    <x v="1"/>
    <x v="8"/>
  </r>
  <r>
    <x v="274"/>
    <x v="328"/>
    <s v="Tereza Horák"/>
    <x v="1"/>
    <x v="0"/>
    <x v="0"/>
    <x v="0"/>
    <x v="1"/>
    <x v="15"/>
    <s v="Svoboda"/>
    <n v="2"/>
    <n v="770"/>
    <n v="0.1"/>
    <n v="1540"/>
    <n v="1130.42"/>
    <x v="328"/>
    <n v="0.2659610389610389"/>
    <x v="1"/>
    <x v="8"/>
  </r>
  <r>
    <x v="275"/>
    <x v="329"/>
    <s v="Jana Horák"/>
    <x v="1"/>
    <x v="1"/>
    <x v="0"/>
    <x v="2"/>
    <x v="1"/>
    <x v="24"/>
    <s v="Král"/>
    <n v="4"/>
    <n v="384"/>
    <n v="0.04"/>
    <n v="1536"/>
    <n v="803.12"/>
    <x v="329"/>
    <n v="0.47713541666666665"/>
    <x v="1"/>
    <x v="8"/>
  </r>
  <r>
    <x v="276"/>
    <x v="330"/>
    <s v="Vltava s.r.o."/>
    <x v="0"/>
    <x v="3"/>
    <x v="0"/>
    <x v="1"/>
    <x v="2"/>
    <x v="23"/>
    <s v="Svoboda"/>
    <n v="10"/>
    <n v="153"/>
    <n v="0.15"/>
    <n v="1530"/>
    <n v="982.89"/>
    <x v="330"/>
    <n v="0.35758823529411765"/>
    <x v="1"/>
    <x v="7"/>
  </r>
  <r>
    <x v="277"/>
    <x v="331"/>
    <s v="Petr Horák"/>
    <x v="1"/>
    <x v="0"/>
    <x v="0"/>
    <x v="2"/>
    <x v="0"/>
    <x v="10"/>
    <s v="Novák"/>
    <n v="1"/>
    <n v="1518"/>
    <n v="0.14000000000000001"/>
    <n v="1518"/>
    <n v="1118.53"/>
    <x v="331"/>
    <n v="0.26315546772068515"/>
    <x v="1"/>
    <x v="6"/>
  </r>
  <r>
    <x v="278"/>
    <x v="332"/>
    <s v="Lukáš Pokorný"/>
    <x v="1"/>
    <x v="2"/>
    <x v="0"/>
    <x v="2"/>
    <x v="3"/>
    <x v="25"/>
    <s v="Beneš"/>
    <n v="5"/>
    <n v="303"/>
    <n v="0.02"/>
    <n v="1515"/>
    <n v="1000.46"/>
    <x v="332"/>
    <n v="0.33963036303630362"/>
    <x v="1"/>
    <x v="10"/>
  </r>
  <r>
    <x v="128"/>
    <x v="333"/>
    <s v="Petr Fiala"/>
    <x v="1"/>
    <x v="3"/>
    <x v="0"/>
    <x v="0"/>
    <x v="3"/>
    <x v="19"/>
    <s v="Kučera"/>
    <n v="2"/>
    <n v="756"/>
    <n v="0.3"/>
    <n v="1512"/>
    <n v="746.06"/>
    <x v="333"/>
    <n v="0.50657407407407407"/>
    <x v="1"/>
    <x v="5"/>
  </r>
  <r>
    <x v="279"/>
    <x v="334"/>
    <s v="Martina Hájek"/>
    <x v="1"/>
    <x v="0"/>
    <x v="0"/>
    <x v="0"/>
    <x v="3"/>
    <x v="21"/>
    <s v="Beneš"/>
    <n v="3"/>
    <n v="493"/>
    <n v="0"/>
    <n v="1479"/>
    <n v="1050.8499999999999"/>
    <x v="334"/>
    <n v="0.28948613928329958"/>
    <x v="0"/>
    <x v="10"/>
  </r>
  <r>
    <x v="280"/>
    <x v="335"/>
    <s v="Petr Kučera"/>
    <x v="1"/>
    <x v="2"/>
    <x v="0"/>
    <x v="2"/>
    <x v="0"/>
    <x v="7"/>
    <s v="Svoboda"/>
    <n v="1"/>
    <n v="1476"/>
    <n v="0.09"/>
    <n v="1476"/>
    <n v="1077.4100000000001"/>
    <x v="335"/>
    <n v="0.2700474254742547"/>
    <x v="0"/>
    <x v="5"/>
  </r>
  <r>
    <x v="281"/>
    <x v="336"/>
    <s v="Markéta Dvořák"/>
    <x v="1"/>
    <x v="2"/>
    <x v="0"/>
    <x v="2"/>
    <x v="1"/>
    <x v="24"/>
    <s v="Kučera"/>
    <n v="4"/>
    <n v="362"/>
    <n v="0.11"/>
    <n v="1448"/>
    <n v="1123.5899999999999"/>
    <x v="336"/>
    <n v="0.22404005524861884"/>
    <x v="0"/>
    <x v="5"/>
  </r>
  <r>
    <x v="213"/>
    <x v="337"/>
    <s v="Karolína Horák"/>
    <x v="1"/>
    <x v="1"/>
    <x v="0"/>
    <x v="2"/>
    <x v="0"/>
    <x v="20"/>
    <s v="Beneš"/>
    <n v="2"/>
    <n v="713"/>
    <n v="7.0000000000000007E-2"/>
    <n v="1426"/>
    <n v="1137.7"/>
    <x v="337"/>
    <n v="0.20217391304347823"/>
    <x v="0"/>
    <x v="0"/>
  </r>
  <r>
    <x v="60"/>
    <x v="338"/>
    <s v="Veronika Němec"/>
    <x v="1"/>
    <x v="1"/>
    <x v="0"/>
    <x v="2"/>
    <x v="3"/>
    <x v="8"/>
    <s v="Král"/>
    <n v="1"/>
    <n v="1423"/>
    <n v="0.16"/>
    <n v="1423"/>
    <n v="831.36"/>
    <x v="338"/>
    <n v="0.41576950105411103"/>
    <x v="1"/>
    <x v="9"/>
  </r>
  <r>
    <x v="87"/>
    <x v="339"/>
    <s v="Eliška Jelínek"/>
    <x v="1"/>
    <x v="1"/>
    <x v="0"/>
    <x v="0"/>
    <x v="1"/>
    <x v="24"/>
    <s v="Kučera"/>
    <n v="3"/>
    <n v="471"/>
    <n v="0.08"/>
    <n v="1413"/>
    <n v="914.14"/>
    <x v="339"/>
    <n v="0.35305024769992926"/>
    <x v="2"/>
    <x v="11"/>
  </r>
  <r>
    <x v="282"/>
    <x v="340"/>
    <s v="Markéta Dvořák"/>
    <x v="1"/>
    <x v="0"/>
    <x v="0"/>
    <x v="2"/>
    <x v="1"/>
    <x v="24"/>
    <s v="Svoboda"/>
    <n v="4"/>
    <n v="350"/>
    <n v="0.08"/>
    <n v="1400"/>
    <n v="848.09"/>
    <x v="340"/>
    <n v="0.39422142857142856"/>
    <x v="1"/>
    <x v="9"/>
  </r>
  <r>
    <x v="283"/>
    <x v="341"/>
    <s v="Alena Hájek"/>
    <x v="1"/>
    <x v="3"/>
    <x v="0"/>
    <x v="0"/>
    <x v="1"/>
    <x v="17"/>
    <s v="Svoboda"/>
    <n v="2"/>
    <n v="692"/>
    <n v="0.13"/>
    <n v="1384"/>
    <n v="890.99"/>
    <x v="341"/>
    <n v="0.35622109826589593"/>
    <x v="2"/>
    <x v="4"/>
  </r>
  <r>
    <x v="284"/>
    <x v="342"/>
    <s v="Alfa s.r.o."/>
    <x v="0"/>
    <x v="3"/>
    <x v="0"/>
    <x v="2"/>
    <x v="3"/>
    <x v="26"/>
    <s v="Svoboda"/>
    <n v="6"/>
    <n v="230"/>
    <n v="0.19"/>
    <n v="1380"/>
    <n v="813.89"/>
    <x v="342"/>
    <n v="0.41022463768115941"/>
    <x v="2"/>
    <x v="8"/>
  </r>
  <r>
    <x v="171"/>
    <x v="343"/>
    <s v="Lukáš Kučera"/>
    <x v="1"/>
    <x v="3"/>
    <x v="0"/>
    <x v="0"/>
    <x v="0"/>
    <x v="16"/>
    <s v="Veselý"/>
    <n v="1"/>
    <n v="1341"/>
    <n v="0.01"/>
    <n v="1341"/>
    <n v="1090.24"/>
    <x v="343"/>
    <n v="0.18699478001491424"/>
    <x v="1"/>
    <x v="2"/>
  </r>
  <r>
    <x v="285"/>
    <x v="344"/>
    <s v="Markéta Fiala"/>
    <x v="1"/>
    <x v="3"/>
    <x v="0"/>
    <x v="0"/>
    <x v="1"/>
    <x v="15"/>
    <s v="Veselý"/>
    <n v="3"/>
    <n v="441"/>
    <n v="0.12"/>
    <n v="1323"/>
    <n v="842.25"/>
    <x v="344"/>
    <n v="0.36337868480725621"/>
    <x v="1"/>
    <x v="9"/>
  </r>
  <r>
    <x v="286"/>
    <x v="345"/>
    <s v="Delta a.s."/>
    <x v="0"/>
    <x v="2"/>
    <x v="0"/>
    <x v="0"/>
    <x v="2"/>
    <x v="23"/>
    <s v="Svoboda"/>
    <n v="6"/>
    <n v="219"/>
    <n v="0.22"/>
    <n v="1314"/>
    <n v="795.3"/>
    <x v="345"/>
    <n v="0.39474885844748864"/>
    <x v="1"/>
    <x v="10"/>
  </r>
  <r>
    <x v="287"/>
    <x v="346"/>
    <s v="Ondřej Černý"/>
    <x v="1"/>
    <x v="0"/>
    <x v="0"/>
    <x v="2"/>
    <x v="3"/>
    <x v="21"/>
    <s v="Beneš"/>
    <n v="3"/>
    <n v="437"/>
    <n v="0.22"/>
    <n v="1311"/>
    <n v="644.37"/>
    <x v="346"/>
    <n v="0.50848970251716252"/>
    <x v="0"/>
    <x v="8"/>
  </r>
  <r>
    <x v="288"/>
    <x v="347"/>
    <s v="Václav Dvořák"/>
    <x v="1"/>
    <x v="1"/>
    <x v="0"/>
    <x v="2"/>
    <x v="3"/>
    <x v="19"/>
    <s v="Král"/>
    <n v="2"/>
    <n v="653"/>
    <n v="0.09"/>
    <n v="1306"/>
    <n v="784.38"/>
    <x v="347"/>
    <n v="0.39940275650842266"/>
    <x v="2"/>
    <x v="4"/>
  </r>
  <r>
    <x v="223"/>
    <x v="348"/>
    <s v="Filip Dvořák"/>
    <x v="1"/>
    <x v="0"/>
    <x v="0"/>
    <x v="2"/>
    <x v="1"/>
    <x v="17"/>
    <s v="Dvořák"/>
    <n v="2"/>
    <n v="639"/>
    <n v="0.05"/>
    <n v="1278"/>
    <n v="883.47"/>
    <x v="348"/>
    <n v="0.30870892018779339"/>
    <x v="2"/>
    <x v="11"/>
  </r>
  <r>
    <x v="289"/>
    <x v="349"/>
    <s v="Petr Horák"/>
    <x v="1"/>
    <x v="1"/>
    <x v="0"/>
    <x v="0"/>
    <x v="1"/>
    <x v="15"/>
    <s v="Dvořák"/>
    <n v="2"/>
    <n v="638"/>
    <n v="0.08"/>
    <n v="1276"/>
    <n v="921.3"/>
    <x v="349"/>
    <n v="0.27797805642633233"/>
    <x v="0"/>
    <x v="8"/>
  </r>
  <r>
    <x v="290"/>
    <x v="350"/>
    <s v="Martina Beneš"/>
    <x v="1"/>
    <x v="2"/>
    <x v="0"/>
    <x v="2"/>
    <x v="0"/>
    <x v="16"/>
    <s v="Beneš"/>
    <n v="1"/>
    <n v="1267"/>
    <n v="0.11"/>
    <n v="1267"/>
    <n v="932.74"/>
    <x v="350"/>
    <n v="0.26382004735595893"/>
    <x v="2"/>
    <x v="4"/>
  </r>
  <r>
    <x v="228"/>
    <x v="351"/>
    <s v="Kappa s.r.o."/>
    <x v="0"/>
    <x v="0"/>
    <x v="0"/>
    <x v="1"/>
    <x v="2"/>
    <x v="23"/>
    <s v="Veselý"/>
    <n v="7"/>
    <n v="180"/>
    <n v="0.14000000000000001"/>
    <n v="1260"/>
    <n v="828.37"/>
    <x v="351"/>
    <n v="0.34256349206349207"/>
    <x v="1"/>
    <x v="6"/>
  </r>
  <r>
    <x v="291"/>
    <x v="352"/>
    <s v="Radek Král"/>
    <x v="1"/>
    <x v="0"/>
    <x v="0"/>
    <x v="2"/>
    <x v="3"/>
    <x v="21"/>
    <s v="Svoboda"/>
    <n v="2"/>
    <n v="608"/>
    <n v="0.08"/>
    <n v="1216"/>
    <n v="678.06"/>
    <x v="352"/>
    <n v="0.44238486842105268"/>
    <x v="1"/>
    <x v="4"/>
  </r>
  <r>
    <x v="292"/>
    <x v="353"/>
    <s v="Karel Svoboda"/>
    <x v="1"/>
    <x v="2"/>
    <x v="0"/>
    <x v="2"/>
    <x v="3"/>
    <x v="19"/>
    <s v="Novák"/>
    <n v="2"/>
    <n v="603"/>
    <n v="0.05"/>
    <n v="1206"/>
    <n v="809.43"/>
    <x v="353"/>
    <n v="0.3288308457711443"/>
    <x v="0"/>
    <x v="1"/>
  </r>
  <r>
    <x v="165"/>
    <x v="354"/>
    <s v="David Pospíšil"/>
    <x v="1"/>
    <x v="2"/>
    <x v="0"/>
    <x v="2"/>
    <x v="0"/>
    <x v="16"/>
    <s v="Dvořák"/>
    <n v="1"/>
    <n v="1201"/>
    <n v="0.09"/>
    <n v="1201"/>
    <n v="830.29"/>
    <x v="354"/>
    <n v="0.30866777685262287"/>
    <x v="1"/>
    <x v="9"/>
  </r>
  <r>
    <x v="293"/>
    <x v="355"/>
    <s v="Jana Beneš"/>
    <x v="1"/>
    <x v="1"/>
    <x v="0"/>
    <x v="1"/>
    <x v="1"/>
    <x v="18"/>
    <s v="Novák"/>
    <n v="1"/>
    <n v="1194"/>
    <n v="7.0000000000000007E-2"/>
    <n v="1194"/>
    <n v="934.68"/>
    <x v="355"/>
    <n v="0.21718592964824124"/>
    <x v="1"/>
    <x v="6"/>
  </r>
  <r>
    <x v="294"/>
    <x v="356"/>
    <s v="Alfa s.r.o."/>
    <x v="0"/>
    <x v="1"/>
    <x v="0"/>
    <x v="1"/>
    <x v="1"/>
    <x v="27"/>
    <s v="Veselý"/>
    <n v="12"/>
    <n v="99"/>
    <n v="0.02"/>
    <n v="1188"/>
    <n v="916.87"/>
    <x v="356"/>
    <n v="0.22822390572390572"/>
    <x v="0"/>
    <x v="2"/>
  </r>
  <r>
    <x v="295"/>
    <x v="357"/>
    <s v="Petra Fiala"/>
    <x v="1"/>
    <x v="0"/>
    <x v="0"/>
    <x v="0"/>
    <x v="0"/>
    <x v="11"/>
    <s v="Beneš"/>
    <n v="1"/>
    <n v="1175"/>
    <n v="7.0000000000000007E-2"/>
    <n v="1175"/>
    <n v="932.19"/>
    <x v="357"/>
    <n v="0.20664680851063824"/>
    <x v="1"/>
    <x v="0"/>
  </r>
  <r>
    <x v="261"/>
    <x v="358"/>
    <s v="Lucie Kučera"/>
    <x v="1"/>
    <x v="0"/>
    <x v="0"/>
    <x v="2"/>
    <x v="3"/>
    <x v="8"/>
    <s v="Svoboda"/>
    <n v="1"/>
    <n v="1170"/>
    <n v="0.25"/>
    <n v="1170"/>
    <n v="646.69000000000005"/>
    <x v="358"/>
    <n v="0.44727350427350421"/>
    <x v="0"/>
    <x v="5"/>
  </r>
  <r>
    <x v="296"/>
    <x v="359"/>
    <s v="Daniel Jelínek"/>
    <x v="1"/>
    <x v="0"/>
    <x v="0"/>
    <x v="0"/>
    <x v="2"/>
    <x v="23"/>
    <s v="Beneš"/>
    <n v="4"/>
    <n v="289"/>
    <n v="0.02"/>
    <n v="1156"/>
    <n v="753.43"/>
    <x v="359"/>
    <n v="0.34824394463667824"/>
    <x v="0"/>
    <x v="7"/>
  </r>
  <r>
    <x v="297"/>
    <x v="360"/>
    <s v="Anna Pospíšil"/>
    <x v="1"/>
    <x v="2"/>
    <x v="0"/>
    <x v="0"/>
    <x v="0"/>
    <x v="16"/>
    <s v="Veselý"/>
    <n v="1"/>
    <n v="1146"/>
    <n v="0.13"/>
    <n v="1146"/>
    <n v="783.66"/>
    <x v="360"/>
    <n v="0.3161780104712042"/>
    <x v="0"/>
    <x v="5"/>
  </r>
  <r>
    <x v="298"/>
    <x v="361"/>
    <s v="Lukáš Král"/>
    <x v="1"/>
    <x v="2"/>
    <x v="0"/>
    <x v="2"/>
    <x v="3"/>
    <x v="13"/>
    <s v="Král"/>
    <n v="1"/>
    <n v="1145"/>
    <n v="0.06"/>
    <n v="1145"/>
    <n v="709.2"/>
    <x v="361"/>
    <n v="0.38061135371179033"/>
    <x v="1"/>
    <x v="0"/>
  </r>
  <r>
    <x v="299"/>
    <x v="362"/>
    <s v="Alena Jelínek"/>
    <x v="1"/>
    <x v="2"/>
    <x v="0"/>
    <x v="0"/>
    <x v="3"/>
    <x v="21"/>
    <s v="Novák"/>
    <n v="2"/>
    <n v="546"/>
    <n v="0.12"/>
    <n v="1092"/>
    <n v="681.04"/>
    <x v="362"/>
    <n v="0.37633699633699635"/>
    <x v="1"/>
    <x v="10"/>
  </r>
  <r>
    <x v="300"/>
    <x v="363"/>
    <s v="Jana Fiala"/>
    <x v="1"/>
    <x v="2"/>
    <x v="0"/>
    <x v="2"/>
    <x v="1"/>
    <x v="17"/>
    <s v="Dvořák"/>
    <n v="1"/>
    <n v="1078"/>
    <n v="0.14000000000000001"/>
    <n v="1078"/>
    <n v="674.86"/>
    <x v="363"/>
    <n v="0.37397031539888681"/>
    <x v="0"/>
    <x v="5"/>
  </r>
  <r>
    <x v="301"/>
    <x v="364"/>
    <s v="Kateřina Pokorný"/>
    <x v="1"/>
    <x v="0"/>
    <x v="0"/>
    <x v="2"/>
    <x v="2"/>
    <x v="23"/>
    <s v="Novák"/>
    <n v="5"/>
    <n v="215"/>
    <n v="0"/>
    <n v="1075"/>
    <n v="587.26"/>
    <x v="364"/>
    <n v="0.45371162790697678"/>
    <x v="0"/>
    <x v="9"/>
  </r>
  <r>
    <x v="153"/>
    <x v="365"/>
    <s v="Tomáš Černý"/>
    <x v="1"/>
    <x v="1"/>
    <x v="0"/>
    <x v="2"/>
    <x v="1"/>
    <x v="17"/>
    <s v="Beneš"/>
    <n v="1"/>
    <n v="1058"/>
    <n v="0"/>
    <n v="1058"/>
    <n v="692.58"/>
    <x v="365"/>
    <n v="0.34538752362948955"/>
    <x v="1"/>
    <x v="1"/>
  </r>
  <r>
    <x v="302"/>
    <x v="366"/>
    <s v="Alena Horák"/>
    <x v="1"/>
    <x v="2"/>
    <x v="0"/>
    <x v="2"/>
    <x v="3"/>
    <x v="21"/>
    <s v="Král"/>
    <n v="2"/>
    <n v="524"/>
    <n v="0.12"/>
    <n v="1048"/>
    <n v="701.23"/>
    <x v="366"/>
    <n v="0.33088740458015264"/>
    <x v="1"/>
    <x v="5"/>
  </r>
  <r>
    <x v="303"/>
    <x v="367"/>
    <s v="Martin Kučera"/>
    <x v="1"/>
    <x v="2"/>
    <x v="0"/>
    <x v="2"/>
    <x v="3"/>
    <x v="22"/>
    <s v="Svoboda"/>
    <n v="2"/>
    <n v="512"/>
    <n v="0.01"/>
    <n v="1024"/>
    <n v="623.27"/>
    <x v="367"/>
    <n v="0.39133789062500002"/>
    <x v="1"/>
    <x v="0"/>
  </r>
  <r>
    <x v="255"/>
    <x v="368"/>
    <s v="Michal Pokorný"/>
    <x v="1"/>
    <x v="1"/>
    <x v="0"/>
    <x v="2"/>
    <x v="3"/>
    <x v="21"/>
    <s v="Beneš"/>
    <n v="2"/>
    <n v="503"/>
    <n v="0.05"/>
    <n v="1006"/>
    <n v="686.17"/>
    <x v="368"/>
    <n v="0.31792246520874756"/>
    <x v="0"/>
    <x v="1"/>
  </r>
  <r>
    <x v="304"/>
    <x v="369"/>
    <s v="Karolína Jelínek"/>
    <x v="1"/>
    <x v="0"/>
    <x v="0"/>
    <x v="0"/>
    <x v="3"/>
    <x v="21"/>
    <s v="Beneš"/>
    <n v="2"/>
    <n v="499"/>
    <n v="0"/>
    <n v="998"/>
    <n v="710.57"/>
    <x v="369"/>
    <n v="0.28800601202404802"/>
    <x v="0"/>
    <x v="4"/>
  </r>
  <r>
    <x v="305"/>
    <x v="370"/>
    <s v="Markéta Horák"/>
    <x v="1"/>
    <x v="1"/>
    <x v="0"/>
    <x v="1"/>
    <x v="1"/>
    <x v="14"/>
    <s v="Dvořák"/>
    <n v="1"/>
    <n v="987"/>
    <n v="0.11"/>
    <n v="987"/>
    <n v="701.87"/>
    <x v="370"/>
    <n v="0.28888551165146908"/>
    <x v="0"/>
    <x v="4"/>
  </r>
  <r>
    <x v="262"/>
    <x v="371"/>
    <s v="Petr Pospíšil"/>
    <x v="1"/>
    <x v="2"/>
    <x v="0"/>
    <x v="0"/>
    <x v="3"/>
    <x v="21"/>
    <s v="Novák"/>
    <n v="2"/>
    <n v="493"/>
    <n v="0.03"/>
    <n v="986"/>
    <n v="620.51"/>
    <x v="371"/>
    <n v="0.3706795131845842"/>
    <x v="0"/>
    <x v="10"/>
  </r>
  <r>
    <x v="117"/>
    <x v="372"/>
    <s v="Daniel Veselý"/>
    <x v="1"/>
    <x v="1"/>
    <x v="0"/>
    <x v="0"/>
    <x v="1"/>
    <x v="24"/>
    <s v="Svoboda"/>
    <n v="3"/>
    <n v="328"/>
    <n v="0.13"/>
    <n v="984"/>
    <n v="641.27"/>
    <x v="372"/>
    <n v="0.34830284552845531"/>
    <x v="0"/>
    <x v="10"/>
  </r>
  <r>
    <x v="306"/>
    <x v="373"/>
    <s v="Veronika Fiala"/>
    <x v="1"/>
    <x v="0"/>
    <x v="0"/>
    <x v="2"/>
    <x v="3"/>
    <x v="21"/>
    <s v="Dvořák"/>
    <n v="2"/>
    <n v="480"/>
    <n v="0.1"/>
    <n v="960"/>
    <n v="701.87"/>
    <x v="373"/>
    <n v="0.26888541666666665"/>
    <x v="1"/>
    <x v="1"/>
  </r>
  <r>
    <x v="307"/>
    <x v="374"/>
    <s v="Markéta Hájek"/>
    <x v="1"/>
    <x v="2"/>
    <x v="0"/>
    <x v="0"/>
    <x v="3"/>
    <x v="8"/>
    <s v="Dvořák"/>
    <n v="1"/>
    <n v="944"/>
    <n v="0.11"/>
    <n v="944"/>
    <n v="531.38"/>
    <x v="374"/>
    <n v="0.43709745762711866"/>
    <x v="0"/>
    <x v="5"/>
  </r>
  <r>
    <x v="3"/>
    <x v="375"/>
    <s v="David Pokorný"/>
    <x v="1"/>
    <x v="2"/>
    <x v="0"/>
    <x v="2"/>
    <x v="3"/>
    <x v="19"/>
    <s v="Dvořák"/>
    <n v="2"/>
    <n v="458"/>
    <n v="7.0000000000000007E-2"/>
    <n v="916"/>
    <n v="689.91"/>
    <x v="375"/>
    <n v="0.24682314410480352"/>
    <x v="1"/>
    <x v="2"/>
  </r>
  <r>
    <x v="138"/>
    <x v="376"/>
    <s v="Petr Dvořák"/>
    <x v="1"/>
    <x v="1"/>
    <x v="0"/>
    <x v="0"/>
    <x v="3"/>
    <x v="13"/>
    <s v="Dvořák"/>
    <n v="1"/>
    <n v="903"/>
    <n v="0.23"/>
    <n v="903"/>
    <n v="609"/>
    <x v="376"/>
    <n v="0.32558139534883723"/>
    <x v="1"/>
    <x v="9"/>
  </r>
  <r>
    <x v="308"/>
    <x v="377"/>
    <s v="Delta a.s."/>
    <x v="0"/>
    <x v="1"/>
    <x v="0"/>
    <x v="0"/>
    <x v="2"/>
    <x v="28"/>
    <s v="Veselý"/>
    <n v="9"/>
    <n v="100"/>
    <n v="0.1"/>
    <n v="900"/>
    <n v="536.08000000000004"/>
    <x v="377"/>
    <n v="0.40435555555555552"/>
    <x v="1"/>
    <x v="0"/>
  </r>
  <r>
    <x v="309"/>
    <x v="378"/>
    <s v="Ondřej Pokorný"/>
    <x v="1"/>
    <x v="1"/>
    <x v="0"/>
    <x v="0"/>
    <x v="1"/>
    <x v="18"/>
    <s v="Fiala"/>
    <n v="1"/>
    <n v="884"/>
    <n v="0.1"/>
    <n v="884"/>
    <n v="692.31"/>
    <x v="378"/>
    <n v="0.21684389140271498"/>
    <x v="1"/>
    <x v="5"/>
  </r>
  <r>
    <x v="264"/>
    <x v="379"/>
    <s v="Kateřina Horák"/>
    <x v="1"/>
    <x v="2"/>
    <x v="0"/>
    <x v="2"/>
    <x v="3"/>
    <x v="25"/>
    <s v="Král"/>
    <n v="3"/>
    <n v="291"/>
    <n v="0.1"/>
    <n v="873"/>
    <n v="510.45"/>
    <x v="379"/>
    <n v="0.41529209621993129"/>
    <x v="1"/>
    <x v="10"/>
  </r>
  <r>
    <x v="310"/>
    <x v="380"/>
    <s v="Orion a.s."/>
    <x v="0"/>
    <x v="2"/>
    <x v="0"/>
    <x v="2"/>
    <x v="2"/>
    <x v="23"/>
    <s v="Kučera"/>
    <n v="6"/>
    <n v="145"/>
    <n v="0.14000000000000001"/>
    <n v="870"/>
    <n v="573.34"/>
    <x v="380"/>
    <n v="0.34098850574712641"/>
    <x v="2"/>
    <x v="11"/>
  </r>
  <r>
    <x v="311"/>
    <x v="381"/>
    <s v="Radek Černý"/>
    <x v="1"/>
    <x v="2"/>
    <x v="0"/>
    <x v="2"/>
    <x v="3"/>
    <x v="22"/>
    <s v="Fiala"/>
    <n v="2"/>
    <n v="433"/>
    <n v="0"/>
    <n v="866"/>
    <n v="532.80999999999995"/>
    <x v="381"/>
    <n v="0.38474595842956127"/>
    <x v="2"/>
    <x v="6"/>
  </r>
  <r>
    <x v="300"/>
    <x v="382"/>
    <s v="Daniel Veselý"/>
    <x v="1"/>
    <x v="1"/>
    <x v="0"/>
    <x v="0"/>
    <x v="3"/>
    <x v="22"/>
    <s v="Beneš"/>
    <n v="3"/>
    <n v="288"/>
    <n v="0.08"/>
    <n v="864"/>
    <n v="534.32000000000005"/>
    <x v="382"/>
    <n v="0.38157407407407401"/>
    <x v="0"/>
    <x v="5"/>
  </r>
  <r>
    <x v="182"/>
    <x v="383"/>
    <s v="Alena Kučera"/>
    <x v="1"/>
    <x v="0"/>
    <x v="0"/>
    <x v="2"/>
    <x v="3"/>
    <x v="22"/>
    <s v="Veselý"/>
    <n v="3"/>
    <n v="287"/>
    <n v="0.08"/>
    <n v="861"/>
    <n v="536.47"/>
    <x v="383"/>
    <n v="0.3769221835075493"/>
    <x v="1"/>
    <x v="1"/>
  </r>
  <r>
    <x v="312"/>
    <x v="384"/>
    <s v="Alena Němec"/>
    <x v="1"/>
    <x v="0"/>
    <x v="0"/>
    <x v="2"/>
    <x v="3"/>
    <x v="25"/>
    <s v="Beneš"/>
    <n v="2"/>
    <n v="424"/>
    <n v="0"/>
    <n v="848"/>
    <n v="550.76"/>
    <x v="384"/>
    <n v="0.3505188679245283"/>
    <x v="1"/>
    <x v="3"/>
  </r>
  <r>
    <x v="313"/>
    <x v="385"/>
    <s v="Anna Beneš"/>
    <x v="1"/>
    <x v="0"/>
    <x v="0"/>
    <x v="2"/>
    <x v="0"/>
    <x v="20"/>
    <s v="Dvořák"/>
    <n v="2"/>
    <n v="420"/>
    <n v="0.1"/>
    <n v="840"/>
    <n v="565.55999999999995"/>
    <x v="385"/>
    <n v="0.32671428571428579"/>
    <x v="0"/>
    <x v="1"/>
  </r>
  <r>
    <x v="314"/>
    <x v="386"/>
    <s v="Petra Němec"/>
    <x v="1"/>
    <x v="2"/>
    <x v="0"/>
    <x v="2"/>
    <x v="1"/>
    <x v="15"/>
    <s v="Kučera"/>
    <n v="2"/>
    <n v="419"/>
    <n v="0.13"/>
    <n v="838"/>
    <n v="527.55999999999995"/>
    <x v="386"/>
    <n v="0.37045346062052514"/>
    <x v="0"/>
    <x v="10"/>
  </r>
  <r>
    <x v="315"/>
    <x v="387"/>
    <s v="Petr Hájek"/>
    <x v="1"/>
    <x v="2"/>
    <x v="0"/>
    <x v="0"/>
    <x v="0"/>
    <x v="20"/>
    <s v="Král"/>
    <n v="1"/>
    <n v="795"/>
    <n v="0.05"/>
    <n v="795"/>
    <n v="654.02"/>
    <x v="387"/>
    <n v="0.17733333333333334"/>
    <x v="2"/>
    <x v="11"/>
  </r>
  <r>
    <x v="316"/>
    <x v="388"/>
    <s v="Daniel Veselý"/>
    <x v="1"/>
    <x v="3"/>
    <x v="0"/>
    <x v="2"/>
    <x v="3"/>
    <x v="25"/>
    <s v="Dvořák"/>
    <n v="3"/>
    <n v="265"/>
    <n v="0.04"/>
    <n v="795"/>
    <n v="557.92999999999995"/>
    <x v="388"/>
    <n v="0.29820125786163526"/>
    <x v="1"/>
    <x v="8"/>
  </r>
  <r>
    <x v="30"/>
    <x v="389"/>
    <s v="Radek Procházka"/>
    <x v="1"/>
    <x v="1"/>
    <x v="0"/>
    <x v="2"/>
    <x v="1"/>
    <x v="24"/>
    <s v="Novák"/>
    <n v="2"/>
    <n v="397"/>
    <n v="0.11"/>
    <n v="794"/>
    <n v="494.07"/>
    <x v="389"/>
    <n v="0.3777455919395466"/>
    <x v="1"/>
    <x v="10"/>
  </r>
  <r>
    <x v="317"/>
    <x v="390"/>
    <s v="Kateřina Fiala"/>
    <x v="1"/>
    <x v="1"/>
    <x v="0"/>
    <x v="2"/>
    <x v="3"/>
    <x v="21"/>
    <s v="Fiala"/>
    <n v="1"/>
    <n v="773"/>
    <n v="0.09"/>
    <n v="773"/>
    <n v="454.96"/>
    <x v="390"/>
    <n v="0.41143596377749031"/>
    <x v="1"/>
    <x v="3"/>
  </r>
  <r>
    <x v="132"/>
    <x v="391"/>
    <s v="Lukáš Kučera"/>
    <x v="1"/>
    <x v="1"/>
    <x v="0"/>
    <x v="2"/>
    <x v="3"/>
    <x v="22"/>
    <s v="Kučera"/>
    <n v="2"/>
    <n v="382"/>
    <n v="7.0000000000000007E-2"/>
    <n v="764"/>
    <n v="388.57"/>
    <x v="391"/>
    <n v="0.49140052356020941"/>
    <x v="1"/>
    <x v="0"/>
  </r>
  <r>
    <x v="318"/>
    <x v="392"/>
    <s v="Michal Horák"/>
    <x v="1"/>
    <x v="3"/>
    <x v="0"/>
    <x v="2"/>
    <x v="3"/>
    <x v="19"/>
    <s v="Veselý"/>
    <n v="1"/>
    <n v="753"/>
    <n v="0.14000000000000001"/>
    <n v="753"/>
    <n v="509.73"/>
    <x v="392"/>
    <n v="0.32306772908366532"/>
    <x v="0"/>
    <x v="3"/>
  </r>
  <r>
    <x v="319"/>
    <x v="393"/>
    <s v="Ondřej Němec"/>
    <x v="1"/>
    <x v="0"/>
    <x v="0"/>
    <x v="0"/>
    <x v="2"/>
    <x v="23"/>
    <s v="Král"/>
    <n v="3"/>
    <n v="251"/>
    <n v="0.03"/>
    <n v="753"/>
    <n v="516.21"/>
    <x v="393"/>
    <n v="0.31446215139442224"/>
    <x v="0"/>
    <x v="6"/>
  </r>
  <r>
    <x v="232"/>
    <x v="394"/>
    <s v="Martina Pospíšil"/>
    <x v="1"/>
    <x v="0"/>
    <x v="0"/>
    <x v="0"/>
    <x v="1"/>
    <x v="24"/>
    <s v="Král"/>
    <n v="2"/>
    <n v="374"/>
    <n v="0.06"/>
    <n v="748"/>
    <n v="456.82"/>
    <x v="394"/>
    <n v="0.38927807486631016"/>
    <x v="0"/>
    <x v="10"/>
  </r>
  <r>
    <x v="320"/>
    <x v="395"/>
    <s v="Markéta Svoboda"/>
    <x v="1"/>
    <x v="1"/>
    <x v="0"/>
    <x v="2"/>
    <x v="3"/>
    <x v="22"/>
    <s v="Veselý"/>
    <n v="2"/>
    <n v="374"/>
    <n v="7.0000000000000007E-2"/>
    <n v="748"/>
    <n v="543.73"/>
    <x v="395"/>
    <n v="0.27308823529411763"/>
    <x v="0"/>
    <x v="4"/>
  </r>
  <r>
    <x v="4"/>
    <x v="396"/>
    <s v="Lukáš Dvořák"/>
    <x v="1"/>
    <x v="1"/>
    <x v="0"/>
    <x v="2"/>
    <x v="1"/>
    <x v="24"/>
    <s v="Fiala"/>
    <n v="2"/>
    <n v="371"/>
    <n v="0.04"/>
    <n v="742"/>
    <n v="526.34"/>
    <x v="396"/>
    <n v="0.29064690026954176"/>
    <x v="0"/>
    <x v="3"/>
  </r>
  <r>
    <x v="154"/>
    <x v="397"/>
    <s v="Karel Novák"/>
    <x v="1"/>
    <x v="2"/>
    <x v="0"/>
    <x v="2"/>
    <x v="3"/>
    <x v="22"/>
    <s v="Veselý"/>
    <n v="2"/>
    <n v="364"/>
    <n v="0.14000000000000001"/>
    <n v="728"/>
    <n v="444.07"/>
    <x v="397"/>
    <n v="0.39001373626373625"/>
    <x v="1"/>
    <x v="1"/>
  </r>
  <r>
    <x v="321"/>
    <x v="398"/>
    <s v="Filip Černý"/>
    <x v="1"/>
    <x v="2"/>
    <x v="0"/>
    <x v="2"/>
    <x v="0"/>
    <x v="20"/>
    <s v="Svoboda"/>
    <n v="1"/>
    <n v="723"/>
    <n v="7.0000000000000007E-2"/>
    <n v="723"/>
    <n v="569.51"/>
    <x v="398"/>
    <n v="0.2122959889349931"/>
    <x v="0"/>
    <x v="7"/>
  </r>
  <r>
    <x v="322"/>
    <x v="399"/>
    <s v="Orion a.s."/>
    <x v="0"/>
    <x v="1"/>
    <x v="0"/>
    <x v="1"/>
    <x v="2"/>
    <x v="28"/>
    <s v="Novák"/>
    <n v="8"/>
    <n v="90"/>
    <n v="0"/>
    <n v="720"/>
    <n v="492.86"/>
    <x v="399"/>
    <n v="0.31547222222222221"/>
    <x v="1"/>
    <x v="4"/>
  </r>
  <r>
    <x v="323"/>
    <x v="400"/>
    <s v="Veronika Němec"/>
    <x v="1"/>
    <x v="3"/>
    <x v="0"/>
    <x v="2"/>
    <x v="1"/>
    <x v="24"/>
    <s v="Fiala"/>
    <n v="2"/>
    <n v="358"/>
    <n v="7.0000000000000007E-2"/>
    <n v="716"/>
    <n v="484.14"/>
    <x v="400"/>
    <n v="0.32382681564245813"/>
    <x v="0"/>
    <x v="2"/>
  </r>
  <r>
    <x v="324"/>
    <x v="401"/>
    <s v="Martin Veselý"/>
    <x v="1"/>
    <x v="0"/>
    <x v="0"/>
    <x v="0"/>
    <x v="1"/>
    <x v="15"/>
    <s v="Beneš"/>
    <n v="1"/>
    <n v="700"/>
    <n v="0.14000000000000001"/>
    <n v="700"/>
    <n v="408.88"/>
    <x v="401"/>
    <n v="0.4158857142857143"/>
    <x v="2"/>
    <x v="6"/>
  </r>
  <r>
    <x v="290"/>
    <x v="402"/>
    <s v="Lukáš Jelínek"/>
    <x v="1"/>
    <x v="3"/>
    <x v="0"/>
    <x v="2"/>
    <x v="1"/>
    <x v="24"/>
    <s v="Svoboda"/>
    <n v="2"/>
    <n v="340"/>
    <n v="0.12"/>
    <n v="680"/>
    <n v="421.56"/>
    <x v="402"/>
    <n v="0.38005882352941178"/>
    <x v="2"/>
    <x v="4"/>
  </r>
  <r>
    <x v="57"/>
    <x v="403"/>
    <s v="Vltava s.r.o."/>
    <x v="0"/>
    <x v="0"/>
    <x v="0"/>
    <x v="2"/>
    <x v="2"/>
    <x v="28"/>
    <s v="Král"/>
    <n v="8"/>
    <n v="85"/>
    <n v="0.16"/>
    <n v="680"/>
    <n v="348.12"/>
    <x v="403"/>
    <n v="0.48805882352941177"/>
    <x v="1"/>
    <x v="9"/>
  </r>
  <r>
    <x v="325"/>
    <x v="404"/>
    <s v="Karolína Beneš"/>
    <x v="1"/>
    <x v="2"/>
    <x v="0"/>
    <x v="2"/>
    <x v="3"/>
    <x v="25"/>
    <s v="Beneš"/>
    <n v="2"/>
    <n v="320"/>
    <n v="0.13"/>
    <n v="640"/>
    <n v="451.84"/>
    <x v="404"/>
    <n v="0.29400000000000004"/>
    <x v="0"/>
    <x v="2"/>
  </r>
  <r>
    <x v="326"/>
    <x v="405"/>
    <s v="Vltava s.r.o."/>
    <x v="0"/>
    <x v="0"/>
    <x v="0"/>
    <x v="0"/>
    <x v="2"/>
    <x v="29"/>
    <s v="Fiala"/>
    <n v="6"/>
    <n v="103"/>
    <n v="0"/>
    <n v="618"/>
    <n v="417.88"/>
    <x v="405"/>
    <n v="0.32381877022653721"/>
    <x v="1"/>
    <x v="6"/>
  </r>
  <r>
    <x v="100"/>
    <x v="406"/>
    <s v="Beta a.s."/>
    <x v="0"/>
    <x v="2"/>
    <x v="0"/>
    <x v="1"/>
    <x v="2"/>
    <x v="28"/>
    <s v="Novák"/>
    <n v="6"/>
    <n v="102"/>
    <n v="0.23"/>
    <n v="612"/>
    <n v="386.77"/>
    <x v="406"/>
    <n v="0.3680228758169935"/>
    <x v="1"/>
    <x v="5"/>
  </r>
  <r>
    <x v="327"/>
    <x v="407"/>
    <s v="Karolína Pospíšil"/>
    <x v="1"/>
    <x v="2"/>
    <x v="0"/>
    <x v="2"/>
    <x v="3"/>
    <x v="21"/>
    <s v="Veselý"/>
    <n v="1"/>
    <n v="609"/>
    <n v="0.03"/>
    <n v="609"/>
    <n v="429.95"/>
    <x v="407"/>
    <n v="0.29400656814449921"/>
    <x v="0"/>
    <x v="11"/>
  </r>
  <r>
    <x v="328"/>
    <x v="408"/>
    <s v="Karel Král"/>
    <x v="1"/>
    <x v="2"/>
    <x v="0"/>
    <x v="2"/>
    <x v="0"/>
    <x v="20"/>
    <s v="Král"/>
    <n v="1"/>
    <n v="585"/>
    <n v="0.16"/>
    <n v="585"/>
    <n v="406.02"/>
    <x v="408"/>
    <n v="0.30594871794871797"/>
    <x v="0"/>
    <x v="8"/>
  </r>
  <r>
    <x v="123"/>
    <x v="409"/>
    <s v="Gama s.r.o."/>
    <x v="0"/>
    <x v="2"/>
    <x v="0"/>
    <x v="2"/>
    <x v="1"/>
    <x v="27"/>
    <s v="Beneš"/>
    <n v="9"/>
    <n v="65"/>
    <n v="0.06"/>
    <n v="585"/>
    <n v="358.99"/>
    <x v="409"/>
    <n v="0.38634188034188033"/>
    <x v="1"/>
    <x v="2"/>
  </r>
  <r>
    <x v="329"/>
    <x v="410"/>
    <s v="Beta a.s."/>
    <x v="0"/>
    <x v="1"/>
    <x v="0"/>
    <x v="0"/>
    <x v="1"/>
    <x v="27"/>
    <s v="Svoboda"/>
    <n v="6"/>
    <n v="97"/>
    <n v="0.09"/>
    <n v="582"/>
    <n v="367.56"/>
    <x v="410"/>
    <n v="0.36845360824742268"/>
    <x v="0"/>
    <x v="2"/>
  </r>
  <r>
    <x v="330"/>
    <x v="411"/>
    <s v="Petr Němec"/>
    <x v="1"/>
    <x v="1"/>
    <x v="0"/>
    <x v="0"/>
    <x v="2"/>
    <x v="23"/>
    <s v="Beneš"/>
    <n v="3"/>
    <n v="194"/>
    <n v="0.01"/>
    <n v="582"/>
    <n v="312.8"/>
    <x v="411"/>
    <n v="0.46254295532646045"/>
    <x v="0"/>
    <x v="11"/>
  </r>
  <r>
    <x v="237"/>
    <x v="412"/>
    <s v="Martina Dvořák"/>
    <x v="1"/>
    <x v="2"/>
    <x v="0"/>
    <x v="2"/>
    <x v="1"/>
    <x v="27"/>
    <s v="Novák"/>
    <n v="5"/>
    <n v="108"/>
    <n v="0.28000000000000003"/>
    <n v="540"/>
    <n v="314.45"/>
    <x v="412"/>
    <n v="0.41768518518518521"/>
    <x v="0"/>
    <x v="9"/>
  </r>
  <r>
    <x v="331"/>
    <x v="413"/>
    <s v="Anna Novák"/>
    <x v="1"/>
    <x v="2"/>
    <x v="0"/>
    <x v="2"/>
    <x v="3"/>
    <x v="21"/>
    <s v="Fiala"/>
    <n v="1"/>
    <n v="536"/>
    <n v="0.08"/>
    <n v="536"/>
    <n v="382.7"/>
    <x v="413"/>
    <n v="0.28600746268656718"/>
    <x v="0"/>
    <x v="3"/>
  </r>
  <r>
    <x v="332"/>
    <x v="414"/>
    <s v="Kateřina Horák"/>
    <x v="1"/>
    <x v="1"/>
    <x v="0"/>
    <x v="2"/>
    <x v="1"/>
    <x v="24"/>
    <s v="Dvořák"/>
    <n v="2"/>
    <n v="266"/>
    <n v="0.13"/>
    <n v="532"/>
    <n v="358.04"/>
    <x v="414"/>
    <n v="0.3269924812030075"/>
    <x v="0"/>
    <x v="7"/>
  </r>
  <r>
    <x v="333"/>
    <x v="415"/>
    <s v="Tereza Novák"/>
    <x v="1"/>
    <x v="2"/>
    <x v="0"/>
    <x v="0"/>
    <x v="3"/>
    <x v="26"/>
    <s v="Kučera"/>
    <n v="3"/>
    <n v="177"/>
    <n v="0.03"/>
    <n v="531"/>
    <n v="341.32"/>
    <x v="415"/>
    <n v="0.35721280602636535"/>
    <x v="0"/>
    <x v="6"/>
  </r>
  <r>
    <x v="334"/>
    <x v="416"/>
    <s v="Tereza Novák"/>
    <x v="1"/>
    <x v="1"/>
    <x v="0"/>
    <x v="0"/>
    <x v="3"/>
    <x v="21"/>
    <s v="Kučera"/>
    <n v="1"/>
    <n v="507"/>
    <n v="0.13"/>
    <n v="507"/>
    <n v="362.29"/>
    <x v="416"/>
    <n v="0.28542406311637075"/>
    <x v="1"/>
    <x v="10"/>
  </r>
  <r>
    <x v="335"/>
    <x v="417"/>
    <s v="Martin Král"/>
    <x v="1"/>
    <x v="0"/>
    <x v="0"/>
    <x v="2"/>
    <x v="3"/>
    <x v="19"/>
    <s v="Novák"/>
    <n v="1"/>
    <n v="504"/>
    <n v="0.03"/>
    <n v="504"/>
    <n v="323.3"/>
    <x v="417"/>
    <n v="0.35853174603174603"/>
    <x v="0"/>
    <x v="6"/>
  </r>
  <r>
    <x v="110"/>
    <x v="418"/>
    <s v="Omega s.r.o."/>
    <x v="0"/>
    <x v="2"/>
    <x v="0"/>
    <x v="1"/>
    <x v="2"/>
    <x v="29"/>
    <s v="Kučera"/>
    <n v="7"/>
    <n v="71"/>
    <n v="7.0000000000000007E-2"/>
    <n v="497"/>
    <n v="372.27"/>
    <x v="418"/>
    <n v="0.25096579476861169"/>
    <x v="1"/>
    <x v="5"/>
  </r>
  <r>
    <x v="336"/>
    <x v="419"/>
    <s v="Karel Pokorný"/>
    <x v="1"/>
    <x v="1"/>
    <x v="0"/>
    <x v="2"/>
    <x v="1"/>
    <x v="27"/>
    <s v="Novák"/>
    <n v="7"/>
    <n v="71"/>
    <n v="0.06"/>
    <n v="497"/>
    <n v="320.69"/>
    <x v="419"/>
    <n v="0.35474849094567407"/>
    <x v="0"/>
    <x v="6"/>
  </r>
  <r>
    <x v="331"/>
    <x v="420"/>
    <s v="Eliška Dvořák"/>
    <x v="1"/>
    <x v="0"/>
    <x v="0"/>
    <x v="2"/>
    <x v="1"/>
    <x v="27"/>
    <s v="Kučera"/>
    <n v="5"/>
    <n v="98"/>
    <n v="0.01"/>
    <n v="490"/>
    <n v="343.85"/>
    <x v="420"/>
    <n v="0.29826530612244895"/>
    <x v="0"/>
    <x v="3"/>
  </r>
  <r>
    <x v="337"/>
    <x v="421"/>
    <s v="Karolína Král"/>
    <x v="1"/>
    <x v="0"/>
    <x v="0"/>
    <x v="0"/>
    <x v="3"/>
    <x v="25"/>
    <s v="Fiala"/>
    <n v="2"/>
    <n v="243"/>
    <n v="0.09"/>
    <n v="486"/>
    <n v="333.3"/>
    <x v="421"/>
    <n v="0.31419753086419749"/>
    <x v="1"/>
    <x v="5"/>
  </r>
  <r>
    <x v="338"/>
    <x v="422"/>
    <s v="Veronika Kučera"/>
    <x v="1"/>
    <x v="1"/>
    <x v="0"/>
    <x v="2"/>
    <x v="3"/>
    <x v="21"/>
    <s v="Dvořák"/>
    <n v="1"/>
    <n v="481"/>
    <n v="0"/>
    <n v="481"/>
    <n v="335.78"/>
    <x v="422"/>
    <n v="0.30191268191268195"/>
    <x v="1"/>
    <x v="0"/>
  </r>
  <r>
    <x v="339"/>
    <x v="423"/>
    <s v="Alena Svoboda"/>
    <x v="1"/>
    <x v="2"/>
    <x v="0"/>
    <x v="0"/>
    <x v="2"/>
    <x v="23"/>
    <s v="Kučera"/>
    <n v="2"/>
    <n v="236"/>
    <n v="0.05"/>
    <n v="472"/>
    <n v="326.91000000000003"/>
    <x v="423"/>
    <n v="0.3073940677966101"/>
    <x v="0"/>
    <x v="2"/>
  </r>
  <r>
    <x v="340"/>
    <x v="424"/>
    <s v="Radek Horák"/>
    <x v="1"/>
    <x v="0"/>
    <x v="0"/>
    <x v="2"/>
    <x v="3"/>
    <x v="26"/>
    <s v="Dvořák"/>
    <n v="2"/>
    <n v="235"/>
    <n v="0.08"/>
    <n v="470"/>
    <n v="293.01"/>
    <x v="424"/>
    <n v="0.37657446808510642"/>
    <x v="0"/>
    <x v="0"/>
  </r>
  <r>
    <x v="341"/>
    <x v="425"/>
    <s v="Karolína Pospíšil"/>
    <x v="1"/>
    <x v="0"/>
    <x v="0"/>
    <x v="2"/>
    <x v="2"/>
    <x v="23"/>
    <s v="Kučera"/>
    <n v="2"/>
    <n v="223"/>
    <n v="0.03"/>
    <n v="446"/>
    <n v="347.68"/>
    <x v="425"/>
    <n v="0.22044843049327353"/>
    <x v="1"/>
    <x v="2"/>
  </r>
  <r>
    <x v="342"/>
    <x v="426"/>
    <s v="Ondřej Procházka"/>
    <x v="1"/>
    <x v="0"/>
    <x v="0"/>
    <x v="0"/>
    <x v="1"/>
    <x v="24"/>
    <s v="Beneš"/>
    <n v="1"/>
    <n v="424"/>
    <n v="0.2"/>
    <n v="424"/>
    <n v="259.33"/>
    <x v="426"/>
    <n v="0.38837264150943401"/>
    <x v="1"/>
    <x v="5"/>
  </r>
  <r>
    <x v="230"/>
    <x v="427"/>
    <s v="Anna Kučera"/>
    <x v="1"/>
    <x v="1"/>
    <x v="0"/>
    <x v="2"/>
    <x v="2"/>
    <x v="23"/>
    <s v="Dvořák"/>
    <n v="3"/>
    <n v="141"/>
    <n v="0.1"/>
    <n v="423"/>
    <n v="270.13"/>
    <x v="427"/>
    <n v="0.36139479905437355"/>
    <x v="0"/>
    <x v="6"/>
  </r>
  <r>
    <x v="295"/>
    <x v="428"/>
    <s v="Martin Pospíšil"/>
    <x v="1"/>
    <x v="1"/>
    <x v="0"/>
    <x v="0"/>
    <x v="1"/>
    <x v="27"/>
    <s v="Fiala"/>
    <n v="5"/>
    <n v="82"/>
    <n v="0"/>
    <n v="410"/>
    <n v="314.22000000000003"/>
    <x v="428"/>
    <n v="0.23360975609756091"/>
    <x v="1"/>
    <x v="0"/>
  </r>
  <r>
    <x v="199"/>
    <x v="429"/>
    <s v="Karel Procházka"/>
    <x v="1"/>
    <x v="0"/>
    <x v="0"/>
    <x v="0"/>
    <x v="1"/>
    <x v="27"/>
    <s v="Veselý"/>
    <n v="4"/>
    <n v="101"/>
    <n v="7.0000000000000007E-2"/>
    <n v="404"/>
    <n v="287.38"/>
    <x v="429"/>
    <n v="0.2886633663366337"/>
    <x v="2"/>
    <x v="6"/>
  </r>
  <r>
    <x v="343"/>
    <x v="430"/>
    <s v="Petra Procházka"/>
    <x v="1"/>
    <x v="3"/>
    <x v="0"/>
    <x v="2"/>
    <x v="2"/>
    <x v="29"/>
    <s v="Dvořák"/>
    <n v="4"/>
    <n v="100"/>
    <n v="0"/>
    <n v="400"/>
    <n v="280.11"/>
    <x v="430"/>
    <n v="0.29972499999999996"/>
    <x v="0"/>
    <x v="0"/>
  </r>
  <r>
    <x v="344"/>
    <x v="431"/>
    <s v="Jana Dvořák"/>
    <x v="1"/>
    <x v="1"/>
    <x v="0"/>
    <x v="2"/>
    <x v="1"/>
    <x v="27"/>
    <s v="Beneš"/>
    <n v="5"/>
    <n v="80"/>
    <n v="0.1"/>
    <n v="400"/>
    <n v="298.14"/>
    <x v="431"/>
    <n v="0.25465000000000004"/>
    <x v="2"/>
    <x v="4"/>
  </r>
  <r>
    <x v="345"/>
    <x v="432"/>
    <s v="Karel Němec"/>
    <x v="1"/>
    <x v="1"/>
    <x v="0"/>
    <x v="2"/>
    <x v="1"/>
    <x v="24"/>
    <s v="Král"/>
    <n v="1"/>
    <n v="396"/>
    <n v="0"/>
    <n v="396"/>
    <n v="267.93"/>
    <x v="432"/>
    <n v="0.32340909090909087"/>
    <x v="0"/>
    <x v="7"/>
  </r>
  <r>
    <x v="346"/>
    <x v="433"/>
    <s v="Petra Procházka"/>
    <x v="1"/>
    <x v="1"/>
    <x v="0"/>
    <x v="2"/>
    <x v="1"/>
    <x v="27"/>
    <s v="Novák"/>
    <n v="4"/>
    <n v="96"/>
    <n v="0.12"/>
    <n v="384"/>
    <n v="229.83"/>
    <x v="433"/>
    <n v="0.40148437499999995"/>
    <x v="1"/>
    <x v="2"/>
  </r>
  <r>
    <x v="136"/>
    <x v="434"/>
    <s v="Václav Němec"/>
    <x v="1"/>
    <x v="0"/>
    <x v="0"/>
    <x v="0"/>
    <x v="2"/>
    <x v="23"/>
    <s v="Svoboda"/>
    <n v="2"/>
    <n v="185"/>
    <n v="0.03"/>
    <n v="370"/>
    <n v="267.63"/>
    <x v="434"/>
    <n v="0.27667567567567569"/>
    <x v="2"/>
    <x v="4"/>
  </r>
  <r>
    <x v="347"/>
    <x v="435"/>
    <s v="Omega s.r.o."/>
    <x v="0"/>
    <x v="3"/>
    <x v="0"/>
    <x v="1"/>
    <x v="2"/>
    <x v="30"/>
    <s v="Dvořák"/>
    <n v="4"/>
    <n v="88"/>
    <n v="7.0000000000000007E-2"/>
    <n v="352"/>
    <n v="127.76"/>
    <x v="435"/>
    <n v="0.63704545454545458"/>
    <x v="2"/>
    <x v="1"/>
  </r>
  <r>
    <x v="201"/>
    <x v="436"/>
    <s v="Lucie Beneš"/>
    <x v="1"/>
    <x v="2"/>
    <x v="0"/>
    <x v="2"/>
    <x v="2"/>
    <x v="28"/>
    <s v="Kučera"/>
    <n v="3"/>
    <n v="108"/>
    <n v="0.1"/>
    <n v="324"/>
    <n v="206.29"/>
    <x v="436"/>
    <n v="0.3633024691358025"/>
    <x v="1"/>
    <x v="11"/>
  </r>
  <r>
    <x v="43"/>
    <x v="437"/>
    <s v="Alfa s.r.o."/>
    <x v="0"/>
    <x v="0"/>
    <x v="0"/>
    <x v="1"/>
    <x v="1"/>
    <x v="27"/>
    <s v="Kučera"/>
    <n v="6"/>
    <n v="54"/>
    <n v="0.3"/>
    <n v="324"/>
    <n v="189.98"/>
    <x v="437"/>
    <n v="0.413641975308642"/>
    <x v="1"/>
    <x v="5"/>
  </r>
  <r>
    <x v="0"/>
    <x v="438"/>
    <s v="Radek Král"/>
    <x v="1"/>
    <x v="0"/>
    <x v="0"/>
    <x v="2"/>
    <x v="1"/>
    <x v="27"/>
    <s v="Svoboda"/>
    <n v="3"/>
    <n v="106"/>
    <n v="0.05"/>
    <n v="318"/>
    <n v="202.06"/>
    <x v="438"/>
    <n v="0.36459119496855347"/>
    <x v="0"/>
    <x v="0"/>
  </r>
  <r>
    <x v="322"/>
    <x v="439"/>
    <s v="Anna Kučera"/>
    <x v="1"/>
    <x v="3"/>
    <x v="0"/>
    <x v="1"/>
    <x v="2"/>
    <x v="28"/>
    <s v="Svoboda"/>
    <n v="3"/>
    <n v="104"/>
    <n v="0.05"/>
    <n v="312"/>
    <n v="221.75"/>
    <x v="439"/>
    <n v="0.28926282051282054"/>
    <x v="1"/>
    <x v="4"/>
  </r>
  <r>
    <x v="348"/>
    <x v="440"/>
    <s v="Lukáš Dvořák"/>
    <x v="1"/>
    <x v="0"/>
    <x v="0"/>
    <x v="2"/>
    <x v="2"/>
    <x v="29"/>
    <s v="Svoboda"/>
    <n v="4"/>
    <n v="76"/>
    <n v="0.22"/>
    <n v="304"/>
    <n v="155.99"/>
    <x v="440"/>
    <n v="0.48687499999999995"/>
    <x v="0"/>
    <x v="8"/>
  </r>
  <r>
    <x v="349"/>
    <x v="441"/>
    <s v="Václav Svoboda"/>
    <x v="1"/>
    <x v="3"/>
    <x v="0"/>
    <x v="2"/>
    <x v="2"/>
    <x v="23"/>
    <s v="Novák"/>
    <n v="2"/>
    <n v="152"/>
    <n v="7.0000000000000007E-2"/>
    <n v="304"/>
    <n v="216.62"/>
    <x v="441"/>
    <n v="0.28743421052631579"/>
    <x v="2"/>
    <x v="11"/>
  </r>
  <r>
    <x v="350"/>
    <x v="442"/>
    <s v="Anna Fiala"/>
    <x v="1"/>
    <x v="1"/>
    <x v="0"/>
    <x v="2"/>
    <x v="1"/>
    <x v="27"/>
    <s v="Dvořák"/>
    <n v="3"/>
    <n v="96"/>
    <n v="0.14000000000000001"/>
    <n v="288"/>
    <n v="207.92"/>
    <x v="442"/>
    <n v="0.27805555555555561"/>
    <x v="0"/>
    <x v="5"/>
  </r>
  <r>
    <x v="189"/>
    <x v="443"/>
    <s v="Martin Hájek"/>
    <x v="1"/>
    <x v="2"/>
    <x v="0"/>
    <x v="0"/>
    <x v="2"/>
    <x v="29"/>
    <s v="Fiala"/>
    <n v="3"/>
    <n v="95"/>
    <n v="0.06"/>
    <n v="285"/>
    <n v="169.25"/>
    <x v="443"/>
    <n v="0.40614035087719297"/>
    <x v="0"/>
    <x v="10"/>
  </r>
  <r>
    <x v="35"/>
    <x v="444"/>
    <s v="Kappa s.r.o."/>
    <x v="0"/>
    <x v="1"/>
    <x v="0"/>
    <x v="1"/>
    <x v="2"/>
    <x v="31"/>
    <s v="Novák"/>
    <n v="9"/>
    <n v="30"/>
    <n v="0.11"/>
    <n v="270"/>
    <n v="284.01"/>
    <x v="444"/>
    <n v="-5.1888888888888852E-2"/>
    <x v="1"/>
    <x v="5"/>
  </r>
  <r>
    <x v="351"/>
    <x v="445"/>
    <s v="Anna Dvořák"/>
    <x v="1"/>
    <x v="2"/>
    <x v="0"/>
    <x v="0"/>
    <x v="2"/>
    <x v="23"/>
    <s v="Novák"/>
    <n v="2"/>
    <n v="135"/>
    <n v="0.11"/>
    <n v="270"/>
    <n v="167.48"/>
    <x v="445"/>
    <n v="0.37970370370370377"/>
    <x v="2"/>
    <x v="11"/>
  </r>
  <r>
    <x v="352"/>
    <x v="446"/>
    <s v="Jan Fiala"/>
    <x v="1"/>
    <x v="1"/>
    <x v="0"/>
    <x v="2"/>
    <x v="2"/>
    <x v="29"/>
    <s v="Svoboda"/>
    <n v="3"/>
    <n v="87"/>
    <n v="0.01"/>
    <n v="261"/>
    <n v="178.17"/>
    <x v="446"/>
    <n v="0.31735632183908052"/>
    <x v="1"/>
    <x v="7"/>
  </r>
  <r>
    <x v="353"/>
    <x v="447"/>
    <s v="Filip Veselý"/>
    <x v="1"/>
    <x v="1"/>
    <x v="0"/>
    <x v="2"/>
    <x v="2"/>
    <x v="28"/>
    <s v="Novák"/>
    <n v="3"/>
    <n v="85"/>
    <n v="0.02"/>
    <n v="255"/>
    <n v="167.67"/>
    <x v="447"/>
    <n v="0.34247058823529419"/>
    <x v="2"/>
    <x v="1"/>
  </r>
  <r>
    <x v="354"/>
    <x v="448"/>
    <s v="Alena Černý"/>
    <x v="1"/>
    <x v="0"/>
    <x v="0"/>
    <x v="2"/>
    <x v="2"/>
    <x v="31"/>
    <s v="Veselý"/>
    <n v="5"/>
    <n v="50"/>
    <n v="0"/>
    <n v="250"/>
    <n v="168.32"/>
    <x v="448"/>
    <n v="0.32672000000000001"/>
    <x v="1"/>
    <x v="6"/>
  </r>
  <r>
    <x v="355"/>
    <x v="449"/>
    <s v="Anna Kučera"/>
    <x v="1"/>
    <x v="3"/>
    <x v="0"/>
    <x v="2"/>
    <x v="2"/>
    <x v="28"/>
    <s v="Veselý"/>
    <n v="3"/>
    <n v="83"/>
    <n v="0.06"/>
    <n v="249"/>
    <n v="176.37"/>
    <x v="449"/>
    <n v="0.29168674698795177"/>
    <x v="1"/>
    <x v="10"/>
  </r>
  <r>
    <x v="81"/>
    <x v="450"/>
    <s v="Jan Fiala"/>
    <x v="1"/>
    <x v="2"/>
    <x v="0"/>
    <x v="2"/>
    <x v="2"/>
    <x v="23"/>
    <s v="Beneš"/>
    <n v="1"/>
    <n v="240"/>
    <n v="0.05"/>
    <n v="240"/>
    <n v="160.86000000000001"/>
    <x v="450"/>
    <n v="0.32974999999999993"/>
    <x v="1"/>
    <x v="11"/>
  </r>
  <r>
    <x v="233"/>
    <x v="451"/>
    <s v="Radek Hájek"/>
    <x v="1"/>
    <x v="0"/>
    <x v="0"/>
    <x v="1"/>
    <x v="2"/>
    <x v="29"/>
    <s v="Kučera"/>
    <n v="3"/>
    <n v="79"/>
    <n v="0.04"/>
    <n v="237"/>
    <n v="177.46"/>
    <x v="451"/>
    <n v="0.25122362869198311"/>
    <x v="1"/>
    <x v="7"/>
  </r>
  <r>
    <x v="356"/>
    <x v="452"/>
    <s v="Daniel Horák"/>
    <x v="1"/>
    <x v="1"/>
    <x v="0"/>
    <x v="2"/>
    <x v="2"/>
    <x v="23"/>
    <s v="Král"/>
    <n v="2"/>
    <n v="115"/>
    <n v="0.12"/>
    <n v="230"/>
    <n v="117.86"/>
    <x v="452"/>
    <n v="0.48756521739130437"/>
    <x v="0"/>
    <x v="4"/>
  </r>
  <r>
    <x v="357"/>
    <x v="453"/>
    <s v="Jan Černý"/>
    <x v="1"/>
    <x v="1"/>
    <x v="0"/>
    <x v="2"/>
    <x v="1"/>
    <x v="27"/>
    <s v="Veselý"/>
    <n v="3"/>
    <n v="76"/>
    <n v="0.23"/>
    <n v="228"/>
    <n v="113.48"/>
    <x v="453"/>
    <n v="0.50228070175438599"/>
    <x v="1"/>
    <x v="5"/>
  </r>
  <r>
    <x v="191"/>
    <x v="454"/>
    <s v="Kappa s.r.o."/>
    <x v="0"/>
    <x v="2"/>
    <x v="0"/>
    <x v="0"/>
    <x v="2"/>
    <x v="31"/>
    <s v="Veselý"/>
    <n v="9"/>
    <n v="25"/>
    <n v="0.06"/>
    <n v="225"/>
    <n v="174.06"/>
    <x v="454"/>
    <n v="0.22639999999999999"/>
    <x v="0"/>
    <x v="8"/>
  </r>
  <r>
    <x v="358"/>
    <x v="455"/>
    <s v="Martina Novák"/>
    <x v="1"/>
    <x v="2"/>
    <x v="0"/>
    <x v="2"/>
    <x v="2"/>
    <x v="29"/>
    <s v="Svoboda"/>
    <n v="2"/>
    <n v="108"/>
    <n v="0.09"/>
    <n v="216"/>
    <n v="151.96"/>
    <x v="455"/>
    <n v="0.29648148148148146"/>
    <x v="1"/>
    <x v="11"/>
  </r>
  <r>
    <x v="359"/>
    <x v="456"/>
    <s v="Martin Hájek"/>
    <x v="1"/>
    <x v="0"/>
    <x v="0"/>
    <x v="2"/>
    <x v="2"/>
    <x v="28"/>
    <s v="Král"/>
    <n v="2"/>
    <n v="106"/>
    <n v="0.06"/>
    <n v="212"/>
    <n v="174.38"/>
    <x v="456"/>
    <n v="0.17745283018867927"/>
    <x v="1"/>
    <x v="7"/>
  </r>
  <r>
    <x v="229"/>
    <x v="457"/>
    <s v="Markéta Dvořák"/>
    <x v="1"/>
    <x v="0"/>
    <x v="0"/>
    <x v="0"/>
    <x v="2"/>
    <x v="23"/>
    <s v="Král"/>
    <n v="1"/>
    <n v="211"/>
    <n v="0.14000000000000001"/>
    <n v="211"/>
    <n v="158.21"/>
    <x v="457"/>
    <n v="0.2501895734597156"/>
    <x v="2"/>
    <x v="8"/>
  </r>
  <r>
    <x v="360"/>
    <x v="458"/>
    <s v="Tomáš Kučera"/>
    <x v="1"/>
    <x v="2"/>
    <x v="0"/>
    <x v="2"/>
    <x v="3"/>
    <x v="26"/>
    <s v="Kučera"/>
    <n v="1"/>
    <n v="201"/>
    <n v="7.0000000000000007E-2"/>
    <n v="201"/>
    <n v="111.05"/>
    <x v="458"/>
    <n v="0.4475124378109453"/>
    <x v="0"/>
    <x v="7"/>
  </r>
  <r>
    <x v="264"/>
    <x v="459"/>
    <s v="Lucie Pospíšil"/>
    <x v="1"/>
    <x v="2"/>
    <x v="0"/>
    <x v="2"/>
    <x v="2"/>
    <x v="31"/>
    <s v="Dvořák"/>
    <n v="5"/>
    <n v="40"/>
    <n v="0.11"/>
    <n v="200"/>
    <n v="133.12"/>
    <x v="459"/>
    <n v="0.33439999999999998"/>
    <x v="1"/>
    <x v="10"/>
  </r>
  <r>
    <x v="361"/>
    <x v="460"/>
    <s v="Eliška Král"/>
    <x v="1"/>
    <x v="2"/>
    <x v="0"/>
    <x v="2"/>
    <x v="2"/>
    <x v="31"/>
    <s v="Fiala"/>
    <n v="8"/>
    <n v="25"/>
    <n v="0.13"/>
    <n v="200"/>
    <n v="282.74"/>
    <x v="460"/>
    <n v="-0.41370000000000007"/>
    <x v="2"/>
    <x v="6"/>
  </r>
  <r>
    <x v="238"/>
    <x v="461"/>
    <s v="Martin Pospíšil"/>
    <x v="1"/>
    <x v="1"/>
    <x v="0"/>
    <x v="2"/>
    <x v="1"/>
    <x v="27"/>
    <s v="Novák"/>
    <n v="2"/>
    <n v="97"/>
    <n v="0.08"/>
    <n v="194"/>
    <n v="130.63999999999999"/>
    <x v="461"/>
    <n v="0.32659793814432997"/>
    <x v="2"/>
    <x v="1"/>
  </r>
  <r>
    <x v="362"/>
    <x v="462"/>
    <s v="Markéta Pospíšil"/>
    <x v="1"/>
    <x v="0"/>
    <x v="0"/>
    <x v="2"/>
    <x v="2"/>
    <x v="30"/>
    <s v="Dvořák"/>
    <n v="5"/>
    <n v="38"/>
    <n v="0.15"/>
    <n v="190"/>
    <n v="97.09"/>
    <x v="462"/>
    <n v="0.48899999999999999"/>
    <x v="0"/>
    <x v="3"/>
  </r>
  <r>
    <x v="222"/>
    <x v="463"/>
    <s v="Markéta Fiala"/>
    <x v="1"/>
    <x v="1"/>
    <x v="0"/>
    <x v="2"/>
    <x v="1"/>
    <x v="27"/>
    <s v="Novák"/>
    <n v="2"/>
    <n v="95"/>
    <n v="0.08"/>
    <n v="190"/>
    <n v="109.82"/>
    <x v="463"/>
    <n v="0.42200000000000004"/>
    <x v="2"/>
    <x v="6"/>
  </r>
  <r>
    <x v="191"/>
    <x v="464"/>
    <s v="Radek Král"/>
    <x v="1"/>
    <x v="2"/>
    <x v="0"/>
    <x v="2"/>
    <x v="3"/>
    <x v="26"/>
    <s v="Novák"/>
    <n v="1"/>
    <n v="189"/>
    <n v="0.05"/>
    <n v="189"/>
    <n v="89.69"/>
    <x v="464"/>
    <n v="0.5254497354497355"/>
    <x v="0"/>
    <x v="8"/>
  </r>
  <r>
    <x v="363"/>
    <x v="465"/>
    <s v="Jiří Horák"/>
    <x v="1"/>
    <x v="1"/>
    <x v="0"/>
    <x v="0"/>
    <x v="1"/>
    <x v="27"/>
    <s v="Beneš"/>
    <n v="3"/>
    <n v="62"/>
    <n v="0.08"/>
    <n v="186"/>
    <n v="135.54"/>
    <x v="465"/>
    <n v="0.27129032258064523"/>
    <x v="0"/>
    <x v="9"/>
  </r>
  <r>
    <x v="364"/>
    <x v="466"/>
    <s v="Lucie Černý"/>
    <x v="1"/>
    <x v="2"/>
    <x v="0"/>
    <x v="2"/>
    <x v="2"/>
    <x v="30"/>
    <s v="Novák"/>
    <n v="5"/>
    <n v="36"/>
    <n v="0.1"/>
    <n v="180"/>
    <n v="88.52"/>
    <x v="466"/>
    <n v="0.50822222222222224"/>
    <x v="0"/>
    <x v="8"/>
  </r>
  <r>
    <x v="36"/>
    <x v="467"/>
    <s v="Veronika Veselý"/>
    <x v="1"/>
    <x v="3"/>
    <x v="0"/>
    <x v="2"/>
    <x v="3"/>
    <x v="26"/>
    <s v="Svoboda"/>
    <n v="1"/>
    <n v="172"/>
    <n v="0.13"/>
    <n v="172"/>
    <n v="110.15"/>
    <x v="467"/>
    <n v="0.35959302325581394"/>
    <x v="1"/>
    <x v="6"/>
  </r>
  <r>
    <x v="159"/>
    <x v="468"/>
    <s v="Eliška Jelínek"/>
    <x v="1"/>
    <x v="2"/>
    <x v="0"/>
    <x v="2"/>
    <x v="1"/>
    <x v="27"/>
    <s v="Kučera"/>
    <n v="2"/>
    <n v="81"/>
    <n v="0.1"/>
    <n v="162"/>
    <n v="108.28"/>
    <x v="468"/>
    <n v="0.33160493827160492"/>
    <x v="1"/>
    <x v="10"/>
  </r>
  <r>
    <x v="58"/>
    <x v="469"/>
    <s v="Markéta Novák"/>
    <x v="1"/>
    <x v="1"/>
    <x v="0"/>
    <x v="2"/>
    <x v="3"/>
    <x v="26"/>
    <s v="Dvořák"/>
    <n v="1"/>
    <n v="156"/>
    <n v="0.05"/>
    <n v="156"/>
    <n v="94"/>
    <x v="469"/>
    <n v="0.39743589743589741"/>
    <x v="0"/>
    <x v="4"/>
  </r>
  <r>
    <x v="365"/>
    <x v="470"/>
    <s v="Tereza Novotný"/>
    <x v="1"/>
    <x v="0"/>
    <x v="0"/>
    <x v="2"/>
    <x v="1"/>
    <x v="27"/>
    <s v="Novák"/>
    <n v="3"/>
    <n v="51"/>
    <n v="0.01"/>
    <n v="153"/>
    <n v="106.48"/>
    <x v="470"/>
    <n v="0.30405228758169933"/>
    <x v="0"/>
    <x v="11"/>
  </r>
  <r>
    <x v="366"/>
    <x v="471"/>
    <s v="Martina Němec"/>
    <x v="1"/>
    <x v="1"/>
    <x v="0"/>
    <x v="2"/>
    <x v="1"/>
    <x v="27"/>
    <s v="Kučera"/>
    <n v="2"/>
    <n v="76"/>
    <n v="0.13"/>
    <n v="152"/>
    <n v="85.83"/>
    <x v="471"/>
    <n v="0.43532894736842104"/>
    <x v="1"/>
    <x v="5"/>
  </r>
  <r>
    <x v="151"/>
    <x v="472"/>
    <s v="Orion a.s."/>
    <x v="0"/>
    <x v="0"/>
    <x v="0"/>
    <x v="2"/>
    <x v="2"/>
    <x v="30"/>
    <s v="Dvořák"/>
    <n v="6"/>
    <n v="25"/>
    <n v="0.11"/>
    <n v="150"/>
    <n v="93.35"/>
    <x v="472"/>
    <n v="0.37766666666666671"/>
    <x v="2"/>
    <x v="8"/>
  </r>
  <r>
    <x v="367"/>
    <x v="473"/>
    <s v="Václav Novotný"/>
    <x v="1"/>
    <x v="3"/>
    <x v="0"/>
    <x v="0"/>
    <x v="2"/>
    <x v="29"/>
    <s v="Král"/>
    <n v="2"/>
    <n v="73"/>
    <n v="0.08"/>
    <n v="146"/>
    <n v="87.14"/>
    <x v="473"/>
    <n v="0.40315068493150685"/>
    <x v="1"/>
    <x v="3"/>
  </r>
  <r>
    <x v="368"/>
    <x v="474"/>
    <s v="Ondřej Pokorný"/>
    <x v="1"/>
    <x v="1"/>
    <x v="0"/>
    <x v="2"/>
    <x v="2"/>
    <x v="29"/>
    <s v="Kučera"/>
    <n v="2"/>
    <n v="73"/>
    <n v="0"/>
    <n v="146"/>
    <n v="96.51"/>
    <x v="474"/>
    <n v="0.33897260273972601"/>
    <x v="1"/>
    <x v="7"/>
  </r>
  <r>
    <x v="311"/>
    <x v="475"/>
    <s v="Martin Král"/>
    <x v="1"/>
    <x v="3"/>
    <x v="0"/>
    <x v="0"/>
    <x v="2"/>
    <x v="29"/>
    <s v="Svoboda"/>
    <n v="2"/>
    <n v="73"/>
    <n v="0.11"/>
    <n v="146"/>
    <n v="87.89"/>
    <x v="475"/>
    <n v="0.39801369863013697"/>
    <x v="2"/>
    <x v="6"/>
  </r>
  <r>
    <x v="369"/>
    <x v="476"/>
    <s v="Daniel Pokorný"/>
    <x v="1"/>
    <x v="2"/>
    <x v="0"/>
    <x v="2"/>
    <x v="2"/>
    <x v="31"/>
    <s v="Kučera"/>
    <n v="3"/>
    <n v="48"/>
    <n v="0.09"/>
    <n v="144"/>
    <n v="93.93"/>
    <x v="476"/>
    <n v="0.34770833333333329"/>
    <x v="1"/>
    <x v="9"/>
  </r>
  <r>
    <x v="306"/>
    <x v="477"/>
    <s v="Jiří Svoboda"/>
    <x v="1"/>
    <x v="1"/>
    <x v="0"/>
    <x v="2"/>
    <x v="2"/>
    <x v="30"/>
    <s v="Svoboda"/>
    <n v="3"/>
    <n v="45"/>
    <n v="0.06"/>
    <n v="135"/>
    <n v="54.48"/>
    <x v="477"/>
    <n v="0.59644444444444455"/>
    <x v="1"/>
    <x v="1"/>
  </r>
  <r>
    <x v="370"/>
    <x v="478"/>
    <s v="Lucie Pospíšil"/>
    <x v="1"/>
    <x v="2"/>
    <x v="0"/>
    <x v="0"/>
    <x v="2"/>
    <x v="30"/>
    <s v="Fiala"/>
    <n v="3"/>
    <n v="45"/>
    <n v="0.1"/>
    <n v="135"/>
    <n v="81.260000000000005"/>
    <x v="478"/>
    <n v="0.39807407407407402"/>
    <x v="1"/>
    <x v="2"/>
  </r>
  <r>
    <x v="371"/>
    <x v="479"/>
    <s v="Lucie Pokorný"/>
    <x v="1"/>
    <x v="2"/>
    <x v="0"/>
    <x v="0"/>
    <x v="2"/>
    <x v="23"/>
    <s v="Novák"/>
    <n v="1"/>
    <n v="135"/>
    <n v="0.04"/>
    <n v="135"/>
    <n v="99.82"/>
    <x v="479"/>
    <n v="0.26059259259259265"/>
    <x v="2"/>
    <x v="8"/>
  </r>
  <r>
    <x v="372"/>
    <x v="480"/>
    <s v="Karolína Procházka"/>
    <x v="1"/>
    <x v="1"/>
    <x v="0"/>
    <x v="2"/>
    <x v="2"/>
    <x v="31"/>
    <s v="Král"/>
    <n v="3"/>
    <n v="44"/>
    <n v="0"/>
    <n v="132"/>
    <n v="103.01"/>
    <x v="480"/>
    <n v="0.21962121212121208"/>
    <x v="1"/>
    <x v="11"/>
  </r>
  <r>
    <x v="373"/>
    <x v="481"/>
    <s v="Jan Pospíšil"/>
    <x v="1"/>
    <x v="1"/>
    <x v="0"/>
    <x v="0"/>
    <x v="2"/>
    <x v="23"/>
    <s v="Král"/>
    <n v="1"/>
    <n v="128"/>
    <n v="7.0000000000000007E-2"/>
    <n v="128"/>
    <n v="91.97"/>
    <x v="481"/>
    <n v="0.28148437500000001"/>
    <x v="1"/>
    <x v="9"/>
  </r>
  <r>
    <x v="374"/>
    <x v="482"/>
    <s v="Ondřej Pospíšil"/>
    <x v="1"/>
    <x v="1"/>
    <x v="0"/>
    <x v="0"/>
    <x v="2"/>
    <x v="31"/>
    <s v="Veselý"/>
    <n v="3"/>
    <n v="41"/>
    <n v="0.05"/>
    <n v="123"/>
    <n v="67.42"/>
    <x v="482"/>
    <n v="0.45186991869918697"/>
    <x v="1"/>
    <x v="4"/>
  </r>
  <r>
    <x v="375"/>
    <x v="483"/>
    <s v="Martin Dvořák"/>
    <x v="1"/>
    <x v="0"/>
    <x v="0"/>
    <x v="2"/>
    <x v="2"/>
    <x v="30"/>
    <s v="Fiala"/>
    <n v="3"/>
    <n v="36"/>
    <n v="0.06"/>
    <n v="108"/>
    <n v="71.010000000000005"/>
    <x v="483"/>
    <n v="0.34249999999999997"/>
    <x v="1"/>
    <x v="2"/>
  </r>
  <r>
    <x v="376"/>
    <x v="484"/>
    <s v="Karolína Horák"/>
    <x v="1"/>
    <x v="2"/>
    <x v="0"/>
    <x v="2"/>
    <x v="2"/>
    <x v="31"/>
    <s v="Fiala"/>
    <n v="4"/>
    <n v="25"/>
    <n v="0.14000000000000001"/>
    <n v="100"/>
    <n v="98.07"/>
    <x v="484"/>
    <n v="1.9300000000000067E-2"/>
    <x v="2"/>
    <x v="11"/>
  </r>
  <r>
    <x v="377"/>
    <x v="485"/>
    <s v="Petr Svoboda"/>
    <x v="1"/>
    <x v="0"/>
    <x v="0"/>
    <x v="1"/>
    <x v="2"/>
    <x v="28"/>
    <s v="Dvořák"/>
    <n v="1"/>
    <n v="95"/>
    <n v="0.04"/>
    <n v="95"/>
    <n v="63.54"/>
    <x v="485"/>
    <n v="0.3311578947368421"/>
    <x v="2"/>
    <x v="4"/>
  </r>
  <r>
    <x v="378"/>
    <x v="486"/>
    <s v="Radek Procházka"/>
    <x v="1"/>
    <x v="1"/>
    <x v="0"/>
    <x v="0"/>
    <x v="2"/>
    <x v="28"/>
    <s v="Kučera"/>
    <n v="1"/>
    <n v="84"/>
    <n v="0.03"/>
    <n v="84"/>
    <n v="55.53"/>
    <x v="486"/>
    <n v="0.33892857142857141"/>
    <x v="0"/>
    <x v="3"/>
  </r>
  <r>
    <x v="379"/>
    <x v="487"/>
    <s v="Kateřina Svoboda"/>
    <x v="1"/>
    <x v="3"/>
    <x v="0"/>
    <x v="0"/>
    <x v="2"/>
    <x v="30"/>
    <s v="Novák"/>
    <n v="4"/>
    <n v="20"/>
    <n v="0"/>
    <n v="80"/>
    <n v="51.28"/>
    <x v="487"/>
    <n v="0.35899999999999999"/>
    <x v="1"/>
    <x v="9"/>
  </r>
  <r>
    <x v="22"/>
    <x v="488"/>
    <s v="Petr Fiala"/>
    <x v="1"/>
    <x v="0"/>
    <x v="0"/>
    <x v="2"/>
    <x v="2"/>
    <x v="29"/>
    <s v="Novák"/>
    <n v="1"/>
    <n v="69"/>
    <n v="0.2"/>
    <n v="69"/>
    <n v="42.46"/>
    <x v="488"/>
    <n v="0.38463768115942026"/>
    <x v="1"/>
    <x v="9"/>
  </r>
  <r>
    <x v="380"/>
    <x v="489"/>
    <s v="Karel Novák"/>
    <x v="1"/>
    <x v="1"/>
    <x v="0"/>
    <x v="0"/>
    <x v="2"/>
    <x v="31"/>
    <s v="Kučera"/>
    <n v="2"/>
    <n v="30"/>
    <n v="0.14000000000000001"/>
    <n v="60"/>
    <n v="66.13"/>
    <x v="489"/>
    <n v="-0.10216666666666659"/>
    <x v="1"/>
    <x v="10"/>
  </r>
  <r>
    <x v="381"/>
    <x v="490"/>
    <s v="David Novák"/>
    <x v="1"/>
    <x v="1"/>
    <x v="0"/>
    <x v="2"/>
    <x v="2"/>
    <x v="29"/>
    <s v="Dvořák"/>
    <n v="1"/>
    <n v="60"/>
    <n v="0.09"/>
    <n v="60"/>
    <n v="33.61"/>
    <x v="490"/>
    <n v="0.43983333333333335"/>
    <x v="1"/>
    <x v="7"/>
  </r>
  <r>
    <x v="382"/>
    <x v="491"/>
    <s v="Alena Král"/>
    <x v="1"/>
    <x v="1"/>
    <x v="0"/>
    <x v="2"/>
    <x v="2"/>
    <x v="30"/>
    <s v="Veselý"/>
    <n v="2"/>
    <n v="28"/>
    <n v="0.14000000000000001"/>
    <n v="56"/>
    <n v="26.92"/>
    <x v="491"/>
    <n v="0.51928571428571424"/>
    <x v="0"/>
    <x v="10"/>
  </r>
  <r>
    <x v="383"/>
    <x v="492"/>
    <s v="Karolína Novotný"/>
    <x v="1"/>
    <x v="2"/>
    <x v="0"/>
    <x v="2"/>
    <x v="2"/>
    <x v="30"/>
    <s v="Svoboda"/>
    <n v="1"/>
    <n v="56"/>
    <n v="0.02"/>
    <n v="56"/>
    <n v="14.69"/>
    <x v="492"/>
    <n v="0.73767857142857152"/>
    <x v="2"/>
    <x v="8"/>
  </r>
  <r>
    <x v="281"/>
    <x v="493"/>
    <s v="Radek Novotný"/>
    <x v="1"/>
    <x v="1"/>
    <x v="0"/>
    <x v="0"/>
    <x v="2"/>
    <x v="31"/>
    <s v="Fiala"/>
    <n v="1"/>
    <n v="48"/>
    <n v="0.14000000000000001"/>
    <n v="48"/>
    <n v="30.2"/>
    <x v="493"/>
    <n v="0.37083333333333335"/>
    <x v="0"/>
    <x v="5"/>
  </r>
  <r>
    <x v="274"/>
    <x v="494"/>
    <s v="Eliška Svoboda"/>
    <x v="1"/>
    <x v="3"/>
    <x v="0"/>
    <x v="0"/>
    <x v="2"/>
    <x v="30"/>
    <s v="Svoboda"/>
    <n v="1"/>
    <n v="45"/>
    <n v="0.02"/>
    <n v="45"/>
    <n v="19.059999999999999"/>
    <x v="494"/>
    <n v="0.57644444444444443"/>
    <x v="1"/>
    <x v="8"/>
  </r>
  <r>
    <x v="384"/>
    <x v="495"/>
    <s v="Veronika Beneš"/>
    <x v="1"/>
    <x v="0"/>
    <x v="0"/>
    <x v="2"/>
    <x v="2"/>
    <x v="31"/>
    <s v="Dvořák"/>
    <n v="1"/>
    <n v="41"/>
    <n v="7.0000000000000007E-2"/>
    <n v="41"/>
    <n v="24.73"/>
    <x v="495"/>
    <n v="0.39682926829268289"/>
    <x v="0"/>
    <x v="10"/>
  </r>
  <r>
    <x v="117"/>
    <x v="496"/>
    <s v="Radek Pokorný"/>
    <x v="1"/>
    <x v="1"/>
    <x v="0"/>
    <x v="0"/>
    <x v="2"/>
    <x v="30"/>
    <s v="Svoboda"/>
    <n v="1"/>
    <n v="32"/>
    <n v="0.06"/>
    <n v="32"/>
    <n v="23.65"/>
    <x v="496"/>
    <n v="0.26093750000000004"/>
    <x v="0"/>
    <x v="10"/>
  </r>
  <r>
    <x v="385"/>
    <x v="497"/>
    <s v="Ondřej Němec"/>
    <x v="1"/>
    <x v="0"/>
    <x v="0"/>
    <x v="0"/>
    <x v="2"/>
    <x v="31"/>
    <s v="Svoboda"/>
    <n v="1"/>
    <n v="30"/>
    <n v="0.05"/>
    <n v="30"/>
    <n v="38.86"/>
    <x v="497"/>
    <n v="-0.29533333333333334"/>
    <x v="1"/>
    <x v="9"/>
  </r>
  <r>
    <x v="162"/>
    <x v="498"/>
    <s v="Martin Dvořák"/>
    <x v="1"/>
    <x v="1"/>
    <x v="0"/>
    <x v="2"/>
    <x v="2"/>
    <x v="30"/>
    <s v="Veselý"/>
    <n v="1"/>
    <n v="30"/>
    <n v="0"/>
    <n v="30"/>
    <n v="22.21"/>
    <x v="498"/>
    <n v="0.25966666666666666"/>
    <x v="1"/>
    <x v="1"/>
  </r>
  <r>
    <x v="386"/>
    <x v="499"/>
    <s v="Jana Svoboda"/>
    <x v="1"/>
    <x v="1"/>
    <x v="0"/>
    <x v="2"/>
    <x v="2"/>
    <x v="31"/>
    <s v="Fiala"/>
    <n v="1"/>
    <n v="29"/>
    <n v="0.02"/>
    <n v="29"/>
    <n v="21.31"/>
    <x v="499"/>
    <n v="0.26517241379310347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n v="1383022"/>
    <n v="0.32731568018335067"/>
    <x v="0"/>
  </r>
  <r>
    <x v="1"/>
    <n v="433125"/>
    <n v="0.42982207847594017"/>
    <x v="0"/>
  </r>
  <r>
    <x v="2"/>
    <n v="299094"/>
    <n v="0.50060776087922743"/>
    <x v="0"/>
  </r>
  <r>
    <x v="3"/>
    <n v="290959"/>
    <n v="0.56946815716393406"/>
    <x v="0"/>
  </r>
  <r>
    <x v="4"/>
    <n v="275421"/>
    <n v="0.6346512214621004"/>
    <x v="0"/>
  </r>
  <r>
    <x v="5"/>
    <n v="220081"/>
    <n v="0.68673713347971976"/>
    <x v="0"/>
  </r>
  <r>
    <x v="6"/>
    <n v="173537"/>
    <n v="0.72780761622835144"/>
    <x v="0"/>
  </r>
  <r>
    <x v="7"/>
    <n v="143338"/>
    <n v="0.76173099197083505"/>
    <x v="0"/>
  </r>
  <r>
    <x v="8"/>
    <n v="119216"/>
    <n v="0.78994548612113658"/>
    <x v="0"/>
  </r>
  <r>
    <x v="9"/>
    <n v="109564"/>
    <n v="0.81587567030013641"/>
    <x v="1"/>
  </r>
  <r>
    <x v="10"/>
    <n v="85313"/>
    <n v="0.83606644284278731"/>
    <x v="1"/>
  </r>
  <r>
    <x v="11"/>
    <n v="73303"/>
    <n v="0.8534148446068085"/>
    <x v="1"/>
  </r>
  <r>
    <x v="12"/>
    <n v="71244"/>
    <n v="0.87027594899920624"/>
    <x v="1"/>
  </r>
  <r>
    <x v="13"/>
    <n v="66621"/>
    <n v="0.88604294180878918"/>
    <x v="1"/>
  </r>
  <r>
    <x v="14"/>
    <n v="64103"/>
    <n v="0.90121400708959687"/>
    <x v="1"/>
  </r>
  <r>
    <x v="15"/>
    <n v="50917"/>
    <n v="0.91326438118913811"/>
    <x v="1"/>
  </r>
  <r>
    <x v="16"/>
    <n v="50840"/>
    <n v="0.92529653192898287"/>
    <x v="1"/>
  </r>
  <r>
    <x v="17"/>
    <n v="50194"/>
    <n v="0.93717579578098453"/>
    <x v="1"/>
  </r>
  <r>
    <x v="18"/>
    <n v="45821"/>
    <n v="0.94802011480243276"/>
    <x v="1"/>
  </r>
  <r>
    <x v="19"/>
    <n v="43358"/>
    <n v="0.95828152298060321"/>
    <x v="2"/>
  </r>
  <r>
    <x v="20"/>
    <n v="38138"/>
    <n v="0.96730752937155917"/>
    <x v="2"/>
  </r>
  <r>
    <x v="21"/>
    <n v="36527"/>
    <n v="0.97595226521094369"/>
    <x v="2"/>
  </r>
  <r>
    <x v="22"/>
    <n v="30272"/>
    <n v="0.98311664890875206"/>
    <x v="2"/>
  </r>
  <r>
    <x v="23"/>
    <n v="19173"/>
    <n v="0.9876542654731707"/>
    <x v="2"/>
  </r>
  <r>
    <x v="24"/>
    <n v="16478"/>
    <n v="0.99155406444821326"/>
    <x v="2"/>
  </r>
  <r>
    <x v="25"/>
    <n v="11908"/>
    <n v="0.99437229519192039"/>
    <x v="2"/>
  </r>
  <r>
    <x v="26"/>
    <n v="7675"/>
    <n v="0.99618871448634028"/>
    <x v="2"/>
  </r>
  <r>
    <x v="27"/>
    <n v="4875"/>
    <n v="0.99734246615543443"/>
    <x v="2"/>
  </r>
  <r>
    <x v="28"/>
    <n v="4443"/>
    <n v="0.99839397767662108"/>
    <x v="2"/>
  </r>
  <r>
    <x v="29"/>
    <n v="3385"/>
    <n v="0.99919509550223817"/>
    <x v="2"/>
  </r>
  <r>
    <x v="30"/>
    <n v="1852"/>
    <n v="0.9996334028029894"/>
    <x v="2"/>
  </r>
  <r>
    <x v="31"/>
    <n v="1549"/>
    <n v="1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n v="338961.91"/>
    <n v="0.2757496255993459"/>
    <x v="0"/>
  </r>
  <r>
    <x v="1"/>
    <n v="135942.22000000003"/>
    <n v="0.38634027063124321"/>
    <x v="0"/>
  </r>
  <r>
    <x v="2"/>
    <n v="94047.12999999999"/>
    <n v="0.46284875173519091"/>
    <x v="0"/>
  </r>
  <r>
    <x v="3"/>
    <n v="93692.069999999978"/>
    <n v="0.53906838722204453"/>
    <x v="0"/>
  </r>
  <r>
    <x v="4"/>
    <n v="72549.329999999987"/>
    <n v="0.59808814724458925"/>
    <x v="0"/>
  </r>
  <r>
    <x v="5"/>
    <n v="69444.34"/>
    <n v="0.65458196023671467"/>
    <x v="0"/>
  </r>
  <r>
    <x v="6"/>
    <n v="59490.469999999994"/>
    <n v="0.70297817923733663"/>
    <x v="0"/>
  </r>
  <r>
    <x v="7"/>
    <n v="48276.200000000004"/>
    <n v="0.7422514535570357"/>
    <x v="0"/>
  </r>
  <r>
    <x v="8"/>
    <n v="41631.060000000005"/>
    <n v="0.77611882587714065"/>
    <x v="0"/>
  </r>
  <r>
    <x v="9"/>
    <n v="35598.590000000004"/>
    <n v="0.8050787106747116"/>
    <x v="1"/>
  </r>
  <r>
    <x v="10"/>
    <n v="28983.08"/>
    <n v="0.82865679783711843"/>
    <x v="1"/>
  </r>
  <r>
    <x v="11"/>
    <n v="23937.09"/>
    <n v="0.84812991092359424"/>
    <x v="1"/>
  </r>
  <r>
    <x v="12"/>
    <n v="19538.489999999998"/>
    <n v="0.86402470955237398"/>
    <x v="1"/>
  </r>
  <r>
    <x v="13"/>
    <n v="18207.289999999994"/>
    <n v="0.87883656083288719"/>
    <x v="1"/>
  </r>
  <r>
    <x v="14"/>
    <n v="16903.36"/>
    <n v="0.89258764924093581"/>
    <x v="1"/>
  </r>
  <r>
    <x v="15"/>
    <n v="16211.33"/>
    <n v="0.905775762849239"/>
    <x v="1"/>
  </r>
  <r>
    <x v="16"/>
    <n v="15818.1"/>
    <n v="0.91864397908242301"/>
    <x v="1"/>
  </r>
  <r>
    <x v="17"/>
    <n v="15735.97"/>
    <n v="0.93144538156431989"/>
    <x v="1"/>
  </r>
  <r>
    <x v="18"/>
    <n v="15383.409999999998"/>
    <n v="0.94395997220944938"/>
    <x v="1"/>
  </r>
  <r>
    <x v="19"/>
    <n v="14026.05"/>
    <n v="0.95537033402897575"/>
    <x v="2"/>
  </r>
  <r>
    <x v="20"/>
    <n v="13266.949999999999"/>
    <n v="0.9661631587901568"/>
    <x v="2"/>
  </r>
  <r>
    <x v="21"/>
    <n v="8413.239999999998"/>
    <n v="0.97300743158788039"/>
    <x v="2"/>
  </r>
  <r>
    <x v="22"/>
    <n v="7882.5199999999986"/>
    <n v="0.9794199572276473"/>
    <x v="2"/>
  </r>
  <r>
    <x v="23"/>
    <n v="6604.68"/>
    <n v="0.98479294452643695"/>
    <x v="2"/>
  </r>
  <r>
    <x v="24"/>
    <n v="5716.7100000000009"/>
    <n v="0.98944355745860979"/>
    <x v="2"/>
  </r>
  <r>
    <x v="25"/>
    <n v="4760.8499999999995"/>
    <n v="0.99331656668561907"/>
    <x v="2"/>
  </r>
  <r>
    <x v="26"/>
    <n v="2532.9899999999998"/>
    <n v="0.99537718477732995"/>
    <x v="2"/>
  </r>
  <r>
    <x v="27"/>
    <n v="1890.7900000000002"/>
    <n v="0.99691536537876391"/>
    <x v="2"/>
  </r>
  <r>
    <x v="28"/>
    <n v="1613.64"/>
    <n v="0.99822808109319949"/>
    <x v="2"/>
  </r>
  <r>
    <x v="29"/>
    <n v="1134.3"/>
    <n v="0.99915084790294917"/>
    <x v="2"/>
  </r>
  <r>
    <x v="30"/>
    <n v="777.72000000000014"/>
    <n v="0.99978353255716623"/>
    <x v="2"/>
  </r>
  <r>
    <x v="31"/>
    <n v="266.08999999999997"/>
    <n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DF10EA-2A40-4CAD-AA03-55C85EFC4BA4}" name="Marza%" cacheId="0" applyNumberFormats="0" applyBorderFormats="0" applyFontFormats="0" applyPatternFormats="0" applyAlignmentFormats="0" applyWidthHeightFormats="1" dataCaption="Hodnoty" updatedVersion="8" minRefreshableVersion="3" itemPrintTitles="1" createdVersion="8" indent="0" compact="0" compactData="0" multipleFieldFilters="0" chartFormat="32">
  <location ref="J5:J6" firstHeaderRow="1" firstDataRow="1" firstDataCol="0"/>
  <pivotFields count="25">
    <pivotField compact="0" numFmtId="14" outline="0" showAll="0">
      <items count="388">
        <item x="114"/>
        <item x="41"/>
        <item x="275"/>
        <item x="197"/>
        <item x="273"/>
        <item x="274"/>
        <item x="316"/>
        <item x="13"/>
        <item x="168"/>
        <item x="74"/>
        <item x="23"/>
        <item x="260"/>
        <item x="77"/>
        <item x="25"/>
        <item x="291"/>
        <item x="73"/>
        <item x="374"/>
        <item x="93"/>
        <item x="322"/>
        <item x="306"/>
        <item x="164"/>
        <item x="162"/>
        <item x="146"/>
        <item x="154"/>
        <item x="253"/>
        <item x="153"/>
        <item x="86"/>
        <item x="254"/>
        <item x="240"/>
        <item x="64"/>
        <item x="182"/>
        <item x="1"/>
        <item x="83"/>
        <item x="228"/>
        <item x="139"/>
        <item x="186"/>
        <item x="326"/>
        <item x="36"/>
        <item x="155"/>
        <item x="277"/>
        <item x="354"/>
        <item x="270"/>
        <item x="157"/>
        <item x="9"/>
        <item x="263"/>
        <item x="293"/>
        <item x="142"/>
        <item x="131"/>
        <item x="201"/>
        <item x="127"/>
        <item x="265"/>
        <item x="358"/>
        <item x="372"/>
        <item x="185"/>
        <item x="173"/>
        <item x="106"/>
        <item x="216"/>
        <item x="81"/>
        <item x="26"/>
        <item x="130"/>
        <item x="63"/>
        <item x="286"/>
        <item x="180"/>
        <item x="299"/>
        <item x="355"/>
        <item x="30"/>
        <item x="380"/>
        <item x="334"/>
        <item x="159"/>
        <item x="264"/>
        <item x="59"/>
        <item x="278"/>
        <item x="241"/>
        <item x="134"/>
        <item x="367"/>
        <item x="8"/>
        <item x="317"/>
        <item x="170"/>
        <item x="312"/>
        <item x="215"/>
        <item x="101"/>
        <item x="171"/>
        <item x="370"/>
        <item x="341"/>
        <item x="123"/>
        <item x="266"/>
        <item x="48"/>
        <item x="42"/>
        <item x="190"/>
        <item x="5"/>
        <item x="346"/>
        <item x="51"/>
        <item x="84"/>
        <item x="3"/>
        <item x="375"/>
        <item x="29"/>
        <item x="115"/>
        <item x="276"/>
        <item x="381"/>
        <item x="359"/>
        <item x="233"/>
        <item x="368"/>
        <item x="152"/>
        <item x="19"/>
        <item x="221"/>
        <item x="11"/>
        <item x="244"/>
        <item x="248"/>
        <item x="160"/>
        <item x="352"/>
        <item x="303"/>
        <item x="149"/>
        <item x="308"/>
        <item x="12"/>
        <item x="132"/>
        <item x="116"/>
        <item x="45"/>
        <item x="295"/>
        <item x="163"/>
        <item x="258"/>
        <item x="95"/>
        <item x="231"/>
        <item x="338"/>
        <item x="196"/>
        <item x="46"/>
        <item x="298"/>
        <item x="92"/>
        <item x="57"/>
        <item x="369"/>
        <item x="385"/>
        <item x="285"/>
        <item x="373"/>
        <item x="102"/>
        <item x="165"/>
        <item x="379"/>
        <item x="60"/>
        <item x="138"/>
        <item x="22"/>
        <item x="219"/>
        <item x="166"/>
        <item x="282"/>
        <item x="148"/>
        <item x="43"/>
        <item x="44"/>
        <item x="337"/>
        <item x="90"/>
        <item x="96"/>
        <item x="309"/>
        <item x="357"/>
        <item x="250"/>
        <item x="141"/>
        <item x="35"/>
        <item x="302"/>
        <item x="110"/>
        <item x="111"/>
        <item x="100"/>
        <item x="128"/>
        <item x="366"/>
        <item x="342"/>
        <item x="177"/>
        <item x="204"/>
        <item x="17"/>
        <item x="174"/>
        <item x="289"/>
        <item x="364"/>
        <item x="328"/>
        <item x="89"/>
        <item x="24"/>
        <item x="126"/>
        <item x="239"/>
        <item x="287"/>
        <item x="181"/>
        <item x="194"/>
        <item x="191"/>
        <item x="31"/>
        <item x="66"/>
        <item x="348"/>
        <item x="211"/>
        <item x="118"/>
        <item x="54"/>
        <item x="97"/>
        <item x="267"/>
        <item x="320"/>
        <item x="304"/>
        <item x="224"/>
        <item x="198"/>
        <item x="39"/>
        <item x="58"/>
        <item x="356"/>
        <item x="68"/>
        <item x="61"/>
        <item x="305"/>
        <item x="257"/>
        <item x="386"/>
        <item x="234"/>
        <item x="137"/>
        <item x="71"/>
        <item x="212"/>
        <item x="255"/>
        <item x="313"/>
        <item x="200"/>
        <item x="292"/>
        <item x="76"/>
        <item x="246"/>
        <item x="53"/>
        <item x="98"/>
        <item x="333"/>
        <item x="10"/>
        <item x="230"/>
        <item x="335"/>
        <item x="133"/>
        <item x="336"/>
        <item x="145"/>
        <item x="319"/>
        <item x="330"/>
        <item x="47"/>
        <item x="327"/>
        <item x="113"/>
        <item x="214"/>
        <item x="140"/>
        <item x="72"/>
        <item x="206"/>
        <item x="184"/>
        <item x="119"/>
        <item x="78"/>
        <item x="365"/>
        <item x="262"/>
        <item x="314"/>
        <item x="279"/>
        <item x="232"/>
        <item x="382"/>
        <item x="37"/>
        <item x="384"/>
        <item x="40"/>
        <item x="225"/>
        <item x="117"/>
        <item x="79"/>
        <item x="175"/>
        <item x="21"/>
        <item x="99"/>
        <item x="189"/>
        <item x="331"/>
        <item x="129"/>
        <item x="156"/>
        <item x="217"/>
        <item x="362"/>
        <item x="4"/>
        <item x="378"/>
        <item x="147"/>
        <item x="195"/>
        <item x="318"/>
        <item x="256"/>
        <item x="94"/>
        <item x="251"/>
        <item x="105"/>
        <item x="325"/>
        <item x="38"/>
        <item x="339"/>
        <item x="124"/>
        <item x="207"/>
        <item x="294"/>
        <item x="125"/>
        <item x="329"/>
        <item x="247"/>
        <item x="82"/>
        <item x="323"/>
        <item x="179"/>
        <item x="65"/>
        <item x="321"/>
        <item x="332"/>
        <item x="296"/>
        <item x="345"/>
        <item x="360"/>
        <item x="56"/>
        <item x="343"/>
        <item x="80"/>
        <item x="50"/>
        <item x="213"/>
        <item x="235"/>
        <item x="272"/>
        <item x="121"/>
        <item x="178"/>
        <item x="209"/>
        <item x="49"/>
        <item x="169"/>
        <item x="158"/>
        <item x="0"/>
        <item x="340"/>
        <item x="16"/>
        <item x="208"/>
        <item x="27"/>
        <item x="14"/>
        <item x="172"/>
        <item x="109"/>
        <item x="220"/>
        <item x="363"/>
        <item x="192"/>
        <item x="301"/>
        <item x="237"/>
        <item x="55"/>
        <item x="297"/>
        <item x="280"/>
        <item x="188"/>
        <item x="300"/>
        <item x="227"/>
        <item x="7"/>
        <item x="307"/>
        <item x="75"/>
        <item x="120"/>
        <item x="281"/>
        <item x="261"/>
        <item x="202"/>
        <item x="350"/>
        <item x="271"/>
        <item x="245"/>
        <item x="103"/>
        <item x="32"/>
        <item x="91"/>
        <item x="236"/>
        <item x="20"/>
        <item x="144"/>
        <item x="284"/>
        <item x="150"/>
        <item x="229"/>
        <item x="151"/>
        <item x="371"/>
        <item x="203"/>
        <item x="383"/>
        <item x="15"/>
        <item x="18"/>
        <item x="136"/>
        <item x="135"/>
        <item x="283"/>
        <item x="67"/>
        <item x="161"/>
        <item x="344"/>
        <item x="6"/>
        <item x="288"/>
        <item x="290"/>
        <item x="377"/>
        <item x="143"/>
        <item x="210"/>
        <item x="33"/>
        <item x="249"/>
        <item x="108"/>
        <item x="347"/>
        <item x="85"/>
        <item x="62"/>
        <item x="259"/>
        <item x="2"/>
        <item x="238"/>
        <item x="353"/>
        <item x="88"/>
        <item x="104"/>
        <item x="268"/>
        <item x="34"/>
        <item x="122"/>
        <item x="52"/>
        <item x="311"/>
        <item x="176"/>
        <item x="70"/>
        <item x="187"/>
        <item x="205"/>
        <item x="242"/>
        <item x="361"/>
        <item x="183"/>
        <item x="222"/>
        <item x="167"/>
        <item x="269"/>
        <item x="193"/>
        <item x="199"/>
        <item x="324"/>
        <item x="243"/>
        <item x="107"/>
        <item x="218"/>
        <item x="252"/>
        <item x="315"/>
        <item x="310"/>
        <item x="69"/>
        <item x="351"/>
        <item x="226"/>
        <item x="349"/>
        <item x="87"/>
        <item x="28"/>
        <item x="223"/>
        <item x="112"/>
        <item x="376"/>
        <item t="default"/>
      </items>
    </pivotField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>
      <items count="13">
        <item x="8"/>
        <item x="4"/>
        <item x="1"/>
        <item x="6"/>
        <item x="11"/>
        <item x="10"/>
        <item x="3"/>
        <item x="2"/>
        <item x="7"/>
        <item x="0"/>
        <item x="9"/>
        <item x="5"/>
        <item t="default"/>
      </items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6">
        <item sd="0" x="0"/>
        <item sd="0" x="1"/>
        <item sd="0" x="2"/>
        <item sd="0" x="3"/>
        <item sd="0" x="4"/>
        <item t="default"/>
      </items>
    </pivotField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Items count="1">
    <i/>
  </rowItems>
  <colItems count="1">
    <i/>
  </colItems>
  <dataFields count="1">
    <dataField name="Marza_pr%" fld="23" baseField="1" baseItem="1" numFmtId="10"/>
  </dataFields>
  <formats count="18">
    <format dxfId="389">
      <pivotArea type="all" dataOnly="0" outline="0" fieldPosition="0"/>
    </format>
    <format dxfId="388">
      <pivotArea outline="0" collapsedLevelsAreSubtotals="1" fieldPosition="0"/>
    </format>
    <format dxfId="387">
      <pivotArea field="19" type="button" dataOnly="0" labelOnly="1" outline="0"/>
    </format>
    <format dxfId="386">
      <pivotArea dataOnly="0" labelOnly="1" grandRow="1" outline="0" fieldPosition="0"/>
    </format>
    <format dxfId="385">
      <pivotArea dataOnly="0" labelOnly="1" outline="0" axis="axisValues" fieldPosition="0"/>
    </format>
    <format dxfId="384">
      <pivotArea dataOnly="0" labelOnly="1" grandRow="1" outline="0" fieldPosition="0"/>
    </format>
    <format dxfId="383">
      <pivotArea grandRow="1" outline="0" collapsedLevelsAreSubtotals="1" fieldPosition="0"/>
    </format>
    <format dxfId="382">
      <pivotArea outline="0" fieldPosition="0">
        <references count="1">
          <reference field="4294967294" count="1">
            <x v="0"/>
          </reference>
        </references>
      </pivotArea>
    </format>
    <format dxfId="381">
      <pivotArea type="all" dataOnly="0" outline="0" fieldPosition="0"/>
    </format>
    <format dxfId="380">
      <pivotArea outline="0" collapsedLevelsAreSubtotals="1" fieldPosition="0"/>
    </format>
    <format dxfId="379">
      <pivotArea dataOnly="0" labelOnly="1" outline="0" axis="axisValues" fieldPosition="0"/>
    </format>
    <format dxfId="378">
      <pivotArea type="all" dataOnly="0" outline="0" fieldPosition="0"/>
    </format>
    <format dxfId="377">
      <pivotArea outline="0" collapsedLevelsAreSubtotals="1" fieldPosition="0"/>
    </format>
    <format dxfId="376">
      <pivotArea dataOnly="0" labelOnly="1" outline="0" axis="axisValues" fieldPosition="0"/>
    </format>
    <format dxfId="375">
      <pivotArea type="all" dataOnly="0" outline="0" fieldPosition="0"/>
    </format>
    <format dxfId="374">
      <pivotArea outline="0" collapsedLevelsAreSubtotals="1" fieldPosition="0"/>
    </format>
    <format dxfId="373">
      <pivotArea dataOnly="0" labelOnly="1" outline="0" axis="axisValues" fieldPosition="0"/>
    </format>
    <format dxfId="372">
      <pivotArea dataOnly="0" labelOnly="1" outline="0" axis="axisValues" fieldPosition="0"/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E8A73A-E62E-4123-A866-CC7660926D8F}" name="Zisk" cacheId="0" applyNumberFormats="0" applyBorderFormats="0" applyFontFormats="0" applyPatternFormats="0" applyAlignmentFormats="0" applyWidthHeightFormats="1" dataCaption="Hodnoty" updatedVersion="8" minRefreshableVersion="3" itemPrintTitles="1" createdVersion="8" indent="0" outline="1" outlineData="1" multipleFieldFilters="0">
  <location ref="F5:F6" firstHeaderRow="1" firstDataRow="1" firstDataCol="0"/>
  <pivotFields count="25">
    <pivotField numFmtId="14" showAll="0">
      <items count="388">
        <item x="114"/>
        <item x="41"/>
        <item x="275"/>
        <item x="197"/>
        <item x="273"/>
        <item x="274"/>
        <item x="316"/>
        <item x="13"/>
        <item x="168"/>
        <item x="74"/>
        <item x="23"/>
        <item x="260"/>
        <item x="77"/>
        <item x="25"/>
        <item x="291"/>
        <item x="73"/>
        <item x="374"/>
        <item x="93"/>
        <item x="322"/>
        <item x="306"/>
        <item x="164"/>
        <item x="162"/>
        <item x="146"/>
        <item x="154"/>
        <item x="253"/>
        <item x="153"/>
        <item x="86"/>
        <item x="254"/>
        <item x="240"/>
        <item x="64"/>
        <item x="182"/>
        <item x="1"/>
        <item x="83"/>
        <item x="228"/>
        <item x="139"/>
        <item x="186"/>
        <item x="326"/>
        <item x="36"/>
        <item x="155"/>
        <item x="277"/>
        <item x="354"/>
        <item x="270"/>
        <item x="157"/>
        <item x="9"/>
        <item x="263"/>
        <item x="293"/>
        <item x="142"/>
        <item x="131"/>
        <item x="201"/>
        <item x="127"/>
        <item x="265"/>
        <item x="358"/>
        <item x="372"/>
        <item x="185"/>
        <item x="173"/>
        <item x="106"/>
        <item x="216"/>
        <item x="81"/>
        <item x="26"/>
        <item x="130"/>
        <item x="63"/>
        <item x="286"/>
        <item x="180"/>
        <item x="299"/>
        <item x="355"/>
        <item x="30"/>
        <item x="380"/>
        <item x="334"/>
        <item x="159"/>
        <item x="264"/>
        <item x="59"/>
        <item x="278"/>
        <item x="241"/>
        <item x="134"/>
        <item x="367"/>
        <item x="8"/>
        <item x="317"/>
        <item x="170"/>
        <item x="312"/>
        <item x="215"/>
        <item x="101"/>
        <item x="171"/>
        <item x="370"/>
        <item x="341"/>
        <item x="123"/>
        <item x="266"/>
        <item x="48"/>
        <item x="42"/>
        <item x="190"/>
        <item x="5"/>
        <item x="346"/>
        <item x="51"/>
        <item x="84"/>
        <item x="3"/>
        <item x="375"/>
        <item x="29"/>
        <item x="115"/>
        <item x="276"/>
        <item x="381"/>
        <item x="359"/>
        <item x="233"/>
        <item x="368"/>
        <item x="152"/>
        <item x="19"/>
        <item x="221"/>
        <item x="11"/>
        <item x="244"/>
        <item x="248"/>
        <item x="160"/>
        <item x="352"/>
        <item x="303"/>
        <item x="149"/>
        <item x="308"/>
        <item x="12"/>
        <item x="132"/>
        <item x="116"/>
        <item x="45"/>
        <item x="295"/>
        <item x="163"/>
        <item x="258"/>
        <item x="95"/>
        <item x="231"/>
        <item x="338"/>
        <item x="196"/>
        <item x="46"/>
        <item x="298"/>
        <item x="92"/>
        <item x="57"/>
        <item x="369"/>
        <item x="385"/>
        <item x="285"/>
        <item x="373"/>
        <item x="102"/>
        <item x="165"/>
        <item x="379"/>
        <item x="60"/>
        <item x="138"/>
        <item x="22"/>
        <item x="219"/>
        <item x="166"/>
        <item x="282"/>
        <item x="148"/>
        <item x="43"/>
        <item x="44"/>
        <item x="337"/>
        <item x="90"/>
        <item x="96"/>
        <item x="309"/>
        <item x="357"/>
        <item x="250"/>
        <item x="141"/>
        <item x="35"/>
        <item x="302"/>
        <item x="110"/>
        <item x="111"/>
        <item x="100"/>
        <item x="128"/>
        <item x="366"/>
        <item x="342"/>
        <item x="177"/>
        <item x="204"/>
        <item x="17"/>
        <item x="174"/>
        <item x="289"/>
        <item x="364"/>
        <item x="328"/>
        <item x="89"/>
        <item x="24"/>
        <item x="126"/>
        <item x="239"/>
        <item x="287"/>
        <item x="181"/>
        <item x="194"/>
        <item x="191"/>
        <item x="31"/>
        <item x="66"/>
        <item x="348"/>
        <item x="211"/>
        <item x="118"/>
        <item x="54"/>
        <item x="97"/>
        <item x="267"/>
        <item x="320"/>
        <item x="304"/>
        <item x="224"/>
        <item x="198"/>
        <item x="39"/>
        <item x="58"/>
        <item x="356"/>
        <item x="68"/>
        <item x="61"/>
        <item x="305"/>
        <item x="257"/>
        <item x="386"/>
        <item x="234"/>
        <item x="137"/>
        <item x="71"/>
        <item x="212"/>
        <item x="255"/>
        <item x="313"/>
        <item x="200"/>
        <item x="292"/>
        <item x="76"/>
        <item x="246"/>
        <item x="53"/>
        <item x="98"/>
        <item x="333"/>
        <item x="10"/>
        <item x="230"/>
        <item x="335"/>
        <item x="133"/>
        <item x="336"/>
        <item x="145"/>
        <item x="319"/>
        <item x="330"/>
        <item x="47"/>
        <item x="327"/>
        <item x="113"/>
        <item x="214"/>
        <item x="140"/>
        <item x="72"/>
        <item x="206"/>
        <item x="184"/>
        <item x="119"/>
        <item x="78"/>
        <item x="365"/>
        <item x="262"/>
        <item x="314"/>
        <item x="279"/>
        <item x="232"/>
        <item x="382"/>
        <item x="37"/>
        <item x="384"/>
        <item x="40"/>
        <item x="225"/>
        <item x="117"/>
        <item x="79"/>
        <item x="175"/>
        <item x="21"/>
        <item x="99"/>
        <item x="189"/>
        <item x="331"/>
        <item x="129"/>
        <item x="156"/>
        <item x="217"/>
        <item x="362"/>
        <item x="4"/>
        <item x="378"/>
        <item x="147"/>
        <item x="195"/>
        <item x="318"/>
        <item x="256"/>
        <item x="94"/>
        <item x="251"/>
        <item x="105"/>
        <item x="325"/>
        <item x="38"/>
        <item x="339"/>
        <item x="124"/>
        <item x="207"/>
        <item x="294"/>
        <item x="125"/>
        <item x="329"/>
        <item x="247"/>
        <item x="82"/>
        <item x="323"/>
        <item x="179"/>
        <item x="65"/>
        <item x="321"/>
        <item x="332"/>
        <item x="296"/>
        <item x="345"/>
        <item x="360"/>
        <item x="56"/>
        <item x="343"/>
        <item x="80"/>
        <item x="50"/>
        <item x="213"/>
        <item x="235"/>
        <item x="272"/>
        <item x="121"/>
        <item x="178"/>
        <item x="209"/>
        <item x="49"/>
        <item x="169"/>
        <item x="158"/>
        <item x="0"/>
        <item x="340"/>
        <item x="16"/>
        <item x="208"/>
        <item x="27"/>
        <item x="14"/>
        <item x="172"/>
        <item x="109"/>
        <item x="220"/>
        <item x="363"/>
        <item x="192"/>
        <item x="301"/>
        <item x="237"/>
        <item x="55"/>
        <item x="297"/>
        <item x="280"/>
        <item x="188"/>
        <item x="300"/>
        <item x="227"/>
        <item x="7"/>
        <item x="307"/>
        <item x="75"/>
        <item x="120"/>
        <item x="281"/>
        <item x="261"/>
        <item x="202"/>
        <item x="350"/>
        <item x="271"/>
        <item x="245"/>
        <item x="103"/>
        <item x="32"/>
        <item x="91"/>
        <item x="236"/>
        <item x="20"/>
        <item x="144"/>
        <item x="284"/>
        <item x="150"/>
        <item x="229"/>
        <item x="151"/>
        <item x="371"/>
        <item x="203"/>
        <item x="383"/>
        <item x="15"/>
        <item x="18"/>
        <item x="136"/>
        <item x="135"/>
        <item x="283"/>
        <item x="67"/>
        <item x="161"/>
        <item x="344"/>
        <item x="6"/>
        <item x="288"/>
        <item x="290"/>
        <item x="377"/>
        <item x="143"/>
        <item x="210"/>
        <item x="33"/>
        <item x="249"/>
        <item x="108"/>
        <item x="347"/>
        <item x="85"/>
        <item x="62"/>
        <item x="259"/>
        <item x="2"/>
        <item x="238"/>
        <item x="353"/>
        <item x="88"/>
        <item x="104"/>
        <item x="268"/>
        <item x="34"/>
        <item x="122"/>
        <item x="52"/>
        <item x="311"/>
        <item x="176"/>
        <item x="70"/>
        <item x="187"/>
        <item x="205"/>
        <item x="242"/>
        <item x="361"/>
        <item x="183"/>
        <item x="222"/>
        <item x="167"/>
        <item x="269"/>
        <item x="193"/>
        <item x="199"/>
        <item x="324"/>
        <item x="243"/>
        <item x="107"/>
        <item x="218"/>
        <item x="252"/>
        <item x="315"/>
        <item x="310"/>
        <item x="69"/>
        <item x="351"/>
        <item x="226"/>
        <item x="349"/>
        <item x="87"/>
        <item x="28"/>
        <item x="223"/>
        <item x="112"/>
        <item x="376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9" showAll="0"/>
    <pivotField showAll="0">
      <items count="4">
        <item x="1"/>
        <item x="0"/>
        <item x="2"/>
        <item t="default"/>
      </items>
    </pivotField>
    <pivotField showAll="0">
      <items count="13">
        <item x="8"/>
        <item x="4"/>
        <item x="1"/>
        <item x="6"/>
        <item x="11"/>
        <item x="10"/>
        <item x="3"/>
        <item x="2"/>
        <item x="7"/>
        <item x="0"/>
        <item x="9"/>
        <item x="5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Zisk Kč" fld="15" baseField="0" baseItem="0" numFmtId="164"/>
  </dataFields>
  <formats count="22">
    <format dxfId="411">
      <pivotArea type="all" dataOnly="0" outline="0" fieldPosition="0"/>
    </format>
    <format dxfId="410">
      <pivotArea outline="0" collapsedLevelsAreSubtotals="1" fieldPosition="0"/>
    </format>
    <format dxfId="409">
      <pivotArea field="19" type="button" dataOnly="0" labelOnly="1" outline="0"/>
    </format>
    <format dxfId="408">
      <pivotArea dataOnly="0" labelOnly="1" grandRow="1" outline="0" fieldPosition="0"/>
    </format>
    <format dxfId="407">
      <pivotArea dataOnly="0" labelOnly="1" outline="0" axis="axisValues" fieldPosition="0"/>
    </format>
    <format dxfId="406">
      <pivotArea type="all" dataOnly="0" outline="0" fieldPosition="0"/>
    </format>
    <format dxfId="405">
      <pivotArea outline="0" collapsedLevelsAreSubtotals="1" fieldPosition="0"/>
    </format>
    <format dxfId="404">
      <pivotArea dataOnly="0" labelOnly="1" outline="0" axis="axisValues" fieldPosition="0"/>
    </format>
    <format dxfId="403">
      <pivotArea type="all" dataOnly="0" outline="0" fieldPosition="0"/>
    </format>
    <format dxfId="402">
      <pivotArea dataOnly="0" labelOnly="1" outline="0" axis="axisValues" fieldPosition="0"/>
    </format>
    <format dxfId="401">
      <pivotArea dataOnly="0" labelOnly="1" outline="0" axis="axisValues" fieldPosition="0"/>
    </format>
    <format dxfId="400">
      <pivotArea outline="0" collapsedLevelsAreSubtotals="1" fieldPosition="0"/>
    </format>
    <format dxfId="399">
      <pivotArea outline="0" collapsedLevelsAreSubtotals="1" fieldPosition="0"/>
    </format>
    <format dxfId="398">
      <pivotArea type="all" dataOnly="0" outline="0" fieldPosition="0"/>
    </format>
    <format dxfId="397">
      <pivotArea outline="0" collapsedLevelsAreSubtotals="1" fieldPosition="0"/>
    </format>
    <format dxfId="396">
      <pivotArea dataOnly="0" labelOnly="1" outline="0" axis="axisValues" fieldPosition="0"/>
    </format>
    <format dxfId="395">
      <pivotArea type="all" dataOnly="0" outline="0" fieldPosition="0"/>
    </format>
    <format dxfId="394">
      <pivotArea outline="0" collapsedLevelsAreSubtotals="1" fieldPosition="0"/>
    </format>
    <format dxfId="393">
      <pivotArea dataOnly="0" labelOnly="1" outline="0" axis="axisValues" fieldPosition="0"/>
    </format>
    <format dxfId="392">
      <pivotArea outline="0" collapsedLevelsAreSubtotals="1" fieldPosition="0"/>
    </format>
    <format dxfId="391">
      <pivotArea outline="0" collapsedLevelsAreSubtotals="1" fieldPosition="0"/>
    </format>
    <format dxfId="390">
      <pivotArea outline="0" collapsedLevelsAreSubtotals="1" fieldPosition="0"/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0ECDC-722D-4804-8F5D-7760196B9289}" name="Naklady" cacheId="0" applyNumberFormats="0" applyBorderFormats="0" applyFontFormats="0" applyPatternFormats="0" applyAlignmentFormats="0" applyWidthHeightFormats="1" dataCaption="Hodnoty" updatedVersion="8" minRefreshableVersion="3" itemPrintTitles="1" createdVersion="8" indent="0" outline="1" outlineData="1" multipleFieldFilters="0">
  <location ref="H5:H6" firstHeaderRow="1" firstDataRow="1" firstDataCol="0"/>
  <pivotFields count="25">
    <pivotField numFmtId="14" showAll="0">
      <items count="388">
        <item x="114"/>
        <item x="41"/>
        <item x="275"/>
        <item x="197"/>
        <item x="273"/>
        <item x="274"/>
        <item x="316"/>
        <item x="13"/>
        <item x="168"/>
        <item x="74"/>
        <item x="23"/>
        <item x="260"/>
        <item x="77"/>
        <item x="25"/>
        <item x="291"/>
        <item x="73"/>
        <item x="374"/>
        <item x="93"/>
        <item x="322"/>
        <item x="306"/>
        <item x="164"/>
        <item x="162"/>
        <item x="146"/>
        <item x="154"/>
        <item x="253"/>
        <item x="153"/>
        <item x="86"/>
        <item x="254"/>
        <item x="240"/>
        <item x="64"/>
        <item x="182"/>
        <item x="1"/>
        <item x="83"/>
        <item x="228"/>
        <item x="139"/>
        <item x="186"/>
        <item x="326"/>
        <item x="36"/>
        <item x="155"/>
        <item x="277"/>
        <item x="354"/>
        <item x="270"/>
        <item x="157"/>
        <item x="9"/>
        <item x="263"/>
        <item x="293"/>
        <item x="142"/>
        <item x="131"/>
        <item x="201"/>
        <item x="127"/>
        <item x="265"/>
        <item x="358"/>
        <item x="372"/>
        <item x="185"/>
        <item x="173"/>
        <item x="106"/>
        <item x="216"/>
        <item x="81"/>
        <item x="26"/>
        <item x="130"/>
        <item x="63"/>
        <item x="286"/>
        <item x="180"/>
        <item x="299"/>
        <item x="355"/>
        <item x="30"/>
        <item x="380"/>
        <item x="334"/>
        <item x="159"/>
        <item x="264"/>
        <item x="59"/>
        <item x="278"/>
        <item x="241"/>
        <item x="134"/>
        <item x="367"/>
        <item x="8"/>
        <item x="317"/>
        <item x="170"/>
        <item x="312"/>
        <item x="215"/>
        <item x="101"/>
        <item x="171"/>
        <item x="370"/>
        <item x="341"/>
        <item x="123"/>
        <item x="266"/>
        <item x="48"/>
        <item x="42"/>
        <item x="190"/>
        <item x="5"/>
        <item x="346"/>
        <item x="51"/>
        <item x="84"/>
        <item x="3"/>
        <item x="375"/>
        <item x="29"/>
        <item x="115"/>
        <item x="276"/>
        <item x="381"/>
        <item x="359"/>
        <item x="233"/>
        <item x="368"/>
        <item x="152"/>
        <item x="19"/>
        <item x="221"/>
        <item x="11"/>
        <item x="244"/>
        <item x="248"/>
        <item x="160"/>
        <item x="352"/>
        <item x="303"/>
        <item x="149"/>
        <item x="308"/>
        <item x="12"/>
        <item x="132"/>
        <item x="116"/>
        <item x="45"/>
        <item x="295"/>
        <item x="163"/>
        <item x="258"/>
        <item x="95"/>
        <item x="231"/>
        <item x="338"/>
        <item x="196"/>
        <item x="46"/>
        <item x="298"/>
        <item x="92"/>
        <item x="57"/>
        <item x="369"/>
        <item x="385"/>
        <item x="285"/>
        <item x="373"/>
        <item x="102"/>
        <item x="165"/>
        <item x="379"/>
        <item x="60"/>
        <item x="138"/>
        <item x="22"/>
        <item x="219"/>
        <item x="166"/>
        <item x="282"/>
        <item x="148"/>
        <item x="43"/>
        <item x="44"/>
        <item x="337"/>
        <item x="90"/>
        <item x="96"/>
        <item x="309"/>
        <item x="357"/>
        <item x="250"/>
        <item x="141"/>
        <item x="35"/>
        <item x="302"/>
        <item x="110"/>
        <item x="111"/>
        <item x="100"/>
        <item x="128"/>
        <item x="366"/>
        <item x="342"/>
        <item x="177"/>
        <item x="204"/>
        <item x="17"/>
        <item x="174"/>
        <item x="289"/>
        <item x="364"/>
        <item x="328"/>
        <item x="89"/>
        <item x="24"/>
        <item x="126"/>
        <item x="239"/>
        <item x="287"/>
        <item x="181"/>
        <item x="194"/>
        <item x="191"/>
        <item x="31"/>
        <item x="66"/>
        <item x="348"/>
        <item x="211"/>
        <item x="118"/>
        <item x="54"/>
        <item x="97"/>
        <item x="267"/>
        <item x="320"/>
        <item x="304"/>
        <item x="224"/>
        <item x="198"/>
        <item x="39"/>
        <item x="58"/>
        <item x="356"/>
        <item x="68"/>
        <item x="61"/>
        <item x="305"/>
        <item x="257"/>
        <item x="386"/>
        <item x="234"/>
        <item x="137"/>
        <item x="71"/>
        <item x="212"/>
        <item x="255"/>
        <item x="313"/>
        <item x="200"/>
        <item x="292"/>
        <item x="76"/>
        <item x="246"/>
        <item x="53"/>
        <item x="98"/>
        <item x="333"/>
        <item x="10"/>
        <item x="230"/>
        <item x="335"/>
        <item x="133"/>
        <item x="336"/>
        <item x="145"/>
        <item x="319"/>
        <item x="330"/>
        <item x="47"/>
        <item x="327"/>
        <item x="113"/>
        <item x="214"/>
        <item x="140"/>
        <item x="72"/>
        <item x="206"/>
        <item x="184"/>
        <item x="119"/>
        <item x="78"/>
        <item x="365"/>
        <item x="262"/>
        <item x="314"/>
        <item x="279"/>
        <item x="232"/>
        <item x="382"/>
        <item x="37"/>
        <item x="384"/>
        <item x="40"/>
        <item x="225"/>
        <item x="117"/>
        <item x="79"/>
        <item x="175"/>
        <item x="21"/>
        <item x="99"/>
        <item x="189"/>
        <item x="331"/>
        <item x="129"/>
        <item x="156"/>
        <item x="217"/>
        <item x="362"/>
        <item x="4"/>
        <item x="378"/>
        <item x="147"/>
        <item x="195"/>
        <item x="318"/>
        <item x="256"/>
        <item x="94"/>
        <item x="251"/>
        <item x="105"/>
        <item x="325"/>
        <item x="38"/>
        <item x="339"/>
        <item x="124"/>
        <item x="207"/>
        <item x="294"/>
        <item x="125"/>
        <item x="329"/>
        <item x="247"/>
        <item x="82"/>
        <item x="323"/>
        <item x="179"/>
        <item x="65"/>
        <item x="321"/>
        <item x="332"/>
        <item x="296"/>
        <item x="345"/>
        <item x="360"/>
        <item x="56"/>
        <item x="343"/>
        <item x="80"/>
        <item x="50"/>
        <item x="213"/>
        <item x="235"/>
        <item x="272"/>
        <item x="121"/>
        <item x="178"/>
        <item x="209"/>
        <item x="49"/>
        <item x="169"/>
        <item x="158"/>
        <item x="0"/>
        <item x="340"/>
        <item x="16"/>
        <item x="208"/>
        <item x="27"/>
        <item x="14"/>
        <item x="172"/>
        <item x="109"/>
        <item x="220"/>
        <item x="363"/>
        <item x="192"/>
        <item x="301"/>
        <item x="237"/>
        <item x="55"/>
        <item x="297"/>
        <item x="280"/>
        <item x="188"/>
        <item x="300"/>
        <item x="227"/>
        <item x="7"/>
        <item x="307"/>
        <item x="75"/>
        <item x="120"/>
        <item x="281"/>
        <item x="261"/>
        <item x="202"/>
        <item x="350"/>
        <item x="271"/>
        <item x="245"/>
        <item x="103"/>
        <item x="32"/>
        <item x="91"/>
        <item x="236"/>
        <item x="20"/>
        <item x="144"/>
        <item x="284"/>
        <item x="150"/>
        <item x="229"/>
        <item x="151"/>
        <item x="371"/>
        <item x="203"/>
        <item x="383"/>
        <item x="15"/>
        <item x="18"/>
        <item x="136"/>
        <item x="135"/>
        <item x="283"/>
        <item x="67"/>
        <item x="161"/>
        <item x="344"/>
        <item x="6"/>
        <item x="288"/>
        <item x="290"/>
        <item x="377"/>
        <item x="143"/>
        <item x="210"/>
        <item x="33"/>
        <item x="249"/>
        <item x="108"/>
        <item x="347"/>
        <item x="85"/>
        <item x="62"/>
        <item x="259"/>
        <item x="2"/>
        <item x="238"/>
        <item x="353"/>
        <item x="88"/>
        <item x="104"/>
        <item x="268"/>
        <item x="34"/>
        <item x="122"/>
        <item x="52"/>
        <item x="311"/>
        <item x="176"/>
        <item x="70"/>
        <item x="187"/>
        <item x="205"/>
        <item x="242"/>
        <item x="361"/>
        <item x="183"/>
        <item x="222"/>
        <item x="167"/>
        <item x="269"/>
        <item x="193"/>
        <item x="199"/>
        <item x="324"/>
        <item x="243"/>
        <item x="107"/>
        <item x="218"/>
        <item x="252"/>
        <item x="315"/>
        <item x="310"/>
        <item x="69"/>
        <item x="351"/>
        <item x="226"/>
        <item x="349"/>
        <item x="87"/>
        <item x="28"/>
        <item x="223"/>
        <item x="112"/>
        <item x="376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9" showAll="0"/>
    <pivotField showAll="0">
      <items count="4">
        <item x="1"/>
        <item x="0"/>
        <item x="2"/>
        <item t="default"/>
      </items>
    </pivotField>
    <pivotField showAll="0">
      <items count="13">
        <item x="8"/>
        <item x="4"/>
        <item x="1"/>
        <item x="6"/>
        <item x="11"/>
        <item x="10"/>
        <item x="3"/>
        <item x="2"/>
        <item x="7"/>
        <item x="0"/>
        <item x="9"/>
        <item x="5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Náklady" fld="14" baseField="0" baseItem="0" numFmtId="164"/>
  </dataFields>
  <formats count="22">
    <format dxfId="433">
      <pivotArea type="all" dataOnly="0" outline="0" fieldPosition="0"/>
    </format>
    <format dxfId="432">
      <pivotArea outline="0" collapsedLevelsAreSubtotals="1" fieldPosition="0"/>
    </format>
    <format dxfId="431">
      <pivotArea field="19" type="button" dataOnly="0" labelOnly="1" outline="0"/>
    </format>
    <format dxfId="430">
      <pivotArea dataOnly="0" labelOnly="1" grandRow="1" outline="0" fieldPosition="0"/>
    </format>
    <format dxfId="429">
      <pivotArea dataOnly="0" labelOnly="1" outline="0" axis="axisValues" fieldPosition="0"/>
    </format>
    <format dxfId="428">
      <pivotArea type="all" dataOnly="0" outline="0" fieldPosition="0"/>
    </format>
    <format dxfId="427">
      <pivotArea outline="0" collapsedLevelsAreSubtotals="1" fieldPosition="0"/>
    </format>
    <format dxfId="426">
      <pivotArea dataOnly="0" labelOnly="1" outline="0" axis="axisValues" fieldPosition="0"/>
    </format>
    <format dxfId="425">
      <pivotArea type="all" dataOnly="0" outline="0" fieldPosition="0"/>
    </format>
    <format dxfId="424">
      <pivotArea dataOnly="0" labelOnly="1" outline="0" axis="axisValues" fieldPosition="0"/>
    </format>
    <format dxfId="423">
      <pivotArea dataOnly="0" labelOnly="1" outline="0" axis="axisValues" fieldPosition="0"/>
    </format>
    <format dxfId="422">
      <pivotArea outline="0" collapsedLevelsAreSubtotals="1" fieldPosition="0"/>
    </format>
    <format dxfId="421">
      <pivotArea outline="0" collapsedLevelsAreSubtotals="1" fieldPosition="0"/>
    </format>
    <format dxfId="420">
      <pivotArea type="all" dataOnly="0" outline="0" fieldPosition="0"/>
    </format>
    <format dxfId="419">
      <pivotArea outline="0" collapsedLevelsAreSubtotals="1" fieldPosition="0"/>
    </format>
    <format dxfId="418">
      <pivotArea dataOnly="0" labelOnly="1" outline="0" axis="axisValues" fieldPosition="0"/>
    </format>
    <format dxfId="417">
      <pivotArea type="all" dataOnly="0" outline="0" fieldPosition="0"/>
    </format>
    <format dxfId="416">
      <pivotArea outline="0" collapsedLevelsAreSubtotals="1" fieldPosition="0"/>
    </format>
    <format dxfId="415">
      <pivotArea dataOnly="0" labelOnly="1" outline="0" axis="axisValues" fieldPosition="0"/>
    </format>
    <format dxfId="414">
      <pivotArea outline="0" collapsedLevelsAreSubtotals="1" fieldPosition="0"/>
    </format>
    <format dxfId="413">
      <pivotArea outline="0" collapsedLevelsAreSubtotals="1" fieldPosition="0"/>
    </format>
    <format dxfId="412">
      <pivotArea outline="0" collapsedLevelsAreSubtotals="1" fieldPosition="0"/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D4AFC6-36D1-4167-BCAA-5C6B572FA0E3}" name="Trzba" cacheId="0" applyNumberFormats="0" applyBorderFormats="0" applyFontFormats="0" applyPatternFormats="0" applyAlignmentFormats="0" applyWidthHeightFormats="1" dataCaption="Hodnoty" updatedVersion="8" minRefreshableVersion="3" itemPrintTitles="1" createdVersion="8" indent="0" showHeaders="0" outline="1" outlineData="1" multipleFieldFilters="0">
  <location ref="D5:D6" firstHeaderRow="1" firstDataRow="1" firstDataCol="0"/>
  <pivotFields count="25">
    <pivotField numFmtId="14" showAll="0">
      <items count="388">
        <item x="114"/>
        <item x="41"/>
        <item x="275"/>
        <item x="197"/>
        <item x="273"/>
        <item x="274"/>
        <item x="316"/>
        <item x="13"/>
        <item x="168"/>
        <item x="74"/>
        <item x="23"/>
        <item x="260"/>
        <item x="77"/>
        <item x="25"/>
        <item x="291"/>
        <item x="73"/>
        <item x="374"/>
        <item x="93"/>
        <item x="322"/>
        <item x="306"/>
        <item x="164"/>
        <item x="162"/>
        <item x="146"/>
        <item x="154"/>
        <item x="253"/>
        <item x="153"/>
        <item x="86"/>
        <item x="254"/>
        <item x="240"/>
        <item x="64"/>
        <item x="182"/>
        <item x="1"/>
        <item x="83"/>
        <item x="228"/>
        <item x="139"/>
        <item x="186"/>
        <item x="326"/>
        <item x="36"/>
        <item x="155"/>
        <item x="277"/>
        <item x="354"/>
        <item x="270"/>
        <item x="157"/>
        <item x="9"/>
        <item x="263"/>
        <item x="293"/>
        <item x="142"/>
        <item x="131"/>
        <item x="201"/>
        <item x="127"/>
        <item x="265"/>
        <item x="358"/>
        <item x="372"/>
        <item x="185"/>
        <item x="173"/>
        <item x="106"/>
        <item x="216"/>
        <item x="81"/>
        <item x="26"/>
        <item x="130"/>
        <item x="63"/>
        <item x="286"/>
        <item x="180"/>
        <item x="299"/>
        <item x="355"/>
        <item x="30"/>
        <item x="380"/>
        <item x="334"/>
        <item x="159"/>
        <item x="264"/>
        <item x="59"/>
        <item x="278"/>
        <item x="241"/>
        <item x="134"/>
        <item x="367"/>
        <item x="8"/>
        <item x="317"/>
        <item x="170"/>
        <item x="312"/>
        <item x="215"/>
        <item x="101"/>
        <item x="171"/>
        <item x="370"/>
        <item x="341"/>
        <item x="123"/>
        <item x="266"/>
        <item x="48"/>
        <item x="42"/>
        <item x="190"/>
        <item x="5"/>
        <item x="346"/>
        <item x="51"/>
        <item x="84"/>
        <item x="3"/>
        <item x="375"/>
        <item x="29"/>
        <item x="115"/>
        <item x="276"/>
        <item x="381"/>
        <item x="359"/>
        <item x="233"/>
        <item x="368"/>
        <item x="152"/>
        <item x="19"/>
        <item x="221"/>
        <item x="11"/>
        <item x="244"/>
        <item x="248"/>
        <item x="160"/>
        <item x="352"/>
        <item x="303"/>
        <item x="149"/>
        <item x="308"/>
        <item x="12"/>
        <item x="132"/>
        <item x="116"/>
        <item x="45"/>
        <item x="295"/>
        <item x="163"/>
        <item x="258"/>
        <item x="95"/>
        <item x="231"/>
        <item x="338"/>
        <item x="196"/>
        <item x="46"/>
        <item x="298"/>
        <item x="92"/>
        <item x="57"/>
        <item x="369"/>
        <item x="385"/>
        <item x="285"/>
        <item x="373"/>
        <item x="102"/>
        <item x="165"/>
        <item x="379"/>
        <item x="60"/>
        <item x="138"/>
        <item x="22"/>
        <item x="219"/>
        <item x="166"/>
        <item x="282"/>
        <item x="148"/>
        <item x="43"/>
        <item x="44"/>
        <item x="337"/>
        <item x="90"/>
        <item x="96"/>
        <item x="309"/>
        <item x="357"/>
        <item x="250"/>
        <item x="141"/>
        <item x="35"/>
        <item x="302"/>
        <item x="110"/>
        <item x="111"/>
        <item x="100"/>
        <item x="128"/>
        <item x="366"/>
        <item x="342"/>
        <item x="177"/>
        <item x="204"/>
        <item x="17"/>
        <item x="174"/>
        <item x="289"/>
        <item x="364"/>
        <item x="328"/>
        <item x="89"/>
        <item x="24"/>
        <item x="126"/>
        <item x="239"/>
        <item x="287"/>
        <item x="181"/>
        <item x="194"/>
        <item x="191"/>
        <item x="31"/>
        <item x="66"/>
        <item x="348"/>
        <item x="211"/>
        <item x="118"/>
        <item x="54"/>
        <item x="97"/>
        <item x="267"/>
        <item x="320"/>
        <item x="304"/>
        <item x="224"/>
        <item x="198"/>
        <item x="39"/>
        <item x="58"/>
        <item x="356"/>
        <item x="68"/>
        <item x="61"/>
        <item x="305"/>
        <item x="257"/>
        <item x="386"/>
        <item x="234"/>
        <item x="137"/>
        <item x="71"/>
        <item x="212"/>
        <item x="255"/>
        <item x="313"/>
        <item x="200"/>
        <item x="292"/>
        <item x="76"/>
        <item x="246"/>
        <item x="53"/>
        <item x="98"/>
        <item x="333"/>
        <item x="10"/>
        <item x="230"/>
        <item x="335"/>
        <item x="133"/>
        <item x="336"/>
        <item x="145"/>
        <item x="319"/>
        <item x="330"/>
        <item x="47"/>
        <item x="327"/>
        <item x="113"/>
        <item x="214"/>
        <item x="140"/>
        <item x="72"/>
        <item x="206"/>
        <item x="184"/>
        <item x="119"/>
        <item x="78"/>
        <item x="365"/>
        <item x="262"/>
        <item x="314"/>
        <item x="279"/>
        <item x="232"/>
        <item x="382"/>
        <item x="37"/>
        <item x="384"/>
        <item x="40"/>
        <item x="225"/>
        <item x="117"/>
        <item x="79"/>
        <item x="175"/>
        <item x="21"/>
        <item x="99"/>
        <item x="189"/>
        <item x="331"/>
        <item x="129"/>
        <item x="156"/>
        <item x="217"/>
        <item x="362"/>
        <item x="4"/>
        <item x="378"/>
        <item x="147"/>
        <item x="195"/>
        <item x="318"/>
        <item x="256"/>
        <item x="94"/>
        <item x="251"/>
        <item x="105"/>
        <item x="325"/>
        <item x="38"/>
        <item x="339"/>
        <item x="124"/>
        <item x="207"/>
        <item x="294"/>
        <item x="125"/>
        <item x="329"/>
        <item x="247"/>
        <item x="82"/>
        <item x="323"/>
        <item x="179"/>
        <item x="65"/>
        <item x="321"/>
        <item x="332"/>
        <item x="296"/>
        <item x="345"/>
        <item x="360"/>
        <item x="56"/>
        <item x="343"/>
        <item x="80"/>
        <item x="50"/>
        <item x="213"/>
        <item x="235"/>
        <item x="272"/>
        <item x="121"/>
        <item x="178"/>
        <item x="209"/>
        <item x="49"/>
        <item x="169"/>
        <item x="158"/>
        <item x="0"/>
        <item x="340"/>
        <item x="16"/>
        <item x="208"/>
        <item x="27"/>
        <item x="14"/>
        <item x="172"/>
        <item x="109"/>
        <item x="220"/>
        <item x="363"/>
        <item x="192"/>
        <item x="301"/>
        <item x="237"/>
        <item x="55"/>
        <item x="297"/>
        <item x="280"/>
        <item x="188"/>
        <item x="300"/>
        <item x="227"/>
        <item x="7"/>
        <item x="307"/>
        <item x="75"/>
        <item x="120"/>
        <item x="281"/>
        <item x="261"/>
        <item x="202"/>
        <item x="350"/>
        <item x="271"/>
        <item x="245"/>
        <item x="103"/>
        <item x="32"/>
        <item x="91"/>
        <item x="236"/>
        <item x="20"/>
        <item x="144"/>
        <item x="284"/>
        <item x="150"/>
        <item x="229"/>
        <item x="151"/>
        <item x="371"/>
        <item x="203"/>
        <item x="383"/>
        <item x="15"/>
        <item x="18"/>
        <item x="136"/>
        <item x="135"/>
        <item x="283"/>
        <item x="67"/>
        <item x="161"/>
        <item x="344"/>
        <item x="6"/>
        <item x="288"/>
        <item x="290"/>
        <item x="377"/>
        <item x="143"/>
        <item x="210"/>
        <item x="33"/>
        <item x="249"/>
        <item x="108"/>
        <item x="347"/>
        <item x="85"/>
        <item x="62"/>
        <item x="259"/>
        <item x="2"/>
        <item x="238"/>
        <item x="353"/>
        <item x="88"/>
        <item x="104"/>
        <item x="268"/>
        <item x="34"/>
        <item x="122"/>
        <item x="52"/>
        <item x="311"/>
        <item x="176"/>
        <item x="70"/>
        <item x="187"/>
        <item x="205"/>
        <item x="242"/>
        <item x="361"/>
        <item x="183"/>
        <item x="222"/>
        <item x="167"/>
        <item x="269"/>
        <item x="193"/>
        <item x="199"/>
        <item x="324"/>
        <item x="243"/>
        <item x="107"/>
        <item x="218"/>
        <item x="252"/>
        <item x="315"/>
        <item x="310"/>
        <item x="69"/>
        <item x="351"/>
        <item x="226"/>
        <item x="349"/>
        <item x="87"/>
        <item x="28"/>
        <item x="223"/>
        <item x="112"/>
        <item x="376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9" showAll="0"/>
    <pivotField showAll="0">
      <items count="4">
        <item x="1"/>
        <item x="0"/>
        <item x="2"/>
        <item t="default"/>
      </items>
    </pivotField>
    <pivotField showAll="0">
      <items count="13">
        <item x="8"/>
        <item x="4"/>
        <item x="1"/>
        <item x="6"/>
        <item x="11"/>
        <item x="10"/>
        <item x="3"/>
        <item x="2"/>
        <item x="7"/>
        <item x="0"/>
        <item x="9"/>
        <item x="5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Tržba" fld="13" baseField="0" baseItem="0" numFmtId="164"/>
  </dataFields>
  <formats count="22">
    <format dxfId="455">
      <pivotArea type="all" dataOnly="0" outline="0" fieldPosition="0"/>
    </format>
    <format dxfId="454">
      <pivotArea outline="0" collapsedLevelsAreSubtotals="1" fieldPosition="0"/>
    </format>
    <format dxfId="453">
      <pivotArea field="19" type="button" dataOnly="0" labelOnly="1" outline="0"/>
    </format>
    <format dxfId="452">
      <pivotArea dataOnly="0" labelOnly="1" grandRow="1" outline="0" fieldPosition="0"/>
    </format>
    <format dxfId="451">
      <pivotArea dataOnly="0" labelOnly="1" outline="0" axis="axisValues" fieldPosition="0"/>
    </format>
    <format dxfId="450">
      <pivotArea type="all" dataOnly="0" outline="0" fieldPosition="0"/>
    </format>
    <format dxfId="449">
      <pivotArea outline="0" collapsedLevelsAreSubtotals="1" fieldPosition="0"/>
    </format>
    <format dxfId="448">
      <pivotArea dataOnly="0" labelOnly="1" outline="0" axis="axisValues" fieldPosition="0"/>
    </format>
    <format dxfId="447">
      <pivotArea type="all" dataOnly="0" outline="0" fieldPosition="0"/>
    </format>
    <format dxfId="446">
      <pivotArea dataOnly="0" labelOnly="1" outline="0" axis="axisValues" fieldPosition="0"/>
    </format>
    <format dxfId="445">
      <pivotArea dataOnly="0" labelOnly="1" outline="0" axis="axisValues" fieldPosition="0"/>
    </format>
    <format dxfId="444">
      <pivotArea outline="0" collapsedLevelsAreSubtotals="1" fieldPosition="0"/>
    </format>
    <format dxfId="443">
      <pivotArea outline="0" collapsedLevelsAreSubtotals="1" fieldPosition="0"/>
    </format>
    <format dxfId="442">
      <pivotArea type="all" dataOnly="0" outline="0" fieldPosition="0"/>
    </format>
    <format dxfId="441">
      <pivotArea outline="0" collapsedLevelsAreSubtotals="1" fieldPosition="0"/>
    </format>
    <format dxfId="440">
      <pivotArea dataOnly="0" labelOnly="1" outline="0" axis="axisValues" fieldPosition="0"/>
    </format>
    <format dxfId="439">
      <pivotArea type="all" dataOnly="0" outline="0" fieldPosition="0"/>
    </format>
    <format dxfId="438">
      <pivotArea outline="0" collapsedLevelsAreSubtotals="1" fieldPosition="0"/>
    </format>
    <format dxfId="437">
      <pivotArea dataOnly="0" labelOnly="1" outline="0" axis="axisValues" fieldPosition="0"/>
    </format>
    <format dxfId="436">
      <pivotArea outline="0" collapsedLevelsAreSubtotals="1" fieldPosition="0"/>
    </format>
    <format dxfId="435">
      <pivotArea outline="0" collapsedLevelsAreSubtotals="1" fieldPosition="0"/>
    </format>
    <format dxfId="434">
      <pivotArea outline="0" collapsedLevelsAreSubtotals="1" fieldPosition="0"/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9261D5-24A5-4F2D-82DA-4DC83707EBAB}" name="Ziska_predaj_region" cacheId="0" applyNumberFormats="0" applyBorderFormats="0" applyFontFormats="0" applyPatternFormats="0" applyAlignmentFormats="0" applyWidthHeightFormats="1" dataCaption="Hodnoty" updatedVersion="8" minRefreshableVersion="3" itemPrintTitles="1" createdVersion="8" indent="0" outline="1" outlineData="1" multipleFieldFilters="0">
  <location ref="F5:F6" firstHeaderRow="1" firstDataRow="1" firstDataCol="0"/>
  <pivotFields count="25">
    <pivotField numFmtId="14" showAll="0">
      <items count="388">
        <item x="114"/>
        <item x="41"/>
        <item x="275"/>
        <item x="197"/>
        <item x="273"/>
        <item x="274"/>
        <item x="316"/>
        <item x="13"/>
        <item x="168"/>
        <item x="74"/>
        <item x="23"/>
        <item x="260"/>
        <item x="77"/>
        <item x="25"/>
        <item x="291"/>
        <item x="73"/>
        <item x="374"/>
        <item x="93"/>
        <item x="322"/>
        <item x="306"/>
        <item x="164"/>
        <item x="162"/>
        <item x="146"/>
        <item x="154"/>
        <item x="253"/>
        <item x="153"/>
        <item x="86"/>
        <item x="254"/>
        <item x="240"/>
        <item x="64"/>
        <item x="182"/>
        <item x="1"/>
        <item x="83"/>
        <item x="228"/>
        <item x="139"/>
        <item x="186"/>
        <item x="326"/>
        <item x="36"/>
        <item x="155"/>
        <item x="277"/>
        <item x="354"/>
        <item x="270"/>
        <item x="157"/>
        <item x="9"/>
        <item x="263"/>
        <item x="293"/>
        <item x="142"/>
        <item x="131"/>
        <item x="201"/>
        <item x="127"/>
        <item x="265"/>
        <item x="358"/>
        <item x="372"/>
        <item x="185"/>
        <item x="173"/>
        <item x="106"/>
        <item x="216"/>
        <item x="81"/>
        <item x="26"/>
        <item x="130"/>
        <item x="63"/>
        <item x="286"/>
        <item x="180"/>
        <item x="299"/>
        <item x="355"/>
        <item x="30"/>
        <item x="380"/>
        <item x="334"/>
        <item x="159"/>
        <item x="264"/>
        <item x="59"/>
        <item x="278"/>
        <item x="241"/>
        <item x="134"/>
        <item x="367"/>
        <item x="8"/>
        <item x="317"/>
        <item x="170"/>
        <item x="312"/>
        <item x="215"/>
        <item x="101"/>
        <item x="171"/>
        <item x="370"/>
        <item x="341"/>
        <item x="123"/>
        <item x="266"/>
        <item x="48"/>
        <item x="42"/>
        <item x="190"/>
        <item x="5"/>
        <item x="346"/>
        <item x="51"/>
        <item x="84"/>
        <item x="3"/>
        <item x="375"/>
        <item x="29"/>
        <item x="115"/>
        <item x="276"/>
        <item x="381"/>
        <item x="359"/>
        <item x="233"/>
        <item x="368"/>
        <item x="152"/>
        <item x="19"/>
        <item x="221"/>
        <item x="11"/>
        <item x="244"/>
        <item x="248"/>
        <item x="160"/>
        <item x="352"/>
        <item x="303"/>
        <item x="149"/>
        <item x="308"/>
        <item x="12"/>
        <item x="132"/>
        <item x="116"/>
        <item x="45"/>
        <item x="295"/>
        <item x="163"/>
        <item x="258"/>
        <item x="95"/>
        <item x="231"/>
        <item x="338"/>
        <item x="196"/>
        <item x="46"/>
        <item x="298"/>
        <item x="92"/>
        <item x="57"/>
        <item x="369"/>
        <item x="385"/>
        <item x="285"/>
        <item x="373"/>
        <item x="102"/>
        <item x="165"/>
        <item x="379"/>
        <item x="60"/>
        <item x="138"/>
        <item x="22"/>
        <item x="219"/>
        <item x="166"/>
        <item x="282"/>
        <item x="148"/>
        <item x="43"/>
        <item x="44"/>
        <item x="337"/>
        <item x="90"/>
        <item x="96"/>
        <item x="309"/>
        <item x="357"/>
        <item x="250"/>
        <item x="141"/>
        <item x="35"/>
        <item x="302"/>
        <item x="110"/>
        <item x="111"/>
        <item x="100"/>
        <item x="128"/>
        <item x="366"/>
        <item x="342"/>
        <item x="177"/>
        <item x="204"/>
        <item x="17"/>
        <item x="174"/>
        <item x="289"/>
        <item x="364"/>
        <item x="328"/>
        <item x="89"/>
        <item x="24"/>
        <item x="126"/>
        <item x="239"/>
        <item x="287"/>
        <item x="181"/>
        <item x="194"/>
        <item x="191"/>
        <item x="31"/>
        <item x="66"/>
        <item x="348"/>
        <item x="211"/>
        <item x="118"/>
        <item x="54"/>
        <item x="97"/>
        <item x="267"/>
        <item x="320"/>
        <item x="304"/>
        <item x="224"/>
        <item x="198"/>
        <item x="39"/>
        <item x="58"/>
        <item x="356"/>
        <item x="68"/>
        <item x="61"/>
        <item x="305"/>
        <item x="257"/>
        <item x="386"/>
        <item x="234"/>
        <item x="137"/>
        <item x="71"/>
        <item x="212"/>
        <item x="255"/>
        <item x="313"/>
        <item x="200"/>
        <item x="292"/>
        <item x="76"/>
        <item x="246"/>
        <item x="53"/>
        <item x="98"/>
        <item x="333"/>
        <item x="10"/>
        <item x="230"/>
        <item x="335"/>
        <item x="133"/>
        <item x="336"/>
        <item x="145"/>
        <item x="319"/>
        <item x="330"/>
        <item x="47"/>
        <item x="327"/>
        <item x="113"/>
        <item x="214"/>
        <item x="140"/>
        <item x="72"/>
        <item x="206"/>
        <item x="184"/>
        <item x="119"/>
        <item x="78"/>
        <item x="365"/>
        <item x="262"/>
        <item x="314"/>
        <item x="279"/>
        <item x="232"/>
        <item x="382"/>
        <item x="37"/>
        <item x="384"/>
        <item x="40"/>
        <item x="225"/>
        <item x="117"/>
        <item x="79"/>
        <item x="175"/>
        <item x="21"/>
        <item x="99"/>
        <item x="189"/>
        <item x="331"/>
        <item x="129"/>
        <item x="156"/>
        <item x="217"/>
        <item x="362"/>
        <item x="4"/>
        <item x="378"/>
        <item x="147"/>
        <item x="195"/>
        <item x="318"/>
        <item x="256"/>
        <item x="94"/>
        <item x="251"/>
        <item x="105"/>
        <item x="325"/>
        <item x="38"/>
        <item x="339"/>
        <item x="124"/>
        <item x="207"/>
        <item x="294"/>
        <item x="125"/>
        <item x="329"/>
        <item x="247"/>
        <item x="82"/>
        <item x="323"/>
        <item x="179"/>
        <item x="65"/>
        <item x="321"/>
        <item x="332"/>
        <item x="296"/>
        <item x="345"/>
        <item x="360"/>
        <item x="56"/>
        <item x="343"/>
        <item x="80"/>
        <item x="50"/>
        <item x="213"/>
        <item x="235"/>
        <item x="272"/>
        <item x="121"/>
        <item x="178"/>
        <item x="209"/>
        <item x="49"/>
        <item x="169"/>
        <item x="158"/>
        <item x="0"/>
        <item x="340"/>
        <item x="16"/>
        <item x="208"/>
        <item x="27"/>
        <item x="14"/>
        <item x="172"/>
        <item x="109"/>
        <item x="220"/>
        <item x="363"/>
        <item x="192"/>
        <item x="301"/>
        <item x="237"/>
        <item x="55"/>
        <item x="297"/>
        <item x="280"/>
        <item x="188"/>
        <item x="300"/>
        <item x="227"/>
        <item x="7"/>
        <item x="307"/>
        <item x="75"/>
        <item x="120"/>
        <item x="281"/>
        <item x="261"/>
        <item x="202"/>
        <item x="350"/>
        <item x="271"/>
        <item x="245"/>
        <item x="103"/>
        <item x="32"/>
        <item x="91"/>
        <item x="236"/>
        <item x="20"/>
        <item x="144"/>
        <item x="284"/>
        <item x="150"/>
        <item x="229"/>
        <item x="151"/>
        <item x="371"/>
        <item x="203"/>
        <item x="383"/>
        <item x="15"/>
        <item x="18"/>
        <item x="136"/>
        <item x="135"/>
        <item x="283"/>
        <item x="67"/>
        <item x="161"/>
        <item x="344"/>
        <item x="6"/>
        <item x="288"/>
        <item x="290"/>
        <item x="377"/>
        <item x="143"/>
        <item x="210"/>
        <item x="33"/>
        <item x="249"/>
        <item x="108"/>
        <item x="347"/>
        <item x="85"/>
        <item x="62"/>
        <item x="259"/>
        <item x="2"/>
        <item x="238"/>
        <item x="353"/>
        <item x="88"/>
        <item x="104"/>
        <item x="268"/>
        <item x="34"/>
        <item x="122"/>
        <item x="52"/>
        <item x="311"/>
        <item x="176"/>
        <item x="70"/>
        <item x="187"/>
        <item x="205"/>
        <item x="242"/>
        <item x="361"/>
        <item x="183"/>
        <item x="222"/>
        <item x="167"/>
        <item x="269"/>
        <item x="193"/>
        <item x="199"/>
        <item x="324"/>
        <item x="243"/>
        <item x="107"/>
        <item x="218"/>
        <item x="252"/>
        <item x="315"/>
        <item x="310"/>
        <item x="69"/>
        <item x="351"/>
        <item x="226"/>
        <item x="349"/>
        <item x="87"/>
        <item x="28"/>
        <item x="223"/>
        <item x="112"/>
        <item x="376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9" showAll="0"/>
    <pivotField showAll="0">
      <items count="4">
        <item x="1"/>
        <item x="0"/>
        <item x="2"/>
        <item t="default"/>
      </items>
    </pivotField>
    <pivotField showAll="0">
      <items count="13">
        <item x="8"/>
        <item x="4"/>
        <item x="1"/>
        <item x="6"/>
        <item x="11"/>
        <item x="10"/>
        <item x="3"/>
        <item x="2"/>
        <item x="7"/>
        <item x="0"/>
        <item x="9"/>
        <item x="5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Zisk Kč" fld="15" baseField="0" baseItem="0" numFmtId="164"/>
  </dataFields>
  <formats count="22">
    <format dxfId="309">
      <pivotArea type="all" dataOnly="0" outline="0" fieldPosition="0"/>
    </format>
    <format dxfId="308">
      <pivotArea outline="0" collapsedLevelsAreSubtotals="1" fieldPosition="0"/>
    </format>
    <format dxfId="307">
      <pivotArea field="19" type="button" dataOnly="0" labelOnly="1" outline="0"/>
    </format>
    <format dxfId="306">
      <pivotArea dataOnly="0" labelOnly="1" grandRow="1" outline="0" fieldPosition="0"/>
    </format>
    <format dxfId="305">
      <pivotArea dataOnly="0" labelOnly="1" outline="0" axis="axisValues" fieldPosition="0"/>
    </format>
    <format dxfId="304">
      <pivotArea type="all" dataOnly="0" outline="0" fieldPosition="0"/>
    </format>
    <format dxfId="303">
      <pivotArea outline="0" collapsedLevelsAreSubtotals="1" fieldPosition="0"/>
    </format>
    <format dxfId="302">
      <pivotArea dataOnly="0" labelOnly="1" outline="0" axis="axisValues" fieldPosition="0"/>
    </format>
    <format dxfId="301">
      <pivotArea type="all" dataOnly="0" outline="0" fieldPosition="0"/>
    </format>
    <format dxfId="300">
      <pivotArea dataOnly="0" labelOnly="1" outline="0" axis="axisValues" fieldPosition="0"/>
    </format>
    <format dxfId="299">
      <pivotArea dataOnly="0" labelOnly="1" outline="0" axis="axisValues" fieldPosition="0"/>
    </format>
    <format dxfId="298">
      <pivotArea outline="0" collapsedLevelsAreSubtotals="1" fieldPosition="0"/>
    </format>
    <format dxfId="297">
      <pivotArea outline="0" collapsedLevelsAreSubtotals="1" fieldPosition="0"/>
    </format>
    <format dxfId="296">
      <pivotArea type="all" dataOnly="0" outline="0" fieldPosition="0"/>
    </format>
    <format dxfId="295">
      <pivotArea outline="0" collapsedLevelsAreSubtotals="1" fieldPosition="0"/>
    </format>
    <format dxfId="294">
      <pivotArea dataOnly="0" labelOnly="1" outline="0" axis="axisValues" fieldPosition="0"/>
    </format>
    <format dxfId="293">
      <pivotArea type="all" dataOnly="0" outline="0" fieldPosition="0"/>
    </format>
    <format dxfId="292">
      <pivotArea outline="0" collapsedLevelsAreSubtotals="1" fieldPosition="0"/>
    </format>
    <format dxfId="291">
      <pivotArea dataOnly="0" labelOnly="1" outline="0" axis="axisValues" fieldPosition="0"/>
    </format>
    <format dxfId="290">
      <pivotArea outline="0" collapsedLevelsAreSubtotals="1" fieldPosition="0"/>
    </format>
    <format dxfId="289">
      <pivotArea outline="0" collapsedLevelsAreSubtotals="1" fieldPosition="0"/>
    </format>
    <format dxfId="288">
      <pivotArea outline="0" collapsedLevelsAreSubtotals="1" fieldPosition="0"/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228E4D-A01B-463C-8CBC-FB218A67DBBF}" name="Marza%_predaj_region" cacheId="0" applyNumberFormats="0" applyBorderFormats="0" applyFontFormats="0" applyPatternFormats="0" applyAlignmentFormats="0" applyWidthHeightFormats="1" dataCaption="Hodnoty" updatedVersion="8" minRefreshableVersion="3" itemPrintTitles="1" createdVersion="8" indent="0" compact="0" compactData="0" multipleFieldFilters="0" chartFormat="32">
  <location ref="J5:J6" firstHeaderRow="1" firstDataRow="1" firstDataCol="0"/>
  <pivotFields count="25">
    <pivotField compact="0" numFmtId="14" outline="0" showAll="0">
      <items count="388">
        <item x="114"/>
        <item x="41"/>
        <item x="275"/>
        <item x="197"/>
        <item x="273"/>
        <item x="274"/>
        <item x="316"/>
        <item x="13"/>
        <item x="168"/>
        <item x="74"/>
        <item x="23"/>
        <item x="260"/>
        <item x="77"/>
        <item x="25"/>
        <item x="291"/>
        <item x="73"/>
        <item x="374"/>
        <item x="93"/>
        <item x="322"/>
        <item x="306"/>
        <item x="164"/>
        <item x="162"/>
        <item x="146"/>
        <item x="154"/>
        <item x="253"/>
        <item x="153"/>
        <item x="86"/>
        <item x="254"/>
        <item x="240"/>
        <item x="64"/>
        <item x="182"/>
        <item x="1"/>
        <item x="83"/>
        <item x="228"/>
        <item x="139"/>
        <item x="186"/>
        <item x="326"/>
        <item x="36"/>
        <item x="155"/>
        <item x="277"/>
        <item x="354"/>
        <item x="270"/>
        <item x="157"/>
        <item x="9"/>
        <item x="263"/>
        <item x="293"/>
        <item x="142"/>
        <item x="131"/>
        <item x="201"/>
        <item x="127"/>
        <item x="265"/>
        <item x="358"/>
        <item x="372"/>
        <item x="185"/>
        <item x="173"/>
        <item x="106"/>
        <item x="216"/>
        <item x="81"/>
        <item x="26"/>
        <item x="130"/>
        <item x="63"/>
        <item x="286"/>
        <item x="180"/>
        <item x="299"/>
        <item x="355"/>
        <item x="30"/>
        <item x="380"/>
        <item x="334"/>
        <item x="159"/>
        <item x="264"/>
        <item x="59"/>
        <item x="278"/>
        <item x="241"/>
        <item x="134"/>
        <item x="367"/>
        <item x="8"/>
        <item x="317"/>
        <item x="170"/>
        <item x="312"/>
        <item x="215"/>
        <item x="101"/>
        <item x="171"/>
        <item x="370"/>
        <item x="341"/>
        <item x="123"/>
        <item x="266"/>
        <item x="48"/>
        <item x="42"/>
        <item x="190"/>
        <item x="5"/>
        <item x="346"/>
        <item x="51"/>
        <item x="84"/>
        <item x="3"/>
        <item x="375"/>
        <item x="29"/>
        <item x="115"/>
        <item x="276"/>
        <item x="381"/>
        <item x="359"/>
        <item x="233"/>
        <item x="368"/>
        <item x="152"/>
        <item x="19"/>
        <item x="221"/>
        <item x="11"/>
        <item x="244"/>
        <item x="248"/>
        <item x="160"/>
        <item x="352"/>
        <item x="303"/>
        <item x="149"/>
        <item x="308"/>
        <item x="12"/>
        <item x="132"/>
        <item x="116"/>
        <item x="45"/>
        <item x="295"/>
        <item x="163"/>
        <item x="258"/>
        <item x="95"/>
        <item x="231"/>
        <item x="338"/>
        <item x="196"/>
        <item x="46"/>
        <item x="298"/>
        <item x="92"/>
        <item x="57"/>
        <item x="369"/>
        <item x="385"/>
        <item x="285"/>
        <item x="373"/>
        <item x="102"/>
        <item x="165"/>
        <item x="379"/>
        <item x="60"/>
        <item x="138"/>
        <item x="22"/>
        <item x="219"/>
        <item x="166"/>
        <item x="282"/>
        <item x="148"/>
        <item x="43"/>
        <item x="44"/>
        <item x="337"/>
        <item x="90"/>
        <item x="96"/>
        <item x="309"/>
        <item x="357"/>
        <item x="250"/>
        <item x="141"/>
        <item x="35"/>
        <item x="302"/>
        <item x="110"/>
        <item x="111"/>
        <item x="100"/>
        <item x="128"/>
        <item x="366"/>
        <item x="342"/>
        <item x="177"/>
        <item x="204"/>
        <item x="17"/>
        <item x="174"/>
        <item x="289"/>
        <item x="364"/>
        <item x="328"/>
        <item x="89"/>
        <item x="24"/>
        <item x="126"/>
        <item x="239"/>
        <item x="287"/>
        <item x="181"/>
        <item x="194"/>
        <item x="191"/>
        <item x="31"/>
        <item x="66"/>
        <item x="348"/>
        <item x="211"/>
        <item x="118"/>
        <item x="54"/>
        <item x="97"/>
        <item x="267"/>
        <item x="320"/>
        <item x="304"/>
        <item x="224"/>
        <item x="198"/>
        <item x="39"/>
        <item x="58"/>
        <item x="356"/>
        <item x="68"/>
        <item x="61"/>
        <item x="305"/>
        <item x="257"/>
        <item x="386"/>
        <item x="234"/>
        <item x="137"/>
        <item x="71"/>
        <item x="212"/>
        <item x="255"/>
        <item x="313"/>
        <item x="200"/>
        <item x="292"/>
        <item x="76"/>
        <item x="246"/>
        <item x="53"/>
        <item x="98"/>
        <item x="333"/>
        <item x="10"/>
        <item x="230"/>
        <item x="335"/>
        <item x="133"/>
        <item x="336"/>
        <item x="145"/>
        <item x="319"/>
        <item x="330"/>
        <item x="47"/>
        <item x="327"/>
        <item x="113"/>
        <item x="214"/>
        <item x="140"/>
        <item x="72"/>
        <item x="206"/>
        <item x="184"/>
        <item x="119"/>
        <item x="78"/>
        <item x="365"/>
        <item x="262"/>
        <item x="314"/>
        <item x="279"/>
        <item x="232"/>
        <item x="382"/>
        <item x="37"/>
        <item x="384"/>
        <item x="40"/>
        <item x="225"/>
        <item x="117"/>
        <item x="79"/>
        <item x="175"/>
        <item x="21"/>
        <item x="99"/>
        <item x="189"/>
        <item x="331"/>
        <item x="129"/>
        <item x="156"/>
        <item x="217"/>
        <item x="362"/>
        <item x="4"/>
        <item x="378"/>
        <item x="147"/>
        <item x="195"/>
        <item x="318"/>
        <item x="256"/>
        <item x="94"/>
        <item x="251"/>
        <item x="105"/>
        <item x="325"/>
        <item x="38"/>
        <item x="339"/>
        <item x="124"/>
        <item x="207"/>
        <item x="294"/>
        <item x="125"/>
        <item x="329"/>
        <item x="247"/>
        <item x="82"/>
        <item x="323"/>
        <item x="179"/>
        <item x="65"/>
        <item x="321"/>
        <item x="332"/>
        <item x="296"/>
        <item x="345"/>
        <item x="360"/>
        <item x="56"/>
        <item x="343"/>
        <item x="80"/>
        <item x="50"/>
        <item x="213"/>
        <item x="235"/>
        <item x="272"/>
        <item x="121"/>
        <item x="178"/>
        <item x="209"/>
        <item x="49"/>
        <item x="169"/>
        <item x="158"/>
        <item x="0"/>
        <item x="340"/>
        <item x="16"/>
        <item x="208"/>
        <item x="27"/>
        <item x="14"/>
        <item x="172"/>
        <item x="109"/>
        <item x="220"/>
        <item x="363"/>
        <item x="192"/>
        <item x="301"/>
        <item x="237"/>
        <item x="55"/>
        <item x="297"/>
        <item x="280"/>
        <item x="188"/>
        <item x="300"/>
        <item x="227"/>
        <item x="7"/>
        <item x="307"/>
        <item x="75"/>
        <item x="120"/>
        <item x="281"/>
        <item x="261"/>
        <item x="202"/>
        <item x="350"/>
        <item x="271"/>
        <item x="245"/>
        <item x="103"/>
        <item x="32"/>
        <item x="91"/>
        <item x="236"/>
        <item x="20"/>
        <item x="144"/>
        <item x="284"/>
        <item x="150"/>
        <item x="229"/>
        <item x="151"/>
        <item x="371"/>
        <item x="203"/>
        <item x="383"/>
        <item x="15"/>
        <item x="18"/>
        <item x="136"/>
        <item x="135"/>
        <item x="283"/>
        <item x="67"/>
        <item x="161"/>
        <item x="344"/>
        <item x="6"/>
        <item x="288"/>
        <item x="290"/>
        <item x="377"/>
        <item x="143"/>
        <item x="210"/>
        <item x="33"/>
        <item x="249"/>
        <item x="108"/>
        <item x="347"/>
        <item x="85"/>
        <item x="62"/>
        <item x="259"/>
        <item x="2"/>
        <item x="238"/>
        <item x="353"/>
        <item x="88"/>
        <item x="104"/>
        <item x="268"/>
        <item x="34"/>
        <item x="122"/>
        <item x="52"/>
        <item x="311"/>
        <item x="176"/>
        <item x="70"/>
        <item x="187"/>
        <item x="205"/>
        <item x="242"/>
        <item x="361"/>
        <item x="183"/>
        <item x="222"/>
        <item x="167"/>
        <item x="269"/>
        <item x="193"/>
        <item x="199"/>
        <item x="324"/>
        <item x="243"/>
        <item x="107"/>
        <item x="218"/>
        <item x="252"/>
        <item x="315"/>
        <item x="310"/>
        <item x="69"/>
        <item x="351"/>
        <item x="226"/>
        <item x="349"/>
        <item x="87"/>
        <item x="28"/>
        <item x="223"/>
        <item x="112"/>
        <item x="376"/>
        <item t="default"/>
      </items>
    </pivotField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>
      <items count="13">
        <item x="8"/>
        <item x="4"/>
        <item x="1"/>
        <item x="6"/>
        <item x="11"/>
        <item x="10"/>
        <item x="3"/>
        <item x="2"/>
        <item x="7"/>
        <item x="0"/>
        <item x="9"/>
        <item x="5"/>
        <item t="default"/>
      </items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6">
        <item sd="0" x="0"/>
        <item sd="0" x="1"/>
        <item sd="0" x="2"/>
        <item sd="0" x="3"/>
        <item sd="0" x="4"/>
        <item t="default"/>
      </items>
    </pivotField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Items count="1">
    <i/>
  </rowItems>
  <colItems count="1">
    <i/>
  </colItems>
  <dataFields count="1">
    <dataField name="Marza_pr%" fld="23" baseField="1" baseItem="1" numFmtId="10"/>
  </dataFields>
  <formats count="18">
    <format dxfId="327">
      <pivotArea type="all" dataOnly="0" outline="0" fieldPosition="0"/>
    </format>
    <format dxfId="326">
      <pivotArea outline="0" collapsedLevelsAreSubtotals="1" fieldPosition="0"/>
    </format>
    <format dxfId="325">
      <pivotArea field="19" type="button" dataOnly="0" labelOnly="1" outline="0"/>
    </format>
    <format dxfId="324">
      <pivotArea dataOnly="0" labelOnly="1" grandRow="1" outline="0" fieldPosition="0"/>
    </format>
    <format dxfId="323">
      <pivotArea dataOnly="0" labelOnly="1" outline="0" axis="axisValues" fieldPosition="0"/>
    </format>
    <format dxfId="322">
      <pivotArea dataOnly="0" labelOnly="1" grandRow="1" outline="0" fieldPosition="0"/>
    </format>
    <format dxfId="321">
      <pivotArea grandRow="1" outline="0" collapsedLevelsAreSubtotals="1" fieldPosition="0"/>
    </format>
    <format dxfId="320">
      <pivotArea outline="0" fieldPosition="0">
        <references count="1">
          <reference field="4294967294" count="1">
            <x v="0"/>
          </reference>
        </references>
      </pivotArea>
    </format>
    <format dxfId="319">
      <pivotArea type="all" dataOnly="0" outline="0" fieldPosition="0"/>
    </format>
    <format dxfId="318">
      <pivotArea outline="0" collapsedLevelsAreSubtotals="1" fieldPosition="0"/>
    </format>
    <format dxfId="317">
      <pivotArea dataOnly="0" labelOnly="1" outline="0" axis="axisValues" fieldPosition="0"/>
    </format>
    <format dxfId="316">
      <pivotArea type="all" dataOnly="0" outline="0" fieldPosition="0"/>
    </format>
    <format dxfId="315">
      <pivotArea outline="0" collapsedLevelsAreSubtotals="1" fieldPosition="0"/>
    </format>
    <format dxfId="314">
      <pivotArea dataOnly="0" labelOnly="1" outline="0" axis="axisValues" fieldPosition="0"/>
    </format>
    <format dxfId="313">
      <pivotArea type="all" dataOnly="0" outline="0" fieldPosition="0"/>
    </format>
    <format dxfId="312">
      <pivotArea outline="0" collapsedLevelsAreSubtotals="1" fieldPosition="0"/>
    </format>
    <format dxfId="311">
      <pivotArea dataOnly="0" labelOnly="1" outline="0" axis="axisValues" fieldPosition="0"/>
    </format>
    <format dxfId="310">
      <pivotArea dataOnly="0" labelOnly="1" outline="0" axis="axisValues" fieldPosition="0"/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159262-AC61-489A-BEED-ACD2A47B38B6}" name="Trzba_predaj_region" cacheId="0" applyNumberFormats="0" applyBorderFormats="0" applyFontFormats="0" applyPatternFormats="0" applyAlignmentFormats="0" applyWidthHeightFormats="1" dataCaption="Hodnoty" updatedVersion="8" minRefreshableVersion="3" itemPrintTitles="1" createdVersion="8" indent="0" showHeaders="0" outline="1" outlineData="1" multipleFieldFilters="0">
  <location ref="D5:D6" firstHeaderRow="1" firstDataRow="1" firstDataCol="0"/>
  <pivotFields count="25">
    <pivotField numFmtId="14" showAll="0">
      <items count="388">
        <item x="114"/>
        <item x="41"/>
        <item x="275"/>
        <item x="197"/>
        <item x="273"/>
        <item x="274"/>
        <item x="316"/>
        <item x="13"/>
        <item x="168"/>
        <item x="74"/>
        <item x="23"/>
        <item x="260"/>
        <item x="77"/>
        <item x="25"/>
        <item x="291"/>
        <item x="73"/>
        <item x="374"/>
        <item x="93"/>
        <item x="322"/>
        <item x="306"/>
        <item x="164"/>
        <item x="162"/>
        <item x="146"/>
        <item x="154"/>
        <item x="253"/>
        <item x="153"/>
        <item x="86"/>
        <item x="254"/>
        <item x="240"/>
        <item x="64"/>
        <item x="182"/>
        <item x="1"/>
        <item x="83"/>
        <item x="228"/>
        <item x="139"/>
        <item x="186"/>
        <item x="326"/>
        <item x="36"/>
        <item x="155"/>
        <item x="277"/>
        <item x="354"/>
        <item x="270"/>
        <item x="157"/>
        <item x="9"/>
        <item x="263"/>
        <item x="293"/>
        <item x="142"/>
        <item x="131"/>
        <item x="201"/>
        <item x="127"/>
        <item x="265"/>
        <item x="358"/>
        <item x="372"/>
        <item x="185"/>
        <item x="173"/>
        <item x="106"/>
        <item x="216"/>
        <item x="81"/>
        <item x="26"/>
        <item x="130"/>
        <item x="63"/>
        <item x="286"/>
        <item x="180"/>
        <item x="299"/>
        <item x="355"/>
        <item x="30"/>
        <item x="380"/>
        <item x="334"/>
        <item x="159"/>
        <item x="264"/>
        <item x="59"/>
        <item x="278"/>
        <item x="241"/>
        <item x="134"/>
        <item x="367"/>
        <item x="8"/>
        <item x="317"/>
        <item x="170"/>
        <item x="312"/>
        <item x="215"/>
        <item x="101"/>
        <item x="171"/>
        <item x="370"/>
        <item x="341"/>
        <item x="123"/>
        <item x="266"/>
        <item x="48"/>
        <item x="42"/>
        <item x="190"/>
        <item x="5"/>
        <item x="346"/>
        <item x="51"/>
        <item x="84"/>
        <item x="3"/>
        <item x="375"/>
        <item x="29"/>
        <item x="115"/>
        <item x="276"/>
        <item x="381"/>
        <item x="359"/>
        <item x="233"/>
        <item x="368"/>
        <item x="152"/>
        <item x="19"/>
        <item x="221"/>
        <item x="11"/>
        <item x="244"/>
        <item x="248"/>
        <item x="160"/>
        <item x="352"/>
        <item x="303"/>
        <item x="149"/>
        <item x="308"/>
        <item x="12"/>
        <item x="132"/>
        <item x="116"/>
        <item x="45"/>
        <item x="295"/>
        <item x="163"/>
        <item x="258"/>
        <item x="95"/>
        <item x="231"/>
        <item x="338"/>
        <item x="196"/>
        <item x="46"/>
        <item x="298"/>
        <item x="92"/>
        <item x="57"/>
        <item x="369"/>
        <item x="385"/>
        <item x="285"/>
        <item x="373"/>
        <item x="102"/>
        <item x="165"/>
        <item x="379"/>
        <item x="60"/>
        <item x="138"/>
        <item x="22"/>
        <item x="219"/>
        <item x="166"/>
        <item x="282"/>
        <item x="148"/>
        <item x="43"/>
        <item x="44"/>
        <item x="337"/>
        <item x="90"/>
        <item x="96"/>
        <item x="309"/>
        <item x="357"/>
        <item x="250"/>
        <item x="141"/>
        <item x="35"/>
        <item x="302"/>
        <item x="110"/>
        <item x="111"/>
        <item x="100"/>
        <item x="128"/>
        <item x="366"/>
        <item x="342"/>
        <item x="177"/>
        <item x="204"/>
        <item x="17"/>
        <item x="174"/>
        <item x="289"/>
        <item x="364"/>
        <item x="328"/>
        <item x="89"/>
        <item x="24"/>
        <item x="126"/>
        <item x="239"/>
        <item x="287"/>
        <item x="181"/>
        <item x="194"/>
        <item x="191"/>
        <item x="31"/>
        <item x="66"/>
        <item x="348"/>
        <item x="211"/>
        <item x="118"/>
        <item x="54"/>
        <item x="97"/>
        <item x="267"/>
        <item x="320"/>
        <item x="304"/>
        <item x="224"/>
        <item x="198"/>
        <item x="39"/>
        <item x="58"/>
        <item x="356"/>
        <item x="68"/>
        <item x="61"/>
        <item x="305"/>
        <item x="257"/>
        <item x="386"/>
        <item x="234"/>
        <item x="137"/>
        <item x="71"/>
        <item x="212"/>
        <item x="255"/>
        <item x="313"/>
        <item x="200"/>
        <item x="292"/>
        <item x="76"/>
        <item x="246"/>
        <item x="53"/>
        <item x="98"/>
        <item x="333"/>
        <item x="10"/>
        <item x="230"/>
        <item x="335"/>
        <item x="133"/>
        <item x="336"/>
        <item x="145"/>
        <item x="319"/>
        <item x="330"/>
        <item x="47"/>
        <item x="327"/>
        <item x="113"/>
        <item x="214"/>
        <item x="140"/>
        <item x="72"/>
        <item x="206"/>
        <item x="184"/>
        <item x="119"/>
        <item x="78"/>
        <item x="365"/>
        <item x="262"/>
        <item x="314"/>
        <item x="279"/>
        <item x="232"/>
        <item x="382"/>
        <item x="37"/>
        <item x="384"/>
        <item x="40"/>
        <item x="225"/>
        <item x="117"/>
        <item x="79"/>
        <item x="175"/>
        <item x="21"/>
        <item x="99"/>
        <item x="189"/>
        <item x="331"/>
        <item x="129"/>
        <item x="156"/>
        <item x="217"/>
        <item x="362"/>
        <item x="4"/>
        <item x="378"/>
        <item x="147"/>
        <item x="195"/>
        <item x="318"/>
        <item x="256"/>
        <item x="94"/>
        <item x="251"/>
        <item x="105"/>
        <item x="325"/>
        <item x="38"/>
        <item x="339"/>
        <item x="124"/>
        <item x="207"/>
        <item x="294"/>
        <item x="125"/>
        <item x="329"/>
        <item x="247"/>
        <item x="82"/>
        <item x="323"/>
        <item x="179"/>
        <item x="65"/>
        <item x="321"/>
        <item x="332"/>
        <item x="296"/>
        <item x="345"/>
        <item x="360"/>
        <item x="56"/>
        <item x="343"/>
        <item x="80"/>
        <item x="50"/>
        <item x="213"/>
        <item x="235"/>
        <item x="272"/>
        <item x="121"/>
        <item x="178"/>
        <item x="209"/>
        <item x="49"/>
        <item x="169"/>
        <item x="158"/>
        <item x="0"/>
        <item x="340"/>
        <item x="16"/>
        <item x="208"/>
        <item x="27"/>
        <item x="14"/>
        <item x="172"/>
        <item x="109"/>
        <item x="220"/>
        <item x="363"/>
        <item x="192"/>
        <item x="301"/>
        <item x="237"/>
        <item x="55"/>
        <item x="297"/>
        <item x="280"/>
        <item x="188"/>
        <item x="300"/>
        <item x="227"/>
        <item x="7"/>
        <item x="307"/>
        <item x="75"/>
        <item x="120"/>
        <item x="281"/>
        <item x="261"/>
        <item x="202"/>
        <item x="350"/>
        <item x="271"/>
        <item x="245"/>
        <item x="103"/>
        <item x="32"/>
        <item x="91"/>
        <item x="236"/>
        <item x="20"/>
        <item x="144"/>
        <item x="284"/>
        <item x="150"/>
        <item x="229"/>
        <item x="151"/>
        <item x="371"/>
        <item x="203"/>
        <item x="383"/>
        <item x="15"/>
        <item x="18"/>
        <item x="136"/>
        <item x="135"/>
        <item x="283"/>
        <item x="67"/>
        <item x="161"/>
        <item x="344"/>
        <item x="6"/>
        <item x="288"/>
        <item x="290"/>
        <item x="377"/>
        <item x="143"/>
        <item x="210"/>
        <item x="33"/>
        <item x="249"/>
        <item x="108"/>
        <item x="347"/>
        <item x="85"/>
        <item x="62"/>
        <item x="259"/>
        <item x="2"/>
        <item x="238"/>
        <item x="353"/>
        <item x="88"/>
        <item x="104"/>
        <item x="268"/>
        <item x="34"/>
        <item x="122"/>
        <item x="52"/>
        <item x="311"/>
        <item x="176"/>
        <item x="70"/>
        <item x="187"/>
        <item x="205"/>
        <item x="242"/>
        <item x="361"/>
        <item x="183"/>
        <item x="222"/>
        <item x="167"/>
        <item x="269"/>
        <item x="193"/>
        <item x="199"/>
        <item x="324"/>
        <item x="243"/>
        <item x="107"/>
        <item x="218"/>
        <item x="252"/>
        <item x="315"/>
        <item x="310"/>
        <item x="69"/>
        <item x="351"/>
        <item x="226"/>
        <item x="349"/>
        <item x="87"/>
        <item x="28"/>
        <item x="223"/>
        <item x="112"/>
        <item x="376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9" showAll="0"/>
    <pivotField showAll="0">
      <items count="4">
        <item x="1"/>
        <item x="0"/>
        <item x="2"/>
        <item t="default"/>
      </items>
    </pivotField>
    <pivotField showAll="0">
      <items count="13">
        <item x="8"/>
        <item x="4"/>
        <item x="1"/>
        <item x="6"/>
        <item x="11"/>
        <item x="10"/>
        <item x="3"/>
        <item x="2"/>
        <item x="7"/>
        <item x="0"/>
        <item x="9"/>
        <item x="5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Tržba" fld="13" baseField="0" baseItem="0" numFmtId="164"/>
  </dataFields>
  <formats count="22">
    <format dxfId="349">
      <pivotArea type="all" dataOnly="0" outline="0" fieldPosition="0"/>
    </format>
    <format dxfId="348">
      <pivotArea outline="0" collapsedLevelsAreSubtotals="1" fieldPosition="0"/>
    </format>
    <format dxfId="347">
      <pivotArea field="19" type="button" dataOnly="0" labelOnly="1" outline="0"/>
    </format>
    <format dxfId="346">
      <pivotArea dataOnly="0" labelOnly="1" grandRow="1" outline="0" fieldPosition="0"/>
    </format>
    <format dxfId="345">
      <pivotArea dataOnly="0" labelOnly="1" outline="0" axis="axisValues" fieldPosition="0"/>
    </format>
    <format dxfId="344">
      <pivotArea type="all" dataOnly="0" outline="0" fieldPosition="0"/>
    </format>
    <format dxfId="343">
      <pivotArea outline="0" collapsedLevelsAreSubtotals="1" fieldPosition="0"/>
    </format>
    <format dxfId="342">
      <pivotArea dataOnly="0" labelOnly="1" outline="0" axis="axisValues" fieldPosition="0"/>
    </format>
    <format dxfId="341">
      <pivotArea type="all" dataOnly="0" outline="0" fieldPosition="0"/>
    </format>
    <format dxfId="340">
      <pivotArea dataOnly="0" labelOnly="1" outline="0" axis="axisValues" fieldPosition="0"/>
    </format>
    <format dxfId="339">
      <pivotArea dataOnly="0" labelOnly="1" outline="0" axis="axisValues" fieldPosition="0"/>
    </format>
    <format dxfId="338">
      <pivotArea outline="0" collapsedLevelsAreSubtotals="1" fieldPosition="0"/>
    </format>
    <format dxfId="337">
      <pivotArea outline="0" collapsedLevelsAreSubtotals="1" fieldPosition="0"/>
    </format>
    <format dxfId="336">
      <pivotArea type="all" dataOnly="0" outline="0" fieldPosition="0"/>
    </format>
    <format dxfId="335">
      <pivotArea outline="0" collapsedLevelsAreSubtotals="1" fieldPosition="0"/>
    </format>
    <format dxfId="334">
      <pivotArea dataOnly="0" labelOnly="1" outline="0" axis="axisValues" fieldPosition="0"/>
    </format>
    <format dxfId="333">
      <pivotArea type="all" dataOnly="0" outline="0" fieldPosition="0"/>
    </format>
    <format dxfId="332">
      <pivotArea outline="0" collapsedLevelsAreSubtotals="1" fieldPosition="0"/>
    </format>
    <format dxfId="331">
      <pivotArea dataOnly="0" labelOnly="1" outline="0" axis="axisValues" fieldPosition="0"/>
    </format>
    <format dxfId="330">
      <pivotArea outline="0" collapsedLevelsAreSubtotals="1" fieldPosition="0"/>
    </format>
    <format dxfId="329">
      <pivotArea outline="0" collapsedLevelsAreSubtotals="1" fieldPosition="0"/>
    </format>
    <format dxfId="328">
      <pivotArea outline="0" collapsedLevelsAreSubtotals="1" fieldPosition="0"/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42A9E-C807-49FE-81FB-C2493C68BD7D}" name="Naklady_predaj_region" cacheId="0" applyNumberFormats="0" applyBorderFormats="0" applyFontFormats="0" applyPatternFormats="0" applyAlignmentFormats="0" applyWidthHeightFormats="1" dataCaption="Hodnoty" updatedVersion="8" minRefreshableVersion="3" itemPrintTitles="1" createdVersion="8" indent="0" outline="1" outlineData="1" multipleFieldFilters="0">
  <location ref="H5:H6" firstHeaderRow="1" firstDataRow="1" firstDataCol="0"/>
  <pivotFields count="25">
    <pivotField numFmtId="14" showAll="0">
      <items count="388">
        <item x="114"/>
        <item x="41"/>
        <item x="275"/>
        <item x="197"/>
        <item x="273"/>
        <item x="274"/>
        <item x="316"/>
        <item x="13"/>
        <item x="168"/>
        <item x="74"/>
        <item x="23"/>
        <item x="260"/>
        <item x="77"/>
        <item x="25"/>
        <item x="291"/>
        <item x="73"/>
        <item x="374"/>
        <item x="93"/>
        <item x="322"/>
        <item x="306"/>
        <item x="164"/>
        <item x="162"/>
        <item x="146"/>
        <item x="154"/>
        <item x="253"/>
        <item x="153"/>
        <item x="86"/>
        <item x="254"/>
        <item x="240"/>
        <item x="64"/>
        <item x="182"/>
        <item x="1"/>
        <item x="83"/>
        <item x="228"/>
        <item x="139"/>
        <item x="186"/>
        <item x="326"/>
        <item x="36"/>
        <item x="155"/>
        <item x="277"/>
        <item x="354"/>
        <item x="270"/>
        <item x="157"/>
        <item x="9"/>
        <item x="263"/>
        <item x="293"/>
        <item x="142"/>
        <item x="131"/>
        <item x="201"/>
        <item x="127"/>
        <item x="265"/>
        <item x="358"/>
        <item x="372"/>
        <item x="185"/>
        <item x="173"/>
        <item x="106"/>
        <item x="216"/>
        <item x="81"/>
        <item x="26"/>
        <item x="130"/>
        <item x="63"/>
        <item x="286"/>
        <item x="180"/>
        <item x="299"/>
        <item x="355"/>
        <item x="30"/>
        <item x="380"/>
        <item x="334"/>
        <item x="159"/>
        <item x="264"/>
        <item x="59"/>
        <item x="278"/>
        <item x="241"/>
        <item x="134"/>
        <item x="367"/>
        <item x="8"/>
        <item x="317"/>
        <item x="170"/>
        <item x="312"/>
        <item x="215"/>
        <item x="101"/>
        <item x="171"/>
        <item x="370"/>
        <item x="341"/>
        <item x="123"/>
        <item x="266"/>
        <item x="48"/>
        <item x="42"/>
        <item x="190"/>
        <item x="5"/>
        <item x="346"/>
        <item x="51"/>
        <item x="84"/>
        <item x="3"/>
        <item x="375"/>
        <item x="29"/>
        <item x="115"/>
        <item x="276"/>
        <item x="381"/>
        <item x="359"/>
        <item x="233"/>
        <item x="368"/>
        <item x="152"/>
        <item x="19"/>
        <item x="221"/>
        <item x="11"/>
        <item x="244"/>
        <item x="248"/>
        <item x="160"/>
        <item x="352"/>
        <item x="303"/>
        <item x="149"/>
        <item x="308"/>
        <item x="12"/>
        <item x="132"/>
        <item x="116"/>
        <item x="45"/>
        <item x="295"/>
        <item x="163"/>
        <item x="258"/>
        <item x="95"/>
        <item x="231"/>
        <item x="338"/>
        <item x="196"/>
        <item x="46"/>
        <item x="298"/>
        <item x="92"/>
        <item x="57"/>
        <item x="369"/>
        <item x="385"/>
        <item x="285"/>
        <item x="373"/>
        <item x="102"/>
        <item x="165"/>
        <item x="379"/>
        <item x="60"/>
        <item x="138"/>
        <item x="22"/>
        <item x="219"/>
        <item x="166"/>
        <item x="282"/>
        <item x="148"/>
        <item x="43"/>
        <item x="44"/>
        <item x="337"/>
        <item x="90"/>
        <item x="96"/>
        <item x="309"/>
        <item x="357"/>
        <item x="250"/>
        <item x="141"/>
        <item x="35"/>
        <item x="302"/>
        <item x="110"/>
        <item x="111"/>
        <item x="100"/>
        <item x="128"/>
        <item x="366"/>
        <item x="342"/>
        <item x="177"/>
        <item x="204"/>
        <item x="17"/>
        <item x="174"/>
        <item x="289"/>
        <item x="364"/>
        <item x="328"/>
        <item x="89"/>
        <item x="24"/>
        <item x="126"/>
        <item x="239"/>
        <item x="287"/>
        <item x="181"/>
        <item x="194"/>
        <item x="191"/>
        <item x="31"/>
        <item x="66"/>
        <item x="348"/>
        <item x="211"/>
        <item x="118"/>
        <item x="54"/>
        <item x="97"/>
        <item x="267"/>
        <item x="320"/>
        <item x="304"/>
        <item x="224"/>
        <item x="198"/>
        <item x="39"/>
        <item x="58"/>
        <item x="356"/>
        <item x="68"/>
        <item x="61"/>
        <item x="305"/>
        <item x="257"/>
        <item x="386"/>
        <item x="234"/>
        <item x="137"/>
        <item x="71"/>
        <item x="212"/>
        <item x="255"/>
        <item x="313"/>
        <item x="200"/>
        <item x="292"/>
        <item x="76"/>
        <item x="246"/>
        <item x="53"/>
        <item x="98"/>
        <item x="333"/>
        <item x="10"/>
        <item x="230"/>
        <item x="335"/>
        <item x="133"/>
        <item x="336"/>
        <item x="145"/>
        <item x="319"/>
        <item x="330"/>
        <item x="47"/>
        <item x="327"/>
        <item x="113"/>
        <item x="214"/>
        <item x="140"/>
        <item x="72"/>
        <item x="206"/>
        <item x="184"/>
        <item x="119"/>
        <item x="78"/>
        <item x="365"/>
        <item x="262"/>
        <item x="314"/>
        <item x="279"/>
        <item x="232"/>
        <item x="382"/>
        <item x="37"/>
        <item x="384"/>
        <item x="40"/>
        <item x="225"/>
        <item x="117"/>
        <item x="79"/>
        <item x="175"/>
        <item x="21"/>
        <item x="99"/>
        <item x="189"/>
        <item x="331"/>
        <item x="129"/>
        <item x="156"/>
        <item x="217"/>
        <item x="362"/>
        <item x="4"/>
        <item x="378"/>
        <item x="147"/>
        <item x="195"/>
        <item x="318"/>
        <item x="256"/>
        <item x="94"/>
        <item x="251"/>
        <item x="105"/>
        <item x="325"/>
        <item x="38"/>
        <item x="339"/>
        <item x="124"/>
        <item x="207"/>
        <item x="294"/>
        <item x="125"/>
        <item x="329"/>
        <item x="247"/>
        <item x="82"/>
        <item x="323"/>
        <item x="179"/>
        <item x="65"/>
        <item x="321"/>
        <item x="332"/>
        <item x="296"/>
        <item x="345"/>
        <item x="360"/>
        <item x="56"/>
        <item x="343"/>
        <item x="80"/>
        <item x="50"/>
        <item x="213"/>
        <item x="235"/>
        <item x="272"/>
        <item x="121"/>
        <item x="178"/>
        <item x="209"/>
        <item x="49"/>
        <item x="169"/>
        <item x="158"/>
        <item x="0"/>
        <item x="340"/>
        <item x="16"/>
        <item x="208"/>
        <item x="27"/>
        <item x="14"/>
        <item x="172"/>
        <item x="109"/>
        <item x="220"/>
        <item x="363"/>
        <item x="192"/>
        <item x="301"/>
        <item x="237"/>
        <item x="55"/>
        <item x="297"/>
        <item x="280"/>
        <item x="188"/>
        <item x="300"/>
        <item x="227"/>
        <item x="7"/>
        <item x="307"/>
        <item x="75"/>
        <item x="120"/>
        <item x="281"/>
        <item x="261"/>
        <item x="202"/>
        <item x="350"/>
        <item x="271"/>
        <item x="245"/>
        <item x="103"/>
        <item x="32"/>
        <item x="91"/>
        <item x="236"/>
        <item x="20"/>
        <item x="144"/>
        <item x="284"/>
        <item x="150"/>
        <item x="229"/>
        <item x="151"/>
        <item x="371"/>
        <item x="203"/>
        <item x="383"/>
        <item x="15"/>
        <item x="18"/>
        <item x="136"/>
        <item x="135"/>
        <item x="283"/>
        <item x="67"/>
        <item x="161"/>
        <item x="344"/>
        <item x="6"/>
        <item x="288"/>
        <item x="290"/>
        <item x="377"/>
        <item x="143"/>
        <item x="210"/>
        <item x="33"/>
        <item x="249"/>
        <item x="108"/>
        <item x="347"/>
        <item x="85"/>
        <item x="62"/>
        <item x="259"/>
        <item x="2"/>
        <item x="238"/>
        <item x="353"/>
        <item x="88"/>
        <item x="104"/>
        <item x="268"/>
        <item x="34"/>
        <item x="122"/>
        <item x="52"/>
        <item x="311"/>
        <item x="176"/>
        <item x="70"/>
        <item x="187"/>
        <item x="205"/>
        <item x="242"/>
        <item x="361"/>
        <item x="183"/>
        <item x="222"/>
        <item x="167"/>
        <item x="269"/>
        <item x="193"/>
        <item x="199"/>
        <item x="324"/>
        <item x="243"/>
        <item x="107"/>
        <item x="218"/>
        <item x="252"/>
        <item x="315"/>
        <item x="310"/>
        <item x="69"/>
        <item x="351"/>
        <item x="226"/>
        <item x="349"/>
        <item x="87"/>
        <item x="28"/>
        <item x="223"/>
        <item x="112"/>
        <item x="376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9" showAll="0"/>
    <pivotField showAll="0">
      <items count="4">
        <item x="1"/>
        <item x="0"/>
        <item x="2"/>
        <item t="default"/>
      </items>
    </pivotField>
    <pivotField showAll="0">
      <items count="13">
        <item x="8"/>
        <item x="4"/>
        <item x="1"/>
        <item x="6"/>
        <item x="11"/>
        <item x="10"/>
        <item x="3"/>
        <item x="2"/>
        <item x="7"/>
        <item x="0"/>
        <item x="9"/>
        <item x="5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Náklady" fld="14" baseField="0" baseItem="0" numFmtId="164"/>
  </dataFields>
  <formats count="22">
    <format dxfId="371">
      <pivotArea type="all" dataOnly="0" outline="0" fieldPosition="0"/>
    </format>
    <format dxfId="370">
      <pivotArea outline="0" collapsedLevelsAreSubtotals="1" fieldPosition="0"/>
    </format>
    <format dxfId="369">
      <pivotArea field="19" type="button" dataOnly="0" labelOnly="1" outline="0"/>
    </format>
    <format dxfId="368">
      <pivotArea dataOnly="0" labelOnly="1" grandRow="1" outline="0" fieldPosition="0"/>
    </format>
    <format dxfId="367">
      <pivotArea dataOnly="0" labelOnly="1" outline="0" axis="axisValues" fieldPosition="0"/>
    </format>
    <format dxfId="366">
      <pivotArea type="all" dataOnly="0" outline="0" fieldPosition="0"/>
    </format>
    <format dxfId="365">
      <pivotArea outline="0" collapsedLevelsAreSubtotals="1" fieldPosition="0"/>
    </format>
    <format dxfId="364">
      <pivotArea dataOnly="0" labelOnly="1" outline="0" axis="axisValues" fieldPosition="0"/>
    </format>
    <format dxfId="363">
      <pivotArea type="all" dataOnly="0" outline="0" fieldPosition="0"/>
    </format>
    <format dxfId="362">
      <pivotArea dataOnly="0" labelOnly="1" outline="0" axis="axisValues" fieldPosition="0"/>
    </format>
    <format dxfId="361">
      <pivotArea dataOnly="0" labelOnly="1" outline="0" axis="axisValues" fieldPosition="0"/>
    </format>
    <format dxfId="360">
      <pivotArea outline="0" collapsedLevelsAreSubtotals="1" fieldPosition="0"/>
    </format>
    <format dxfId="359">
      <pivotArea outline="0" collapsedLevelsAreSubtotals="1" fieldPosition="0"/>
    </format>
    <format dxfId="358">
      <pivotArea type="all" dataOnly="0" outline="0" fieldPosition="0"/>
    </format>
    <format dxfId="357">
      <pivotArea outline="0" collapsedLevelsAreSubtotals="1" fieldPosition="0"/>
    </format>
    <format dxfId="356">
      <pivotArea dataOnly="0" labelOnly="1" outline="0" axis="axisValues" fieldPosition="0"/>
    </format>
    <format dxfId="355">
      <pivotArea type="all" dataOnly="0" outline="0" fieldPosition="0"/>
    </format>
    <format dxfId="354">
      <pivotArea outline="0" collapsedLevelsAreSubtotals="1" fieldPosition="0"/>
    </format>
    <format dxfId="353">
      <pivotArea dataOnly="0" labelOnly="1" outline="0" axis="axisValues" fieldPosition="0"/>
    </format>
    <format dxfId="352">
      <pivotArea outline="0" collapsedLevelsAreSubtotals="1" fieldPosition="0"/>
    </format>
    <format dxfId="351">
      <pivotArea outline="0" collapsedLevelsAreSubtotals="1" fieldPosition="0"/>
    </format>
    <format dxfId="350">
      <pivotArea outline="0" collapsedLevelsAreSubtotals="1" fieldPosition="0"/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1F663-739F-4122-B75F-A0C190C9D30A}" name="Kontingenčná tabuľka4" cacheId="0" applyNumberFormats="0" applyBorderFormats="0" applyFontFormats="0" applyPatternFormats="0" applyAlignmentFormats="0" applyWidthHeightFormats="1" dataCaption="Hodnoty" updatedVersion="8" minRefreshableVersion="3" itemPrintTitles="1" createdVersion="8" indent="0" outline="1" outlineData="1" multipleFieldFilters="0">
  <location ref="H5:H6" firstHeaderRow="1" firstDataRow="1" firstDataCol="0"/>
  <pivotFields count="25">
    <pivotField numFmtId="14" showAll="0">
      <items count="388">
        <item x="114"/>
        <item x="41"/>
        <item x="275"/>
        <item x="197"/>
        <item x="273"/>
        <item x="274"/>
        <item x="316"/>
        <item x="13"/>
        <item x="168"/>
        <item x="74"/>
        <item x="23"/>
        <item x="260"/>
        <item x="77"/>
        <item x="25"/>
        <item x="291"/>
        <item x="73"/>
        <item x="374"/>
        <item x="93"/>
        <item x="322"/>
        <item x="306"/>
        <item x="164"/>
        <item x="162"/>
        <item x="146"/>
        <item x="154"/>
        <item x="253"/>
        <item x="153"/>
        <item x="86"/>
        <item x="254"/>
        <item x="240"/>
        <item x="64"/>
        <item x="182"/>
        <item x="1"/>
        <item x="83"/>
        <item x="228"/>
        <item x="139"/>
        <item x="186"/>
        <item x="326"/>
        <item x="36"/>
        <item x="155"/>
        <item x="277"/>
        <item x="354"/>
        <item x="270"/>
        <item x="157"/>
        <item x="9"/>
        <item x="263"/>
        <item x="293"/>
        <item x="142"/>
        <item x="131"/>
        <item x="201"/>
        <item x="127"/>
        <item x="265"/>
        <item x="358"/>
        <item x="372"/>
        <item x="185"/>
        <item x="173"/>
        <item x="106"/>
        <item x="216"/>
        <item x="81"/>
        <item x="26"/>
        <item x="130"/>
        <item x="63"/>
        <item x="286"/>
        <item x="180"/>
        <item x="299"/>
        <item x="355"/>
        <item x="30"/>
        <item x="380"/>
        <item x="334"/>
        <item x="159"/>
        <item x="264"/>
        <item x="59"/>
        <item x="278"/>
        <item x="241"/>
        <item x="134"/>
        <item x="367"/>
        <item x="8"/>
        <item x="317"/>
        <item x="170"/>
        <item x="312"/>
        <item x="215"/>
        <item x="101"/>
        <item x="171"/>
        <item x="370"/>
        <item x="341"/>
        <item x="123"/>
        <item x="266"/>
        <item x="48"/>
        <item x="42"/>
        <item x="190"/>
        <item x="5"/>
        <item x="346"/>
        <item x="51"/>
        <item x="84"/>
        <item x="3"/>
        <item x="375"/>
        <item x="29"/>
        <item x="115"/>
        <item x="276"/>
        <item x="381"/>
        <item x="359"/>
        <item x="233"/>
        <item x="368"/>
        <item x="152"/>
        <item x="19"/>
        <item x="221"/>
        <item x="11"/>
        <item x="244"/>
        <item x="248"/>
        <item x="160"/>
        <item x="352"/>
        <item x="303"/>
        <item x="149"/>
        <item x="308"/>
        <item x="12"/>
        <item x="132"/>
        <item x="116"/>
        <item x="45"/>
        <item x="295"/>
        <item x="163"/>
        <item x="258"/>
        <item x="95"/>
        <item x="231"/>
        <item x="338"/>
        <item x="196"/>
        <item x="46"/>
        <item x="298"/>
        <item x="92"/>
        <item x="57"/>
        <item x="369"/>
        <item x="385"/>
        <item x="285"/>
        <item x="373"/>
        <item x="102"/>
        <item x="165"/>
        <item x="379"/>
        <item x="60"/>
        <item x="138"/>
        <item x="22"/>
        <item x="219"/>
        <item x="166"/>
        <item x="282"/>
        <item x="148"/>
        <item x="43"/>
        <item x="44"/>
        <item x="337"/>
        <item x="90"/>
        <item x="96"/>
        <item x="309"/>
        <item x="357"/>
        <item x="250"/>
        <item x="141"/>
        <item x="35"/>
        <item x="302"/>
        <item x="110"/>
        <item x="111"/>
        <item x="100"/>
        <item x="128"/>
        <item x="366"/>
        <item x="342"/>
        <item x="177"/>
        <item x="204"/>
        <item x="17"/>
        <item x="174"/>
        <item x="289"/>
        <item x="364"/>
        <item x="328"/>
        <item x="89"/>
        <item x="24"/>
        <item x="126"/>
        <item x="239"/>
        <item x="287"/>
        <item x="181"/>
        <item x="194"/>
        <item x="191"/>
        <item x="31"/>
        <item x="66"/>
        <item x="348"/>
        <item x="211"/>
        <item x="118"/>
        <item x="54"/>
        <item x="97"/>
        <item x="267"/>
        <item x="320"/>
        <item x="304"/>
        <item x="224"/>
        <item x="198"/>
        <item x="39"/>
        <item x="58"/>
        <item x="356"/>
        <item x="68"/>
        <item x="61"/>
        <item x="305"/>
        <item x="257"/>
        <item x="386"/>
        <item x="234"/>
        <item x="137"/>
        <item x="71"/>
        <item x="212"/>
        <item x="255"/>
        <item x="313"/>
        <item x="200"/>
        <item x="292"/>
        <item x="76"/>
        <item x="246"/>
        <item x="53"/>
        <item x="98"/>
        <item x="333"/>
        <item x="10"/>
        <item x="230"/>
        <item x="335"/>
        <item x="133"/>
        <item x="336"/>
        <item x="145"/>
        <item x="319"/>
        <item x="330"/>
        <item x="47"/>
        <item x="327"/>
        <item x="113"/>
        <item x="214"/>
        <item x="140"/>
        <item x="72"/>
        <item x="206"/>
        <item x="184"/>
        <item x="119"/>
        <item x="78"/>
        <item x="365"/>
        <item x="262"/>
        <item x="314"/>
        <item x="279"/>
        <item x="232"/>
        <item x="382"/>
        <item x="37"/>
        <item x="384"/>
        <item x="40"/>
        <item x="225"/>
        <item x="117"/>
        <item x="79"/>
        <item x="175"/>
        <item x="21"/>
        <item x="99"/>
        <item x="189"/>
        <item x="331"/>
        <item x="129"/>
        <item x="156"/>
        <item x="217"/>
        <item x="362"/>
        <item x="4"/>
        <item x="378"/>
        <item x="147"/>
        <item x="195"/>
        <item x="318"/>
        <item x="256"/>
        <item x="94"/>
        <item x="251"/>
        <item x="105"/>
        <item x="325"/>
        <item x="38"/>
        <item x="339"/>
        <item x="124"/>
        <item x="207"/>
        <item x="294"/>
        <item x="125"/>
        <item x="329"/>
        <item x="247"/>
        <item x="82"/>
        <item x="323"/>
        <item x="179"/>
        <item x="65"/>
        <item x="321"/>
        <item x="332"/>
        <item x="296"/>
        <item x="345"/>
        <item x="360"/>
        <item x="56"/>
        <item x="343"/>
        <item x="80"/>
        <item x="50"/>
        <item x="213"/>
        <item x="235"/>
        <item x="272"/>
        <item x="121"/>
        <item x="178"/>
        <item x="209"/>
        <item x="49"/>
        <item x="169"/>
        <item x="158"/>
        <item x="0"/>
        <item x="340"/>
        <item x="16"/>
        <item x="208"/>
        <item x="27"/>
        <item x="14"/>
        <item x="172"/>
        <item x="109"/>
        <item x="220"/>
        <item x="363"/>
        <item x="192"/>
        <item x="301"/>
        <item x="237"/>
        <item x="55"/>
        <item x="297"/>
        <item x="280"/>
        <item x="188"/>
        <item x="300"/>
        <item x="227"/>
        <item x="7"/>
        <item x="307"/>
        <item x="75"/>
        <item x="120"/>
        <item x="281"/>
        <item x="261"/>
        <item x="202"/>
        <item x="350"/>
        <item x="271"/>
        <item x="245"/>
        <item x="103"/>
        <item x="32"/>
        <item x="91"/>
        <item x="236"/>
        <item x="20"/>
        <item x="144"/>
        <item x="284"/>
        <item x="150"/>
        <item x="229"/>
        <item x="151"/>
        <item x="371"/>
        <item x="203"/>
        <item x="383"/>
        <item x="15"/>
        <item x="18"/>
        <item x="136"/>
        <item x="135"/>
        <item x="283"/>
        <item x="67"/>
        <item x="161"/>
        <item x="344"/>
        <item x="6"/>
        <item x="288"/>
        <item x="290"/>
        <item x="377"/>
        <item x="143"/>
        <item x="210"/>
        <item x="33"/>
        <item x="249"/>
        <item x="108"/>
        <item x="347"/>
        <item x="85"/>
        <item x="62"/>
        <item x="259"/>
        <item x="2"/>
        <item x="238"/>
        <item x="353"/>
        <item x="88"/>
        <item x="104"/>
        <item x="268"/>
        <item x="34"/>
        <item x="122"/>
        <item x="52"/>
        <item x="311"/>
        <item x="176"/>
        <item x="70"/>
        <item x="187"/>
        <item x="205"/>
        <item x="242"/>
        <item x="361"/>
        <item x="183"/>
        <item x="222"/>
        <item x="167"/>
        <item x="269"/>
        <item x="193"/>
        <item x="199"/>
        <item x="324"/>
        <item x="243"/>
        <item x="107"/>
        <item x="218"/>
        <item x="252"/>
        <item x="315"/>
        <item x="310"/>
        <item x="69"/>
        <item x="351"/>
        <item x="226"/>
        <item x="349"/>
        <item x="87"/>
        <item x="28"/>
        <item x="223"/>
        <item x="112"/>
        <item x="376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9" showAll="0"/>
    <pivotField showAll="0">
      <items count="4">
        <item x="1"/>
        <item x="0"/>
        <item x="2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Náklady" fld="14" baseField="0" baseItem="0" numFmtId="164"/>
  </dataFields>
  <formats count="22">
    <format dxfId="225">
      <pivotArea type="all" dataOnly="0" outline="0" fieldPosition="0"/>
    </format>
    <format dxfId="224">
      <pivotArea outline="0" collapsedLevelsAreSubtotals="1" fieldPosition="0"/>
    </format>
    <format dxfId="223">
      <pivotArea field="19" type="button" dataOnly="0" labelOnly="1" outline="0"/>
    </format>
    <format dxfId="222">
      <pivotArea dataOnly="0" labelOnly="1" grandRow="1" outline="0" fieldPosition="0"/>
    </format>
    <format dxfId="221">
      <pivotArea dataOnly="0" labelOnly="1" outline="0" axis="axisValues" fieldPosition="0"/>
    </format>
    <format dxfId="220">
      <pivotArea type="all" dataOnly="0" outline="0" fieldPosition="0"/>
    </format>
    <format dxfId="219">
      <pivotArea outline="0" collapsedLevelsAreSubtotals="1" fieldPosition="0"/>
    </format>
    <format dxfId="218">
      <pivotArea dataOnly="0" labelOnly="1" outline="0" axis="axisValues" fieldPosition="0"/>
    </format>
    <format dxfId="217">
      <pivotArea type="all" dataOnly="0" outline="0" fieldPosition="0"/>
    </format>
    <format dxfId="216">
      <pivotArea dataOnly="0" labelOnly="1" outline="0" axis="axisValues" fieldPosition="0"/>
    </format>
    <format dxfId="215">
      <pivotArea dataOnly="0" labelOnly="1" outline="0" axis="axisValues" fieldPosition="0"/>
    </format>
    <format dxfId="214">
      <pivotArea outline="0" collapsedLevelsAreSubtotals="1" fieldPosition="0"/>
    </format>
    <format dxfId="213">
      <pivotArea outline="0" collapsedLevelsAreSubtotals="1" fieldPosition="0"/>
    </format>
    <format dxfId="212">
      <pivotArea type="all" dataOnly="0" outline="0" fieldPosition="0"/>
    </format>
    <format dxfId="211">
      <pivotArea outline="0" collapsedLevelsAreSubtotals="1" fieldPosition="0"/>
    </format>
    <format dxfId="210">
      <pivotArea dataOnly="0" labelOnly="1" outline="0" axis="axisValues" fieldPosition="0"/>
    </format>
    <format dxfId="209">
      <pivotArea type="all" dataOnly="0" outline="0" fieldPosition="0"/>
    </format>
    <format dxfId="208">
      <pivotArea outline="0" collapsedLevelsAreSubtotals="1" fieldPosition="0"/>
    </format>
    <format dxfId="207">
      <pivotArea dataOnly="0" labelOnly="1" outline="0" axis="axisValues" fieldPosition="0"/>
    </format>
    <format dxfId="206">
      <pivotArea outline="0" collapsedLevelsAreSubtotals="1" fieldPosition="0"/>
    </format>
    <format dxfId="205">
      <pivotArea outline="0" collapsedLevelsAreSubtotals="1" fieldPosition="0"/>
    </format>
    <format dxfId="204">
      <pivotArea outline="0" collapsedLevelsAreSubtotals="1" fieldPosition="0"/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1EF9E6-C1D5-470F-8865-FCE83E9F1406}" name="Trzba" cacheId="0" applyNumberFormats="0" applyBorderFormats="0" applyFontFormats="0" applyPatternFormats="0" applyAlignmentFormats="0" applyWidthHeightFormats="1" dataCaption="Hodnoty" updatedVersion="8" minRefreshableVersion="3" itemPrintTitles="1" createdVersion="8" indent="0" showHeaders="0" outline="1" outlineData="1" multipleFieldFilters="0">
  <location ref="D5:D6" firstHeaderRow="1" firstDataRow="1" firstDataCol="0"/>
  <pivotFields count="25">
    <pivotField numFmtId="14" showAll="0">
      <items count="388">
        <item x="114"/>
        <item x="41"/>
        <item x="275"/>
        <item x="197"/>
        <item x="273"/>
        <item x="274"/>
        <item x="316"/>
        <item x="13"/>
        <item x="168"/>
        <item x="74"/>
        <item x="23"/>
        <item x="260"/>
        <item x="77"/>
        <item x="25"/>
        <item x="291"/>
        <item x="73"/>
        <item x="374"/>
        <item x="93"/>
        <item x="322"/>
        <item x="306"/>
        <item x="164"/>
        <item x="162"/>
        <item x="146"/>
        <item x="154"/>
        <item x="253"/>
        <item x="153"/>
        <item x="86"/>
        <item x="254"/>
        <item x="240"/>
        <item x="64"/>
        <item x="182"/>
        <item x="1"/>
        <item x="83"/>
        <item x="228"/>
        <item x="139"/>
        <item x="186"/>
        <item x="326"/>
        <item x="36"/>
        <item x="155"/>
        <item x="277"/>
        <item x="354"/>
        <item x="270"/>
        <item x="157"/>
        <item x="9"/>
        <item x="263"/>
        <item x="293"/>
        <item x="142"/>
        <item x="131"/>
        <item x="201"/>
        <item x="127"/>
        <item x="265"/>
        <item x="358"/>
        <item x="372"/>
        <item x="185"/>
        <item x="173"/>
        <item x="106"/>
        <item x="216"/>
        <item x="81"/>
        <item x="26"/>
        <item x="130"/>
        <item x="63"/>
        <item x="286"/>
        <item x="180"/>
        <item x="299"/>
        <item x="355"/>
        <item x="30"/>
        <item x="380"/>
        <item x="334"/>
        <item x="159"/>
        <item x="264"/>
        <item x="59"/>
        <item x="278"/>
        <item x="241"/>
        <item x="134"/>
        <item x="367"/>
        <item x="8"/>
        <item x="317"/>
        <item x="170"/>
        <item x="312"/>
        <item x="215"/>
        <item x="101"/>
        <item x="171"/>
        <item x="370"/>
        <item x="341"/>
        <item x="123"/>
        <item x="266"/>
        <item x="48"/>
        <item x="42"/>
        <item x="190"/>
        <item x="5"/>
        <item x="346"/>
        <item x="51"/>
        <item x="84"/>
        <item x="3"/>
        <item x="375"/>
        <item x="29"/>
        <item x="115"/>
        <item x="276"/>
        <item x="381"/>
        <item x="359"/>
        <item x="233"/>
        <item x="368"/>
        <item x="152"/>
        <item x="19"/>
        <item x="221"/>
        <item x="11"/>
        <item x="244"/>
        <item x="248"/>
        <item x="160"/>
        <item x="352"/>
        <item x="303"/>
        <item x="149"/>
        <item x="308"/>
        <item x="12"/>
        <item x="132"/>
        <item x="116"/>
        <item x="45"/>
        <item x="295"/>
        <item x="163"/>
        <item x="258"/>
        <item x="95"/>
        <item x="231"/>
        <item x="338"/>
        <item x="196"/>
        <item x="46"/>
        <item x="298"/>
        <item x="92"/>
        <item x="57"/>
        <item x="369"/>
        <item x="385"/>
        <item x="285"/>
        <item x="373"/>
        <item x="102"/>
        <item x="165"/>
        <item x="379"/>
        <item x="60"/>
        <item x="138"/>
        <item x="22"/>
        <item x="219"/>
        <item x="166"/>
        <item x="282"/>
        <item x="148"/>
        <item x="43"/>
        <item x="44"/>
        <item x="337"/>
        <item x="90"/>
        <item x="96"/>
        <item x="309"/>
        <item x="357"/>
        <item x="250"/>
        <item x="141"/>
        <item x="35"/>
        <item x="302"/>
        <item x="110"/>
        <item x="111"/>
        <item x="100"/>
        <item x="128"/>
        <item x="366"/>
        <item x="342"/>
        <item x="177"/>
        <item x="204"/>
        <item x="17"/>
        <item x="174"/>
        <item x="289"/>
        <item x="364"/>
        <item x="328"/>
        <item x="89"/>
        <item x="24"/>
        <item x="126"/>
        <item x="239"/>
        <item x="287"/>
        <item x="181"/>
        <item x="194"/>
        <item x="191"/>
        <item x="31"/>
        <item x="66"/>
        <item x="348"/>
        <item x="211"/>
        <item x="118"/>
        <item x="54"/>
        <item x="97"/>
        <item x="267"/>
        <item x="320"/>
        <item x="304"/>
        <item x="224"/>
        <item x="198"/>
        <item x="39"/>
        <item x="58"/>
        <item x="356"/>
        <item x="68"/>
        <item x="61"/>
        <item x="305"/>
        <item x="257"/>
        <item x="386"/>
        <item x="234"/>
        <item x="137"/>
        <item x="71"/>
        <item x="212"/>
        <item x="255"/>
        <item x="313"/>
        <item x="200"/>
        <item x="292"/>
        <item x="76"/>
        <item x="246"/>
        <item x="53"/>
        <item x="98"/>
        <item x="333"/>
        <item x="10"/>
        <item x="230"/>
        <item x="335"/>
        <item x="133"/>
        <item x="336"/>
        <item x="145"/>
        <item x="319"/>
        <item x="330"/>
        <item x="47"/>
        <item x="327"/>
        <item x="113"/>
        <item x="214"/>
        <item x="140"/>
        <item x="72"/>
        <item x="206"/>
        <item x="184"/>
        <item x="119"/>
        <item x="78"/>
        <item x="365"/>
        <item x="262"/>
        <item x="314"/>
        <item x="279"/>
        <item x="232"/>
        <item x="382"/>
        <item x="37"/>
        <item x="384"/>
        <item x="40"/>
        <item x="225"/>
        <item x="117"/>
        <item x="79"/>
        <item x="175"/>
        <item x="21"/>
        <item x="99"/>
        <item x="189"/>
        <item x="331"/>
        <item x="129"/>
        <item x="156"/>
        <item x="217"/>
        <item x="362"/>
        <item x="4"/>
        <item x="378"/>
        <item x="147"/>
        <item x="195"/>
        <item x="318"/>
        <item x="256"/>
        <item x="94"/>
        <item x="251"/>
        <item x="105"/>
        <item x="325"/>
        <item x="38"/>
        <item x="339"/>
        <item x="124"/>
        <item x="207"/>
        <item x="294"/>
        <item x="125"/>
        <item x="329"/>
        <item x="247"/>
        <item x="82"/>
        <item x="323"/>
        <item x="179"/>
        <item x="65"/>
        <item x="321"/>
        <item x="332"/>
        <item x="296"/>
        <item x="345"/>
        <item x="360"/>
        <item x="56"/>
        <item x="343"/>
        <item x="80"/>
        <item x="50"/>
        <item x="213"/>
        <item x="235"/>
        <item x="272"/>
        <item x="121"/>
        <item x="178"/>
        <item x="209"/>
        <item x="49"/>
        <item x="169"/>
        <item x="158"/>
        <item x="0"/>
        <item x="340"/>
        <item x="16"/>
        <item x="208"/>
        <item x="27"/>
        <item x="14"/>
        <item x="172"/>
        <item x="109"/>
        <item x="220"/>
        <item x="363"/>
        <item x="192"/>
        <item x="301"/>
        <item x="237"/>
        <item x="55"/>
        <item x="297"/>
        <item x="280"/>
        <item x="188"/>
        <item x="300"/>
        <item x="227"/>
        <item x="7"/>
        <item x="307"/>
        <item x="75"/>
        <item x="120"/>
        <item x="281"/>
        <item x="261"/>
        <item x="202"/>
        <item x="350"/>
        <item x="271"/>
        <item x="245"/>
        <item x="103"/>
        <item x="32"/>
        <item x="91"/>
        <item x="236"/>
        <item x="20"/>
        <item x="144"/>
        <item x="284"/>
        <item x="150"/>
        <item x="229"/>
        <item x="151"/>
        <item x="371"/>
        <item x="203"/>
        <item x="383"/>
        <item x="15"/>
        <item x="18"/>
        <item x="136"/>
        <item x="135"/>
        <item x="283"/>
        <item x="67"/>
        <item x="161"/>
        <item x="344"/>
        <item x="6"/>
        <item x="288"/>
        <item x="290"/>
        <item x="377"/>
        <item x="143"/>
        <item x="210"/>
        <item x="33"/>
        <item x="249"/>
        <item x="108"/>
        <item x="347"/>
        <item x="85"/>
        <item x="62"/>
        <item x="259"/>
        <item x="2"/>
        <item x="238"/>
        <item x="353"/>
        <item x="88"/>
        <item x="104"/>
        <item x="268"/>
        <item x="34"/>
        <item x="122"/>
        <item x="52"/>
        <item x="311"/>
        <item x="176"/>
        <item x="70"/>
        <item x="187"/>
        <item x="205"/>
        <item x="242"/>
        <item x="361"/>
        <item x="183"/>
        <item x="222"/>
        <item x="167"/>
        <item x="269"/>
        <item x="193"/>
        <item x="199"/>
        <item x="324"/>
        <item x="243"/>
        <item x="107"/>
        <item x="218"/>
        <item x="252"/>
        <item x="315"/>
        <item x="310"/>
        <item x="69"/>
        <item x="351"/>
        <item x="226"/>
        <item x="349"/>
        <item x="87"/>
        <item x="28"/>
        <item x="223"/>
        <item x="112"/>
        <item x="376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9" showAll="0"/>
    <pivotField showAll="0">
      <items count="4">
        <item x="1"/>
        <item x="0"/>
        <item x="2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Tržba" fld="13" baseField="0" baseItem="0" numFmtId="164"/>
  </dataFields>
  <formats count="22">
    <format dxfId="247">
      <pivotArea type="all" dataOnly="0" outline="0" fieldPosition="0"/>
    </format>
    <format dxfId="246">
      <pivotArea outline="0" collapsedLevelsAreSubtotals="1" fieldPosition="0"/>
    </format>
    <format dxfId="245">
      <pivotArea field="19" type="button" dataOnly="0" labelOnly="1" outline="0"/>
    </format>
    <format dxfId="244">
      <pivotArea dataOnly="0" labelOnly="1" grandRow="1" outline="0" fieldPosition="0"/>
    </format>
    <format dxfId="243">
      <pivotArea dataOnly="0" labelOnly="1" outline="0" axis="axisValues" fieldPosition="0"/>
    </format>
    <format dxfId="242">
      <pivotArea type="all" dataOnly="0" outline="0" fieldPosition="0"/>
    </format>
    <format dxfId="241">
      <pivotArea outline="0" collapsedLevelsAreSubtotals="1" fieldPosition="0"/>
    </format>
    <format dxfId="240">
      <pivotArea dataOnly="0" labelOnly="1" outline="0" axis="axisValues" fieldPosition="0"/>
    </format>
    <format dxfId="239">
      <pivotArea type="all" dataOnly="0" outline="0" fieldPosition="0"/>
    </format>
    <format dxfId="238">
      <pivotArea dataOnly="0" labelOnly="1" outline="0" axis="axisValues" fieldPosition="0"/>
    </format>
    <format dxfId="237">
      <pivotArea dataOnly="0" labelOnly="1" outline="0" axis="axisValues" fieldPosition="0"/>
    </format>
    <format dxfId="236">
      <pivotArea outline="0" collapsedLevelsAreSubtotals="1" fieldPosition="0"/>
    </format>
    <format dxfId="235">
      <pivotArea outline="0" collapsedLevelsAreSubtotals="1" fieldPosition="0"/>
    </format>
    <format dxfId="234">
      <pivotArea type="all" dataOnly="0" outline="0" fieldPosition="0"/>
    </format>
    <format dxfId="233">
      <pivotArea outline="0" collapsedLevelsAreSubtotals="1" fieldPosition="0"/>
    </format>
    <format dxfId="232">
      <pivotArea dataOnly="0" labelOnly="1" outline="0" axis="axisValues" fieldPosition="0"/>
    </format>
    <format dxfId="231">
      <pivotArea type="all" dataOnly="0" outline="0" fieldPosition="0"/>
    </format>
    <format dxfId="230">
      <pivotArea outline="0" collapsedLevelsAreSubtotals="1" fieldPosition="0"/>
    </format>
    <format dxfId="229">
      <pivotArea dataOnly="0" labelOnly="1" outline="0" axis="axisValues" fieldPosition="0"/>
    </format>
    <format dxfId="228">
      <pivotArea outline="0" collapsedLevelsAreSubtotals="1" fieldPosition="0"/>
    </format>
    <format dxfId="227">
      <pivotArea outline="0" collapsedLevelsAreSubtotals="1" fieldPosition="0"/>
    </format>
    <format dxfId="226">
      <pivotArea outline="0" collapsedLevelsAreSubtotals="1" fieldPosition="0"/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AF18F5-0B01-4DD0-A3A2-1F39D35AD837}" name="Marza%" cacheId="0" applyNumberFormats="0" applyBorderFormats="0" applyFontFormats="0" applyPatternFormats="0" applyAlignmentFormats="0" applyWidthHeightFormats="1" dataCaption="Hodnoty" updatedVersion="8" minRefreshableVersion="3" itemPrintTitles="1" createdVersion="8" indent="0" compact="0" compactData="0" multipleFieldFilters="0" chartFormat="32">
  <location ref="J5:J6" firstHeaderRow="1" firstDataRow="1" firstDataCol="0"/>
  <pivotFields count="25">
    <pivotField compact="0" numFmtId="14" outline="0" showAll="0">
      <items count="388">
        <item x="114"/>
        <item x="41"/>
        <item x="275"/>
        <item x="197"/>
        <item x="273"/>
        <item x="274"/>
        <item x="316"/>
        <item x="13"/>
        <item x="168"/>
        <item x="74"/>
        <item x="23"/>
        <item x="260"/>
        <item x="77"/>
        <item x="25"/>
        <item x="291"/>
        <item x="73"/>
        <item x="374"/>
        <item x="93"/>
        <item x="322"/>
        <item x="306"/>
        <item x="164"/>
        <item x="162"/>
        <item x="146"/>
        <item x="154"/>
        <item x="253"/>
        <item x="153"/>
        <item x="86"/>
        <item x="254"/>
        <item x="240"/>
        <item x="64"/>
        <item x="182"/>
        <item x="1"/>
        <item x="83"/>
        <item x="228"/>
        <item x="139"/>
        <item x="186"/>
        <item x="326"/>
        <item x="36"/>
        <item x="155"/>
        <item x="277"/>
        <item x="354"/>
        <item x="270"/>
        <item x="157"/>
        <item x="9"/>
        <item x="263"/>
        <item x="293"/>
        <item x="142"/>
        <item x="131"/>
        <item x="201"/>
        <item x="127"/>
        <item x="265"/>
        <item x="358"/>
        <item x="372"/>
        <item x="185"/>
        <item x="173"/>
        <item x="106"/>
        <item x="216"/>
        <item x="81"/>
        <item x="26"/>
        <item x="130"/>
        <item x="63"/>
        <item x="286"/>
        <item x="180"/>
        <item x="299"/>
        <item x="355"/>
        <item x="30"/>
        <item x="380"/>
        <item x="334"/>
        <item x="159"/>
        <item x="264"/>
        <item x="59"/>
        <item x="278"/>
        <item x="241"/>
        <item x="134"/>
        <item x="367"/>
        <item x="8"/>
        <item x="317"/>
        <item x="170"/>
        <item x="312"/>
        <item x="215"/>
        <item x="101"/>
        <item x="171"/>
        <item x="370"/>
        <item x="341"/>
        <item x="123"/>
        <item x="266"/>
        <item x="48"/>
        <item x="42"/>
        <item x="190"/>
        <item x="5"/>
        <item x="346"/>
        <item x="51"/>
        <item x="84"/>
        <item x="3"/>
        <item x="375"/>
        <item x="29"/>
        <item x="115"/>
        <item x="276"/>
        <item x="381"/>
        <item x="359"/>
        <item x="233"/>
        <item x="368"/>
        <item x="152"/>
        <item x="19"/>
        <item x="221"/>
        <item x="11"/>
        <item x="244"/>
        <item x="248"/>
        <item x="160"/>
        <item x="352"/>
        <item x="303"/>
        <item x="149"/>
        <item x="308"/>
        <item x="12"/>
        <item x="132"/>
        <item x="116"/>
        <item x="45"/>
        <item x="295"/>
        <item x="163"/>
        <item x="258"/>
        <item x="95"/>
        <item x="231"/>
        <item x="338"/>
        <item x="196"/>
        <item x="46"/>
        <item x="298"/>
        <item x="92"/>
        <item x="57"/>
        <item x="369"/>
        <item x="385"/>
        <item x="285"/>
        <item x="373"/>
        <item x="102"/>
        <item x="165"/>
        <item x="379"/>
        <item x="60"/>
        <item x="138"/>
        <item x="22"/>
        <item x="219"/>
        <item x="166"/>
        <item x="282"/>
        <item x="148"/>
        <item x="43"/>
        <item x="44"/>
        <item x="337"/>
        <item x="90"/>
        <item x="96"/>
        <item x="309"/>
        <item x="357"/>
        <item x="250"/>
        <item x="141"/>
        <item x="35"/>
        <item x="302"/>
        <item x="110"/>
        <item x="111"/>
        <item x="100"/>
        <item x="128"/>
        <item x="366"/>
        <item x="342"/>
        <item x="177"/>
        <item x="204"/>
        <item x="17"/>
        <item x="174"/>
        <item x="289"/>
        <item x="364"/>
        <item x="328"/>
        <item x="89"/>
        <item x="24"/>
        <item x="126"/>
        <item x="239"/>
        <item x="287"/>
        <item x="181"/>
        <item x="194"/>
        <item x="191"/>
        <item x="31"/>
        <item x="66"/>
        <item x="348"/>
        <item x="211"/>
        <item x="118"/>
        <item x="54"/>
        <item x="97"/>
        <item x="267"/>
        <item x="320"/>
        <item x="304"/>
        <item x="224"/>
        <item x="198"/>
        <item x="39"/>
        <item x="58"/>
        <item x="356"/>
        <item x="68"/>
        <item x="61"/>
        <item x="305"/>
        <item x="257"/>
        <item x="386"/>
        <item x="234"/>
        <item x="137"/>
        <item x="71"/>
        <item x="212"/>
        <item x="255"/>
        <item x="313"/>
        <item x="200"/>
        <item x="292"/>
        <item x="76"/>
        <item x="246"/>
        <item x="53"/>
        <item x="98"/>
        <item x="333"/>
        <item x="10"/>
        <item x="230"/>
        <item x="335"/>
        <item x="133"/>
        <item x="336"/>
        <item x="145"/>
        <item x="319"/>
        <item x="330"/>
        <item x="47"/>
        <item x="327"/>
        <item x="113"/>
        <item x="214"/>
        <item x="140"/>
        <item x="72"/>
        <item x="206"/>
        <item x="184"/>
        <item x="119"/>
        <item x="78"/>
        <item x="365"/>
        <item x="262"/>
        <item x="314"/>
        <item x="279"/>
        <item x="232"/>
        <item x="382"/>
        <item x="37"/>
        <item x="384"/>
        <item x="40"/>
        <item x="225"/>
        <item x="117"/>
        <item x="79"/>
        <item x="175"/>
        <item x="21"/>
        <item x="99"/>
        <item x="189"/>
        <item x="331"/>
        <item x="129"/>
        <item x="156"/>
        <item x="217"/>
        <item x="362"/>
        <item x="4"/>
        <item x="378"/>
        <item x="147"/>
        <item x="195"/>
        <item x="318"/>
        <item x="256"/>
        <item x="94"/>
        <item x="251"/>
        <item x="105"/>
        <item x="325"/>
        <item x="38"/>
        <item x="339"/>
        <item x="124"/>
        <item x="207"/>
        <item x="294"/>
        <item x="125"/>
        <item x="329"/>
        <item x="247"/>
        <item x="82"/>
        <item x="323"/>
        <item x="179"/>
        <item x="65"/>
        <item x="321"/>
        <item x="332"/>
        <item x="296"/>
        <item x="345"/>
        <item x="360"/>
        <item x="56"/>
        <item x="343"/>
        <item x="80"/>
        <item x="50"/>
        <item x="213"/>
        <item x="235"/>
        <item x="272"/>
        <item x="121"/>
        <item x="178"/>
        <item x="209"/>
        <item x="49"/>
        <item x="169"/>
        <item x="158"/>
        <item x="0"/>
        <item x="340"/>
        <item x="16"/>
        <item x="208"/>
        <item x="27"/>
        <item x="14"/>
        <item x="172"/>
        <item x="109"/>
        <item x="220"/>
        <item x="363"/>
        <item x="192"/>
        <item x="301"/>
        <item x="237"/>
        <item x="55"/>
        <item x="297"/>
        <item x="280"/>
        <item x="188"/>
        <item x="300"/>
        <item x="227"/>
        <item x="7"/>
        <item x="307"/>
        <item x="75"/>
        <item x="120"/>
        <item x="281"/>
        <item x="261"/>
        <item x="202"/>
        <item x="350"/>
        <item x="271"/>
        <item x="245"/>
        <item x="103"/>
        <item x="32"/>
        <item x="91"/>
        <item x="236"/>
        <item x="20"/>
        <item x="144"/>
        <item x="284"/>
        <item x="150"/>
        <item x="229"/>
        <item x="151"/>
        <item x="371"/>
        <item x="203"/>
        <item x="383"/>
        <item x="15"/>
        <item x="18"/>
        <item x="136"/>
        <item x="135"/>
        <item x="283"/>
        <item x="67"/>
        <item x="161"/>
        <item x="344"/>
        <item x="6"/>
        <item x="288"/>
        <item x="290"/>
        <item x="377"/>
        <item x="143"/>
        <item x="210"/>
        <item x="33"/>
        <item x="249"/>
        <item x="108"/>
        <item x="347"/>
        <item x="85"/>
        <item x="62"/>
        <item x="259"/>
        <item x="2"/>
        <item x="238"/>
        <item x="353"/>
        <item x="88"/>
        <item x="104"/>
        <item x="268"/>
        <item x="34"/>
        <item x="122"/>
        <item x="52"/>
        <item x="311"/>
        <item x="176"/>
        <item x="70"/>
        <item x="187"/>
        <item x="205"/>
        <item x="242"/>
        <item x="361"/>
        <item x="183"/>
        <item x="222"/>
        <item x="167"/>
        <item x="269"/>
        <item x="193"/>
        <item x="199"/>
        <item x="324"/>
        <item x="243"/>
        <item x="107"/>
        <item x="218"/>
        <item x="252"/>
        <item x="315"/>
        <item x="310"/>
        <item x="69"/>
        <item x="351"/>
        <item x="226"/>
        <item x="349"/>
        <item x="87"/>
        <item x="28"/>
        <item x="223"/>
        <item x="112"/>
        <item x="376"/>
        <item t="default"/>
      </items>
    </pivotField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6">
        <item sd="0" x="0"/>
        <item sd="0" x="1"/>
        <item sd="0" x="2"/>
        <item sd="0" x="3"/>
        <item sd="0" x="4"/>
        <item t="default"/>
      </items>
    </pivotField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Items count="1">
    <i/>
  </rowItems>
  <colItems count="1">
    <i/>
  </colItems>
  <dataFields count="1">
    <dataField name="Marza_pr%" fld="23" baseField="1" baseItem="1" numFmtId="10"/>
  </dataFields>
  <formats count="18">
    <format dxfId="265">
      <pivotArea type="all" dataOnly="0" outline="0" fieldPosition="0"/>
    </format>
    <format dxfId="264">
      <pivotArea outline="0" collapsedLevelsAreSubtotals="1" fieldPosition="0"/>
    </format>
    <format dxfId="263">
      <pivotArea field="19" type="button" dataOnly="0" labelOnly="1" outline="0"/>
    </format>
    <format dxfId="262">
      <pivotArea dataOnly="0" labelOnly="1" grandRow="1" outline="0" fieldPosition="0"/>
    </format>
    <format dxfId="261">
      <pivotArea dataOnly="0" labelOnly="1" outline="0" axis="axisValues" fieldPosition="0"/>
    </format>
    <format dxfId="260">
      <pivotArea dataOnly="0" labelOnly="1" grandRow="1" outline="0" fieldPosition="0"/>
    </format>
    <format dxfId="259">
      <pivotArea grandRow="1" outline="0" collapsedLevelsAreSubtotals="1" fieldPosition="0"/>
    </format>
    <format dxfId="258">
      <pivotArea outline="0" fieldPosition="0">
        <references count="1">
          <reference field="4294967294" count="1">
            <x v="0"/>
          </reference>
        </references>
      </pivotArea>
    </format>
    <format dxfId="257">
      <pivotArea type="all" dataOnly="0" outline="0" fieldPosition="0"/>
    </format>
    <format dxfId="256">
      <pivotArea outline="0" collapsedLevelsAreSubtotals="1" fieldPosition="0"/>
    </format>
    <format dxfId="255">
      <pivotArea dataOnly="0" labelOnly="1" outline="0" axis="axisValues" fieldPosition="0"/>
    </format>
    <format dxfId="254">
      <pivotArea type="all" dataOnly="0" outline="0" fieldPosition="0"/>
    </format>
    <format dxfId="253">
      <pivotArea outline="0" collapsedLevelsAreSubtotals="1" fieldPosition="0"/>
    </format>
    <format dxfId="252">
      <pivotArea dataOnly="0" labelOnly="1" outline="0" axis="axisValues" fieldPosition="0"/>
    </format>
    <format dxfId="251">
      <pivotArea type="all" dataOnly="0" outline="0" fieldPosition="0"/>
    </format>
    <format dxfId="250">
      <pivotArea outline="0" collapsedLevelsAreSubtotals="1" fieldPosition="0"/>
    </format>
    <format dxfId="249">
      <pivotArea dataOnly="0" labelOnly="1" outline="0" axis="axisValues" fieldPosition="0"/>
    </format>
    <format dxfId="248">
      <pivotArea dataOnly="0" labelOnly="1" outline="0" axis="axisValues" fieldPosition="0"/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773B2D-9D88-4B6C-B84D-AA4DBFA20FE8}" name="Kontingenčná tabuľka3" cacheId="0" applyNumberFormats="0" applyBorderFormats="0" applyFontFormats="0" applyPatternFormats="0" applyAlignmentFormats="0" applyWidthHeightFormats="1" dataCaption="Hodnoty" updatedVersion="8" minRefreshableVersion="3" itemPrintTitles="1" createdVersion="8" indent="0" outline="1" outlineData="1" multipleFieldFilters="0">
  <location ref="F5:F6" firstHeaderRow="1" firstDataRow="1" firstDataCol="0"/>
  <pivotFields count="25">
    <pivotField numFmtId="14" showAll="0">
      <items count="388">
        <item x="114"/>
        <item x="41"/>
        <item x="275"/>
        <item x="197"/>
        <item x="273"/>
        <item x="274"/>
        <item x="316"/>
        <item x="13"/>
        <item x="168"/>
        <item x="74"/>
        <item x="23"/>
        <item x="260"/>
        <item x="77"/>
        <item x="25"/>
        <item x="291"/>
        <item x="73"/>
        <item x="374"/>
        <item x="93"/>
        <item x="322"/>
        <item x="306"/>
        <item x="164"/>
        <item x="162"/>
        <item x="146"/>
        <item x="154"/>
        <item x="253"/>
        <item x="153"/>
        <item x="86"/>
        <item x="254"/>
        <item x="240"/>
        <item x="64"/>
        <item x="182"/>
        <item x="1"/>
        <item x="83"/>
        <item x="228"/>
        <item x="139"/>
        <item x="186"/>
        <item x="326"/>
        <item x="36"/>
        <item x="155"/>
        <item x="277"/>
        <item x="354"/>
        <item x="270"/>
        <item x="157"/>
        <item x="9"/>
        <item x="263"/>
        <item x="293"/>
        <item x="142"/>
        <item x="131"/>
        <item x="201"/>
        <item x="127"/>
        <item x="265"/>
        <item x="358"/>
        <item x="372"/>
        <item x="185"/>
        <item x="173"/>
        <item x="106"/>
        <item x="216"/>
        <item x="81"/>
        <item x="26"/>
        <item x="130"/>
        <item x="63"/>
        <item x="286"/>
        <item x="180"/>
        <item x="299"/>
        <item x="355"/>
        <item x="30"/>
        <item x="380"/>
        <item x="334"/>
        <item x="159"/>
        <item x="264"/>
        <item x="59"/>
        <item x="278"/>
        <item x="241"/>
        <item x="134"/>
        <item x="367"/>
        <item x="8"/>
        <item x="317"/>
        <item x="170"/>
        <item x="312"/>
        <item x="215"/>
        <item x="101"/>
        <item x="171"/>
        <item x="370"/>
        <item x="341"/>
        <item x="123"/>
        <item x="266"/>
        <item x="48"/>
        <item x="42"/>
        <item x="190"/>
        <item x="5"/>
        <item x="346"/>
        <item x="51"/>
        <item x="84"/>
        <item x="3"/>
        <item x="375"/>
        <item x="29"/>
        <item x="115"/>
        <item x="276"/>
        <item x="381"/>
        <item x="359"/>
        <item x="233"/>
        <item x="368"/>
        <item x="152"/>
        <item x="19"/>
        <item x="221"/>
        <item x="11"/>
        <item x="244"/>
        <item x="248"/>
        <item x="160"/>
        <item x="352"/>
        <item x="303"/>
        <item x="149"/>
        <item x="308"/>
        <item x="12"/>
        <item x="132"/>
        <item x="116"/>
        <item x="45"/>
        <item x="295"/>
        <item x="163"/>
        <item x="258"/>
        <item x="95"/>
        <item x="231"/>
        <item x="338"/>
        <item x="196"/>
        <item x="46"/>
        <item x="298"/>
        <item x="92"/>
        <item x="57"/>
        <item x="369"/>
        <item x="385"/>
        <item x="285"/>
        <item x="373"/>
        <item x="102"/>
        <item x="165"/>
        <item x="379"/>
        <item x="60"/>
        <item x="138"/>
        <item x="22"/>
        <item x="219"/>
        <item x="166"/>
        <item x="282"/>
        <item x="148"/>
        <item x="43"/>
        <item x="44"/>
        <item x="337"/>
        <item x="90"/>
        <item x="96"/>
        <item x="309"/>
        <item x="357"/>
        <item x="250"/>
        <item x="141"/>
        <item x="35"/>
        <item x="302"/>
        <item x="110"/>
        <item x="111"/>
        <item x="100"/>
        <item x="128"/>
        <item x="366"/>
        <item x="342"/>
        <item x="177"/>
        <item x="204"/>
        <item x="17"/>
        <item x="174"/>
        <item x="289"/>
        <item x="364"/>
        <item x="328"/>
        <item x="89"/>
        <item x="24"/>
        <item x="126"/>
        <item x="239"/>
        <item x="287"/>
        <item x="181"/>
        <item x="194"/>
        <item x="191"/>
        <item x="31"/>
        <item x="66"/>
        <item x="348"/>
        <item x="211"/>
        <item x="118"/>
        <item x="54"/>
        <item x="97"/>
        <item x="267"/>
        <item x="320"/>
        <item x="304"/>
        <item x="224"/>
        <item x="198"/>
        <item x="39"/>
        <item x="58"/>
        <item x="356"/>
        <item x="68"/>
        <item x="61"/>
        <item x="305"/>
        <item x="257"/>
        <item x="386"/>
        <item x="234"/>
        <item x="137"/>
        <item x="71"/>
        <item x="212"/>
        <item x="255"/>
        <item x="313"/>
        <item x="200"/>
        <item x="292"/>
        <item x="76"/>
        <item x="246"/>
        <item x="53"/>
        <item x="98"/>
        <item x="333"/>
        <item x="10"/>
        <item x="230"/>
        <item x="335"/>
        <item x="133"/>
        <item x="336"/>
        <item x="145"/>
        <item x="319"/>
        <item x="330"/>
        <item x="47"/>
        <item x="327"/>
        <item x="113"/>
        <item x="214"/>
        <item x="140"/>
        <item x="72"/>
        <item x="206"/>
        <item x="184"/>
        <item x="119"/>
        <item x="78"/>
        <item x="365"/>
        <item x="262"/>
        <item x="314"/>
        <item x="279"/>
        <item x="232"/>
        <item x="382"/>
        <item x="37"/>
        <item x="384"/>
        <item x="40"/>
        <item x="225"/>
        <item x="117"/>
        <item x="79"/>
        <item x="175"/>
        <item x="21"/>
        <item x="99"/>
        <item x="189"/>
        <item x="331"/>
        <item x="129"/>
        <item x="156"/>
        <item x="217"/>
        <item x="362"/>
        <item x="4"/>
        <item x="378"/>
        <item x="147"/>
        <item x="195"/>
        <item x="318"/>
        <item x="256"/>
        <item x="94"/>
        <item x="251"/>
        <item x="105"/>
        <item x="325"/>
        <item x="38"/>
        <item x="339"/>
        <item x="124"/>
        <item x="207"/>
        <item x="294"/>
        <item x="125"/>
        <item x="329"/>
        <item x="247"/>
        <item x="82"/>
        <item x="323"/>
        <item x="179"/>
        <item x="65"/>
        <item x="321"/>
        <item x="332"/>
        <item x="296"/>
        <item x="345"/>
        <item x="360"/>
        <item x="56"/>
        <item x="343"/>
        <item x="80"/>
        <item x="50"/>
        <item x="213"/>
        <item x="235"/>
        <item x="272"/>
        <item x="121"/>
        <item x="178"/>
        <item x="209"/>
        <item x="49"/>
        <item x="169"/>
        <item x="158"/>
        <item x="0"/>
        <item x="340"/>
        <item x="16"/>
        <item x="208"/>
        <item x="27"/>
        <item x="14"/>
        <item x="172"/>
        <item x="109"/>
        <item x="220"/>
        <item x="363"/>
        <item x="192"/>
        <item x="301"/>
        <item x="237"/>
        <item x="55"/>
        <item x="297"/>
        <item x="280"/>
        <item x="188"/>
        <item x="300"/>
        <item x="227"/>
        <item x="7"/>
        <item x="307"/>
        <item x="75"/>
        <item x="120"/>
        <item x="281"/>
        <item x="261"/>
        <item x="202"/>
        <item x="350"/>
        <item x="271"/>
        <item x="245"/>
        <item x="103"/>
        <item x="32"/>
        <item x="91"/>
        <item x="236"/>
        <item x="20"/>
        <item x="144"/>
        <item x="284"/>
        <item x="150"/>
        <item x="229"/>
        <item x="151"/>
        <item x="371"/>
        <item x="203"/>
        <item x="383"/>
        <item x="15"/>
        <item x="18"/>
        <item x="136"/>
        <item x="135"/>
        <item x="283"/>
        <item x="67"/>
        <item x="161"/>
        <item x="344"/>
        <item x="6"/>
        <item x="288"/>
        <item x="290"/>
        <item x="377"/>
        <item x="143"/>
        <item x="210"/>
        <item x="33"/>
        <item x="249"/>
        <item x="108"/>
        <item x="347"/>
        <item x="85"/>
        <item x="62"/>
        <item x="259"/>
        <item x="2"/>
        <item x="238"/>
        <item x="353"/>
        <item x="88"/>
        <item x="104"/>
        <item x="268"/>
        <item x="34"/>
        <item x="122"/>
        <item x="52"/>
        <item x="311"/>
        <item x="176"/>
        <item x="70"/>
        <item x="187"/>
        <item x="205"/>
        <item x="242"/>
        <item x="361"/>
        <item x="183"/>
        <item x="222"/>
        <item x="167"/>
        <item x="269"/>
        <item x="193"/>
        <item x="199"/>
        <item x="324"/>
        <item x="243"/>
        <item x="107"/>
        <item x="218"/>
        <item x="252"/>
        <item x="315"/>
        <item x="310"/>
        <item x="69"/>
        <item x="351"/>
        <item x="226"/>
        <item x="349"/>
        <item x="87"/>
        <item x="28"/>
        <item x="223"/>
        <item x="112"/>
        <item x="376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9" showAll="0"/>
    <pivotField showAll="0">
      <items count="4">
        <item x="1"/>
        <item x="0"/>
        <item x="2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Zisk Kč" fld="15" baseField="0" baseItem="0" numFmtId="164"/>
  </dataFields>
  <formats count="22">
    <format dxfId="287">
      <pivotArea type="all" dataOnly="0" outline="0" fieldPosition="0"/>
    </format>
    <format dxfId="286">
      <pivotArea outline="0" collapsedLevelsAreSubtotals="1" fieldPosition="0"/>
    </format>
    <format dxfId="285">
      <pivotArea field="19" type="button" dataOnly="0" labelOnly="1" outline="0"/>
    </format>
    <format dxfId="284">
      <pivotArea dataOnly="0" labelOnly="1" grandRow="1" outline="0" fieldPosition="0"/>
    </format>
    <format dxfId="283">
      <pivotArea dataOnly="0" labelOnly="1" outline="0" axis="axisValues" fieldPosition="0"/>
    </format>
    <format dxfId="282">
      <pivotArea type="all" dataOnly="0" outline="0" fieldPosition="0"/>
    </format>
    <format dxfId="281">
      <pivotArea outline="0" collapsedLevelsAreSubtotals="1" fieldPosition="0"/>
    </format>
    <format dxfId="280">
      <pivotArea dataOnly="0" labelOnly="1" outline="0" axis="axisValues" fieldPosition="0"/>
    </format>
    <format dxfId="279">
      <pivotArea type="all" dataOnly="0" outline="0" fieldPosition="0"/>
    </format>
    <format dxfId="278">
      <pivotArea dataOnly="0" labelOnly="1" outline="0" axis="axisValues" fieldPosition="0"/>
    </format>
    <format dxfId="277">
      <pivotArea dataOnly="0" labelOnly="1" outline="0" axis="axisValues" fieldPosition="0"/>
    </format>
    <format dxfId="276">
      <pivotArea outline="0" collapsedLevelsAreSubtotals="1" fieldPosition="0"/>
    </format>
    <format dxfId="275">
      <pivotArea outline="0" collapsedLevelsAreSubtotals="1" fieldPosition="0"/>
    </format>
    <format dxfId="274">
      <pivotArea type="all" dataOnly="0" outline="0" fieldPosition="0"/>
    </format>
    <format dxfId="273">
      <pivotArea outline="0" collapsedLevelsAreSubtotals="1" fieldPosition="0"/>
    </format>
    <format dxfId="272">
      <pivotArea dataOnly="0" labelOnly="1" outline="0" axis="axisValues" fieldPosition="0"/>
    </format>
    <format dxfId="271">
      <pivotArea type="all" dataOnly="0" outline="0" fieldPosition="0"/>
    </format>
    <format dxfId="270">
      <pivotArea outline="0" collapsedLevelsAreSubtotals="1" fieldPosition="0"/>
    </format>
    <format dxfId="269">
      <pivotArea dataOnly="0" labelOnly="1" outline="0" axis="axisValues" fieldPosition="0"/>
    </format>
    <format dxfId="268">
      <pivotArea outline="0" collapsedLevelsAreSubtotals="1" fieldPosition="0"/>
    </format>
    <format dxfId="267">
      <pivotArea outline="0" collapsedLevelsAreSubtotals="1" fieldPosition="0"/>
    </format>
    <format dxfId="266">
      <pivotArea outline="0" collapsedLevelsAreSubtotals="1" fieldPosition="0"/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B6A712-5727-4A1C-A4D6-AE38089E964A}" name="Kontingenčná tabuľka4" cacheId="0" applyNumberFormats="0" applyBorderFormats="0" applyFontFormats="0" applyPatternFormats="0" applyAlignmentFormats="0" applyWidthHeightFormats="1" dataCaption="Hodnoty" updatedVersion="8" minRefreshableVersion="3" itemPrintTitles="1" createdVersion="8" indent="0" outline="1" outlineData="1" multipleFieldFilters="0">
  <location ref="H5:H6" firstHeaderRow="1" firstDataRow="1" firstDataCol="0"/>
  <pivotFields count="25">
    <pivotField numFmtId="14" showAll="0">
      <items count="388">
        <item x="114"/>
        <item x="41"/>
        <item x="275"/>
        <item x="197"/>
        <item x="273"/>
        <item x="274"/>
        <item x="316"/>
        <item x="13"/>
        <item x="168"/>
        <item x="74"/>
        <item x="23"/>
        <item x="260"/>
        <item x="77"/>
        <item x="25"/>
        <item x="291"/>
        <item x="73"/>
        <item x="374"/>
        <item x="93"/>
        <item x="322"/>
        <item x="306"/>
        <item x="164"/>
        <item x="162"/>
        <item x="146"/>
        <item x="154"/>
        <item x="253"/>
        <item x="153"/>
        <item x="86"/>
        <item x="254"/>
        <item x="240"/>
        <item x="64"/>
        <item x="182"/>
        <item x="1"/>
        <item x="83"/>
        <item x="228"/>
        <item x="139"/>
        <item x="186"/>
        <item x="326"/>
        <item x="36"/>
        <item x="155"/>
        <item x="277"/>
        <item x="354"/>
        <item x="270"/>
        <item x="157"/>
        <item x="9"/>
        <item x="263"/>
        <item x="293"/>
        <item x="142"/>
        <item x="131"/>
        <item x="201"/>
        <item x="127"/>
        <item x="265"/>
        <item x="358"/>
        <item x="372"/>
        <item x="185"/>
        <item x="173"/>
        <item x="106"/>
        <item x="216"/>
        <item x="81"/>
        <item x="26"/>
        <item x="130"/>
        <item x="63"/>
        <item x="286"/>
        <item x="180"/>
        <item x="299"/>
        <item x="355"/>
        <item x="30"/>
        <item x="380"/>
        <item x="334"/>
        <item x="159"/>
        <item x="264"/>
        <item x="59"/>
        <item x="278"/>
        <item x="241"/>
        <item x="134"/>
        <item x="367"/>
        <item x="8"/>
        <item x="317"/>
        <item x="170"/>
        <item x="312"/>
        <item x="215"/>
        <item x="101"/>
        <item x="171"/>
        <item x="370"/>
        <item x="341"/>
        <item x="123"/>
        <item x="266"/>
        <item x="48"/>
        <item x="42"/>
        <item x="190"/>
        <item x="5"/>
        <item x="346"/>
        <item x="51"/>
        <item x="84"/>
        <item x="3"/>
        <item x="375"/>
        <item x="29"/>
        <item x="115"/>
        <item x="276"/>
        <item x="381"/>
        <item x="359"/>
        <item x="233"/>
        <item x="368"/>
        <item x="152"/>
        <item x="19"/>
        <item x="221"/>
        <item x="11"/>
        <item x="244"/>
        <item x="248"/>
        <item x="160"/>
        <item x="352"/>
        <item x="303"/>
        <item x="149"/>
        <item x="308"/>
        <item x="12"/>
        <item x="132"/>
        <item x="116"/>
        <item x="45"/>
        <item x="295"/>
        <item x="163"/>
        <item x="258"/>
        <item x="95"/>
        <item x="231"/>
        <item x="338"/>
        <item x="196"/>
        <item x="46"/>
        <item x="298"/>
        <item x="92"/>
        <item x="57"/>
        <item x="369"/>
        <item x="385"/>
        <item x="285"/>
        <item x="373"/>
        <item x="102"/>
        <item x="165"/>
        <item x="379"/>
        <item x="60"/>
        <item x="138"/>
        <item x="22"/>
        <item x="219"/>
        <item x="166"/>
        <item x="282"/>
        <item x="148"/>
        <item x="43"/>
        <item x="44"/>
        <item x="337"/>
        <item x="90"/>
        <item x="96"/>
        <item x="309"/>
        <item x="357"/>
        <item x="250"/>
        <item x="141"/>
        <item x="35"/>
        <item x="302"/>
        <item x="110"/>
        <item x="111"/>
        <item x="100"/>
        <item x="128"/>
        <item x="366"/>
        <item x="342"/>
        <item x="177"/>
        <item x="204"/>
        <item x="17"/>
        <item x="174"/>
        <item x="289"/>
        <item x="364"/>
        <item x="328"/>
        <item x="89"/>
        <item x="24"/>
        <item x="126"/>
        <item x="239"/>
        <item x="287"/>
        <item x="181"/>
        <item x="194"/>
        <item x="191"/>
        <item x="31"/>
        <item x="66"/>
        <item x="348"/>
        <item x="211"/>
        <item x="118"/>
        <item x="54"/>
        <item x="97"/>
        <item x="267"/>
        <item x="320"/>
        <item x="304"/>
        <item x="224"/>
        <item x="198"/>
        <item x="39"/>
        <item x="58"/>
        <item x="356"/>
        <item x="68"/>
        <item x="61"/>
        <item x="305"/>
        <item x="257"/>
        <item x="386"/>
        <item x="234"/>
        <item x="137"/>
        <item x="71"/>
        <item x="212"/>
        <item x="255"/>
        <item x="313"/>
        <item x="200"/>
        <item x="292"/>
        <item x="76"/>
        <item x="246"/>
        <item x="53"/>
        <item x="98"/>
        <item x="333"/>
        <item x="10"/>
        <item x="230"/>
        <item x="335"/>
        <item x="133"/>
        <item x="336"/>
        <item x="145"/>
        <item x="319"/>
        <item x="330"/>
        <item x="47"/>
        <item x="327"/>
        <item x="113"/>
        <item x="214"/>
        <item x="140"/>
        <item x="72"/>
        <item x="206"/>
        <item x="184"/>
        <item x="119"/>
        <item x="78"/>
        <item x="365"/>
        <item x="262"/>
        <item x="314"/>
        <item x="279"/>
        <item x="232"/>
        <item x="382"/>
        <item x="37"/>
        <item x="384"/>
        <item x="40"/>
        <item x="225"/>
        <item x="117"/>
        <item x="79"/>
        <item x="175"/>
        <item x="21"/>
        <item x="99"/>
        <item x="189"/>
        <item x="331"/>
        <item x="129"/>
        <item x="156"/>
        <item x="217"/>
        <item x="362"/>
        <item x="4"/>
        <item x="378"/>
        <item x="147"/>
        <item x="195"/>
        <item x="318"/>
        <item x="256"/>
        <item x="94"/>
        <item x="251"/>
        <item x="105"/>
        <item x="325"/>
        <item x="38"/>
        <item x="339"/>
        <item x="124"/>
        <item x="207"/>
        <item x="294"/>
        <item x="125"/>
        <item x="329"/>
        <item x="247"/>
        <item x="82"/>
        <item x="323"/>
        <item x="179"/>
        <item x="65"/>
        <item x="321"/>
        <item x="332"/>
        <item x="296"/>
        <item x="345"/>
        <item x="360"/>
        <item x="56"/>
        <item x="343"/>
        <item x="80"/>
        <item x="50"/>
        <item x="213"/>
        <item x="235"/>
        <item x="272"/>
        <item x="121"/>
        <item x="178"/>
        <item x="209"/>
        <item x="49"/>
        <item x="169"/>
        <item x="158"/>
        <item x="0"/>
        <item x="340"/>
        <item x="16"/>
        <item x="208"/>
        <item x="27"/>
        <item x="14"/>
        <item x="172"/>
        <item x="109"/>
        <item x="220"/>
        <item x="363"/>
        <item x="192"/>
        <item x="301"/>
        <item x="237"/>
        <item x="55"/>
        <item x="297"/>
        <item x="280"/>
        <item x="188"/>
        <item x="300"/>
        <item x="227"/>
        <item x="7"/>
        <item x="307"/>
        <item x="75"/>
        <item x="120"/>
        <item x="281"/>
        <item x="261"/>
        <item x="202"/>
        <item x="350"/>
        <item x="271"/>
        <item x="245"/>
        <item x="103"/>
        <item x="32"/>
        <item x="91"/>
        <item x="236"/>
        <item x="20"/>
        <item x="144"/>
        <item x="284"/>
        <item x="150"/>
        <item x="229"/>
        <item x="151"/>
        <item x="371"/>
        <item x="203"/>
        <item x="383"/>
        <item x="15"/>
        <item x="18"/>
        <item x="136"/>
        <item x="135"/>
        <item x="283"/>
        <item x="67"/>
        <item x="161"/>
        <item x="344"/>
        <item x="6"/>
        <item x="288"/>
        <item x="290"/>
        <item x="377"/>
        <item x="143"/>
        <item x="210"/>
        <item x="33"/>
        <item x="249"/>
        <item x="108"/>
        <item x="347"/>
        <item x="85"/>
        <item x="62"/>
        <item x="259"/>
        <item x="2"/>
        <item x="238"/>
        <item x="353"/>
        <item x="88"/>
        <item x="104"/>
        <item x="268"/>
        <item x="34"/>
        <item x="122"/>
        <item x="52"/>
        <item x="311"/>
        <item x="176"/>
        <item x="70"/>
        <item x="187"/>
        <item x="205"/>
        <item x="242"/>
        <item x="361"/>
        <item x="183"/>
        <item x="222"/>
        <item x="167"/>
        <item x="269"/>
        <item x="193"/>
        <item x="199"/>
        <item x="324"/>
        <item x="243"/>
        <item x="107"/>
        <item x="218"/>
        <item x="252"/>
        <item x="315"/>
        <item x="310"/>
        <item x="69"/>
        <item x="351"/>
        <item x="226"/>
        <item x="349"/>
        <item x="87"/>
        <item x="28"/>
        <item x="223"/>
        <item x="112"/>
        <item x="376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9" showAll="0"/>
    <pivotField showAll="0">
      <items count="4">
        <item x="1"/>
        <item x="0"/>
        <item x="2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Náklady" fld="14" baseField="0" baseItem="0" numFmtId="164"/>
  </dataFields>
  <formats count="22">
    <format dxfId="141">
      <pivotArea type="all" dataOnly="0" outline="0" fieldPosition="0"/>
    </format>
    <format dxfId="140">
      <pivotArea outline="0" collapsedLevelsAreSubtotals="1" fieldPosition="0"/>
    </format>
    <format dxfId="139">
      <pivotArea field="19" type="button" dataOnly="0" labelOnly="1" outline="0"/>
    </format>
    <format dxfId="138">
      <pivotArea dataOnly="0" labelOnly="1" grandRow="1" outline="0" fieldPosition="0"/>
    </format>
    <format dxfId="137">
      <pivotArea dataOnly="0" labelOnly="1" outline="0" axis="axisValues" fieldPosition="0"/>
    </format>
    <format dxfId="136">
      <pivotArea type="all" dataOnly="0" outline="0" fieldPosition="0"/>
    </format>
    <format dxfId="135">
      <pivotArea outline="0" collapsedLevelsAreSubtotals="1" fieldPosition="0"/>
    </format>
    <format dxfId="134">
      <pivotArea dataOnly="0" labelOnly="1" outline="0" axis="axisValues" fieldPosition="0"/>
    </format>
    <format dxfId="133">
      <pivotArea type="all" dataOnly="0" outline="0" fieldPosition="0"/>
    </format>
    <format dxfId="132">
      <pivotArea dataOnly="0" labelOnly="1" outline="0" axis="axisValues" fieldPosition="0"/>
    </format>
    <format dxfId="131">
      <pivotArea dataOnly="0" labelOnly="1" outline="0" axis="axisValues" fieldPosition="0"/>
    </format>
    <format dxfId="130">
      <pivotArea outline="0" collapsedLevelsAreSubtotals="1" fieldPosition="0"/>
    </format>
    <format dxfId="129">
      <pivotArea outline="0" collapsedLevelsAreSubtotals="1" fieldPosition="0"/>
    </format>
    <format dxfId="128">
      <pivotArea type="all" dataOnly="0" outline="0" fieldPosition="0"/>
    </format>
    <format dxfId="127">
      <pivotArea outline="0" collapsedLevelsAreSubtotals="1" fieldPosition="0"/>
    </format>
    <format dxfId="126">
      <pivotArea dataOnly="0" labelOnly="1" outline="0" axis="axisValues" fieldPosition="0"/>
    </format>
    <format dxfId="125">
      <pivotArea type="all" dataOnly="0" outline="0" fieldPosition="0"/>
    </format>
    <format dxfId="124">
      <pivotArea outline="0" collapsedLevelsAreSubtotals="1" fieldPosition="0"/>
    </format>
    <format dxfId="123">
      <pivotArea dataOnly="0" labelOnly="1" outline="0" axis="axisValues" fieldPosition="0"/>
    </format>
    <format dxfId="122">
      <pivotArea outline="0" collapsedLevelsAreSubtotals="1" fieldPosition="0"/>
    </format>
    <format dxfId="121">
      <pivotArea outline="0" collapsedLevelsAreSubtotals="1" fieldPosition="0"/>
    </format>
    <format dxfId="120">
      <pivotArea outline="0" collapsedLevelsAreSubtotals="1" fieldPosition="0"/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4B95C2-275A-4117-9CA1-B027DDEB6855}" name="Kontingenčná tabuľka3" cacheId="0" applyNumberFormats="0" applyBorderFormats="0" applyFontFormats="0" applyPatternFormats="0" applyAlignmentFormats="0" applyWidthHeightFormats="1" dataCaption="Hodnoty" updatedVersion="8" minRefreshableVersion="3" itemPrintTitles="1" createdVersion="8" indent="0" outline="1" outlineData="1" multipleFieldFilters="0">
  <location ref="F5:F6" firstHeaderRow="1" firstDataRow="1" firstDataCol="0"/>
  <pivotFields count="25">
    <pivotField numFmtId="14" showAll="0">
      <items count="388">
        <item x="114"/>
        <item x="41"/>
        <item x="275"/>
        <item x="197"/>
        <item x="273"/>
        <item x="274"/>
        <item x="316"/>
        <item x="13"/>
        <item x="168"/>
        <item x="74"/>
        <item x="23"/>
        <item x="260"/>
        <item x="77"/>
        <item x="25"/>
        <item x="291"/>
        <item x="73"/>
        <item x="374"/>
        <item x="93"/>
        <item x="322"/>
        <item x="306"/>
        <item x="164"/>
        <item x="162"/>
        <item x="146"/>
        <item x="154"/>
        <item x="253"/>
        <item x="153"/>
        <item x="86"/>
        <item x="254"/>
        <item x="240"/>
        <item x="64"/>
        <item x="182"/>
        <item x="1"/>
        <item x="83"/>
        <item x="228"/>
        <item x="139"/>
        <item x="186"/>
        <item x="326"/>
        <item x="36"/>
        <item x="155"/>
        <item x="277"/>
        <item x="354"/>
        <item x="270"/>
        <item x="157"/>
        <item x="9"/>
        <item x="263"/>
        <item x="293"/>
        <item x="142"/>
        <item x="131"/>
        <item x="201"/>
        <item x="127"/>
        <item x="265"/>
        <item x="358"/>
        <item x="372"/>
        <item x="185"/>
        <item x="173"/>
        <item x="106"/>
        <item x="216"/>
        <item x="81"/>
        <item x="26"/>
        <item x="130"/>
        <item x="63"/>
        <item x="286"/>
        <item x="180"/>
        <item x="299"/>
        <item x="355"/>
        <item x="30"/>
        <item x="380"/>
        <item x="334"/>
        <item x="159"/>
        <item x="264"/>
        <item x="59"/>
        <item x="278"/>
        <item x="241"/>
        <item x="134"/>
        <item x="367"/>
        <item x="8"/>
        <item x="317"/>
        <item x="170"/>
        <item x="312"/>
        <item x="215"/>
        <item x="101"/>
        <item x="171"/>
        <item x="370"/>
        <item x="341"/>
        <item x="123"/>
        <item x="266"/>
        <item x="48"/>
        <item x="42"/>
        <item x="190"/>
        <item x="5"/>
        <item x="346"/>
        <item x="51"/>
        <item x="84"/>
        <item x="3"/>
        <item x="375"/>
        <item x="29"/>
        <item x="115"/>
        <item x="276"/>
        <item x="381"/>
        <item x="359"/>
        <item x="233"/>
        <item x="368"/>
        <item x="152"/>
        <item x="19"/>
        <item x="221"/>
        <item x="11"/>
        <item x="244"/>
        <item x="248"/>
        <item x="160"/>
        <item x="352"/>
        <item x="303"/>
        <item x="149"/>
        <item x="308"/>
        <item x="12"/>
        <item x="132"/>
        <item x="116"/>
        <item x="45"/>
        <item x="295"/>
        <item x="163"/>
        <item x="258"/>
        <item x="95"/>
        <item x="231"/>
        <item x="338"/>
        <item x="196"/>
        <item x="46"/>
        <item x="298"/>
        <item x="92"/>
        <item x="57"/>
        <item x="369"/>
        <item x="385"/>
        <item x="285"/>
        <item x="373"/>
        <item x="102"/>
        <item x="165"/>
        <item x="379"/>
        <item x="60"/>
        <item x="138"/>
        <item x="22"/>
        <item x="219"/>
        <item x="166"/>
        <item x="282"/>
        <item x="148"/>
        <item x="43"/>
        <item x="44"/>
        <item x="337"/>
        <item x="90"/>
        <item x="96"/>
        <item x="309"/>
        <item x="357"/>
        <item x="250"/>
        <item x="141"/>
        <item x="35"/>
        <item x="302"/>
        <item x="110"/>
        <item x="111"/>
        <item x="100"/>
        <item x="128"/>
        <item x="366"/>
        <item x="342"/>
        <item x="177"/>
        <item x="204"/>
        <item x="17"/>
        <item x="174"/>
        <item x="289"/>
        <item x="364"/>
        <item x="328"/>
        <item x="89"/>
        <item x="24"/>
        <item x="126"/>
        <item x="239"/>
        <item x="287"/>
        <item x="181"/>
        <item x="194"/>
        <item x="191"/>
        <item x="31"/>
        <item x="66"/>
        <item x="348"/>
        <item x="211"/>
        <item x="118"/>
        <item x="54"/>
        <item x="97"/>
        <item x="267"/>
        <item x="320"/>
        <item x="304"/>
        <item x="224"/>
        <item x="198"/>
        <item x="39"/>
        <item x="58"/>
        <item x="356"/>
        <item x="68"/>
        <item x="61"/>
        <item x="305"/>
        <item x="257"/>
        <item x="386"/>
        <item x="234"/>
        <item x="137"/>
        <item x="71"/>
        <item x="212"/>
        <item x="255"/>
        <item x="313"/>
        <item x="200"/>
        <item x="292"/>
        <item x="76"/>
        <item x="246"/>
        <item x="53"/>
        <item x="98"/>
        <item x="333"/>
        <item x="10"/>
        <item x="230"/>
        <item x="335"/>
        <item x="133"/>
        <item x="336"/>
        <item x="145"/>
        <item x="319"/>
        <item x="330"/>
        <item x="47"/>
        <item x="327"/>
        <item x="113"/>
        <item x="214"/>
        <item x="140"/>
        <item x="72"/>
        <item x="206"/>
        <item x="184"/>
        <item x="119"/>
        <item x="78"/>
        <item x="365"/>
        <item x="262"/>
        <item x="314"/>
        <item x="279"/>
        <item x="232"/>
        <item x="382"/>
        <item x="37"/>
        <item x="384"/>
        <item x="40"/>
        <item x="225"/>
        <item x="117"/>
        <item x="79"/>
        <item x="175"/>
        <item x="21"/>
        <item x="99"/>
        <item x="189"/>
        <item x="331"/>
        <item x="129"/>
        <item x="156"/>
        <item x="217"/>
        <item x="362"/>
        <item x="4"/>
        <item x="378"/>
        <item x="147"/>
        <item x="195"/>
        <item x="318"/>
        <item x="256"/>
        <item x="94"/>
        <item x="251"/>
        <item x="105"/>
        <item x="325"/>
        <item x="38"/>
        <item x="339"/>
        <item x="124"/>
        <item x="207"/>
        <item x="294"/>
        <item x="125"/>
        <item x="329"/>
        <item x="247"/>
        <item x="82"/>
        <item x="323"/>
        <item x="179"/>
        <item x="65"/>
        <item x="321"/>
        <item x="332"/>
        <item x="296"/>
        <item x="345"/>
        <item x="360"/>
        <item x="56"/>
        <item x="343"/>
        <item x="80"/>
        <item x="50"/>
        <item x="213"/>
        <item x="235"/>
        <item x="272"/>
        <item x="121"/>
        <item x="178"/>
        <item x="209"/>
        <item x="49"/>
        <item x="169"/>
        <item x="158"/>
        <item x="0"/>
        <item x="340"/>
        <item x="16"/>
        <item x="208"/>
        <item x="27"/>
        <item x="14"/>
        <item x="172"/>
        <item x="109"/>
        <item x="220"/>
        <item x="363"/>
        <item x="192"/>
        <item x="301"/>
        <item x="237"/>
        <item x="55"/>
        <item x="297"/>
        <item x="280"/>
        <item x="188"/>
        <item x="300"/>
        <item x="227"/>
        <item x="7"/>
        <item x="307"/>
        <item x="75"/>
        <item x="120"/>
        <item x="281"/>
        <item x="261"/>
        <item x="202"/>
        <item x="350"/>
        <item x="271"/>
        <item x="245"/>
        <item x="103"/>
        <item x="32"/>
        <item x="91"/>
        <item x="236"/>
        <item x="20"/>
        <item x="144"/>
        <item x="284"/>
        <item x="150"/>
        <item x="229"/>
        <item x="151"/>
        <item x="371"/>
        <item x="203"/>
        <item x="383"/>
        <item x="15"/>
        <item x="18"/>
        <item x="136"/>
        <item x="135"/>
        <item x="283"/>
        <item x="67"/>
        <item x="161"/>
        <item x="344"/>
        <item x="6"/>
        <item x="288"/>
        <item x="290"/>
        <item x="377"/>
        <item x="143"/>
        <item x="210"/>
        <item x="33"/>
        <item x="249"/>
        <item x="108"/>
        <item x="347"/>
        <item x="85"/>
        <item x="62"/>
        <item x="259"/>
        <item x="2"/>
        <item x="238"/>
        <item x="353"/>
        <item x="88"/>
        <item x="104"/>
        <item x="268"/>
        <item x="34"/>
        <item x="122"/>
        <item x="52"/>
        <item x="311"/>
        <item x="176"/>
        <item x="70"/>
        <item x="187"/>
        <item x="205"/>
        <item x="242"/>
        <item x="361"/>
        <item x="183"/>
        <item x="222"/>
        <item x="167"/>
        <item x="269"/>
        <item x="193"/>
        <item x="199"/>
        <item x="324"/>
        <item x="243"/>
        <item x="107"/>
        <item x="218"/>
        <item x="252"/>
        <item x="315"/>
        <item x="310"/>
        <item x="69"/>
        <item x="351"/>
        <item x="226"/>
        <item x="349"/>
        <item x="87"/>
        <item x="28"/>
        <item x="223"/>
        <item x="112"/>
        <item x="376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9" showAll="0"/>
    <pivotField showAll="0">
      <items count="4">
        <item x="1"/>
        <item x="0"/>
        <item x="2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Zisk Kč" fld="15" baseField="0" baseItem="0" numFmtId="164"/>
  </dataFields>
  <formats count="22">
    <format dxfId="163">
      <pivotArea type="all" dataOnly="0" outline="0" fieldPosition="0"/>
    </format>
    <format dxfId="162">
      <pivotArea outline="0" collapsedLevelsAreSubtotals="1" fieldPosition="0"/>
    </format>
    <format dxfId="161">
      <pivotArea field="19" type="button" dataOnly="0" labelOnly="1" outline="0"/>
    </format>
    <format dxfId="160">
      <pivotArea dataOnly="0" labelOnly="1" grandRow="1" outline="0" fieldPosition="0"/>
    </format>
    <format dxfId="159">
      <pivotArea dataOnly="0" labelOnly="1" outline="0" axis="axisValues" fieldPosition="0"/>
    </format>
    <format dxfId="158">
      <pivotArea type="all" dataOnly="0" outline="0" fieldPosition="0"/>
    </format>
    <format dxfId="157">
      <pivotArea outline="0" collapsedLevelsAreSubtotals="1" fieldPosition="0"/>
    </format>
    <format dxfId="156">
      <pivotArea dataOnly="0" labelOnly="1" outline="0" axis="axisValues" fieldPosition="0"/>
    </format>
    <format dxfId="155">
      <pivotArea type="all" dataOnly="0" outline="0" fieldPosition="0"/>
    </format>
    <format dxfId="154">
      <pivotArea dataOnly="0" labelOnly="1" outline="0" axis="axisValues" fieldPosition="0"/>
    </format>
    <format dxfId="153">
      <pivotArea dataOnly="0" labelOnly="1" outline="0" axis="axisValues" fieldPosition="0"/>
    </format>
    <format dxfId="152">
      <pivotArea outline="0" collapsedLevelsAreSubtotals="1" fieldPosition="0"/>
    </format>
    <format dxfId="151">
      <pivotArea outline="0" collapsedLevelsAreSubtotals="1" fieldPosition="0"/>
    </format>
    <format dxfId="150">
      <pivotArea type="all" dataOnly="0" outline="0" fieldPosition="0"/>
    </format>
    <format dxfId="149">
      <pivotArea outline="0" collapsedLevelsAreSubtotals="1" fieldPosition="0"/>
    </format>
    <format dxfId="148">
      <pivotArea dataOnly="0" labelOnly="1" outline="0" axis="axisValues" fieldPosition="0"/>
    </format>
    <format dxfId="147">
      <pivotArea type="all" dataOnly="0" outline="0" fieldPosition="0"/>
    </format>
    <format dxfId="146">
      <pivotArea outline="0" collapsedLevelsAreSubtotals="1" fieldPosition="0"/>
    </format>
    <format dxfId="145">
      <pivotArea dataOnly="0" labelOnly="1" outline="0" axis="axisValues" fieldPosition="0"/>
    </format>
    <format dxfId="144">
      <pivotArea outline="0" collapsedLevelsAreSubtotals="1" fieldPosition="0"/>
    </format>
    <format dxfId="143">
      <pivotArea outline="0" collapsedLevelsAreSubtotals="1" fieldPosition="0"/>
    </format>
    <format dxfId="142">
      <pivotArea outline="0" collapsedLevelsAreSubtotals="1" fieldPosition="0"/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69D00E-F4BF-496B-BC02-25F8EFBBF825}" name="Marza%" cacheId="0" applyNumberFormats="0" applyBorderFormats="0" applyFontFormats="0" applyPatternFormats="0" applyAlignmentFormats="0" applyWidthHeightFormats="1" dataCaption="Hodnoty" updatedVersion="8" minRefreshableVersion="3" itemPrintTitles="1" createdVersion="8" indent="0" compact="0" compactData="0" multipleFieldFilters="0" chartFormat="32">
  <location ref="J5:J6" firstHeaderRow="1" firstDataRow="1" firstDataCol="0"/>
  <pivotFields count="25">
    <pivotField compact="0" numFmtId="14" outline="0" showAll="0">
      <items count="388">
        <item x="114"/>
        <item x="41"/>
        <item x="275"/>
        <item x="197"/>
        <item x="273"/>
        <item x="274"/>
        <item x="316"/>
        <item x="13"/>
        <item x="168"/>
        <item x="74"/>
        <item x="23"/>
        <item x="260"/>
        <item x="77"/>
        <item x="25"/>
        <item x="291"/>
        <item x="73"/>
        <item x="374"/>
        <item x="93"/>
        <item x="322"/>
        <item x="306"/>
        <item x="164"/>
        <item x="162"/>
        <item x="146"/>
        <item x="154"/>
        <item x="253"/>
        <item x="153"/>
        <item x="86"/>
        <item x="254"/>
        <item x="240"/>
        <item x="64"/>
        <item x="182"/>
        <item x="1"/>
        <item x="83"/>
        <item x="228"/>
        <item x="139"/>
        <item x="186"/>
        <item x="326"/>
        <item x="36"/>
        <item x="155"/>
        <item x="277"/>
        <item x="354"/>
        <item x="270"/>
        <item x="157"/>
        <item x="9"/>
        <item x="263"/>
        <item x="293"/>
        <item x="142"/>
        <item x="131"/>
        <item x="201"/>
        <item x="127"/>
        <item x="265"/>
        <item x="358"/>
        <item x="372"/>
        <item x="185"/>
        <item x="173"/>
        <item x="106"/>
        <item x="216"/>
        <item x="81"/>
        <item x="26"/>
        <item x="130"/>
        <item x="63"/>
        <item x="286"/>
        <item x="180"/>
        <item x="299"/>
        <item x="355"/>
        <item x="30"/>
        <item x="380"/>
        <item x="334"/>
        <item x="159"/>
        <item x="264"/>
        <item x="59"/>
        <item x="278"/>
        <item x="241"/>
        <item x="134"/>
        <item x="367"/>
        <item x="8"/>
        <item x="317"/>
        <item x="170"/>
        <item x="312"/>
        <item x="215"/>
        <item x="101"/>
        <item x="171"/>
        <item x="370"/>
        <item x="341"/>
        <item x="123"/>
        <item x="266"/>
        <item x="48"/>
        <item x="42"/>
        <item x="190"/>
        <item x="5"/>
        <item x="346"/>
        <item x="51"/>
        <item x="84"/>
        <item x="3"/>
        <item x="375"/>
        <item x="29"/>
        <item x="115"/>
        <item x="276"/>
        <item x="381"/>
        <item x="359"/>
        <item x="233"/>
        <item x="368"/>
        <item x="152"/>
        <item x="19"/>
        <item x="221"/>
        <item x="11"/>
        <item x="244"/>
        <item x="248"/>
        <item x="160"/>
        <item x="352"/>
        <item x="303"/>
        <item x="149"/>
        <item x="308"/>
        <item x="12"/>
        <item x="132"/>
        <item x="116"/>
        <item x="45"/>
        <item x="295"/>
        <item x="163"/>
        <item x="258"/>
        <item x="95"/>
        <item x="231"/>
        <item x="338"/>
        <item x="196"/>
        <item x="46"/>
        <item x="298"/>
        <item x="92"/>
        <item x="57"/>
        <item x="369"/>
        <item x="385"/>
        <item x="285"/>
        <item x="373"/>
        <item x="102"/>
        <item x="165"/>
        <item x="379"/>
        <item x="60"/>
        <item x="138"/>
        <item x="22"/>
        <item x="219"/>
        <item x="166"/>
        <item x="282"/>
        <item x="148"/>
        <item x="43"/>
        <item x="44"/>
        <item x="337"/>
        <item x="90"/>
        <item x="96"/>
        <item x="309"/>
        <item x="357"/>
        <item x="250"/>
        <item x="141"/>
        <item x="35"/>
        <item x="302"/>
        <item x="110"/>
        <item x="111"/>
        <item x="100"/>
        <item x="128"/>
        <item x="366"/>
        <item x="342"/>
        <item x="177"/>
        <item x="204"/>
        <item x="17"/>
        <item x="174"/>
        <item x="289"/>
        <item x="364"/>
        <item x="328"/>
        <item x="89"/>
        <item x="24"/>
        <item x="126"/>
        <item x="239"/>
        <item x="287"/>
        <item x="181"/>
        <item x="194"/>
        <item x="191"/>
        <item x="31"/>
        <item x="66"/>
        <item x="348"/>
        <item x="211"/>
        <item x="118"/>
        <item x="54"/>
        <item x="97"/>
        <item x="267"/>
        <item x="320"/>
        <item x="304"/>
        <item x="224"/>
        <item x="198"/>
        <item x="39"/>
        <item x="58"/>
        <item x="356"/>
        <item x="68"/>
        <item x="61"/>
        <item x="305"/>
        <item x="257"/>
        <item x="386"/>
        <item x="234"/>
        <item x="137"/>
        <item x="71"/>
        <item x="212"/>
        <item x="255"/>
        <item x="313"/>
        <item x="200"/>
        <item x="292"/>
        <item x="76"/>
        <item x="246"/>
        <item x="53"/>
        <item x="98"/>
        <item x="333"/>
        <item x="10"/>
        <item x="230"/>
        <item x="335"/>
        <item x="133"/>
        <item x="336"/>
        <item x="145"/>
        <item x="319"/>
        <item x="330"/>
        <item x="47"/>
        <item x="327"/>
        <item x="113"/>
        <item x="214"/>
        <item x="140"/>
        <item x="72"/>
        <item x="206"/>
        <item x="184"/>
        <item x="119"/>
        <item x="78"/>
        <item x="365"/>
        <item x="262"/>
        <item x="314"/>
        <item x="279"/>
        <item x="232"/>
        <item x="382"/>
        <item x="37"/>
        <item x="384"/>
        <item x="40"/>
        <item x="225"/>
        <item x="117"/>
        <item x="79"/>
        <item x="175"/>
        <item x="21"/>
        <item x="99"/>
        <item x="189"/>
        <item x="331"/>
        <item x="129"/>
        <item x="156"/>
        <item x="217"/>
        <item x="362"/>
        <item x="4"/>
        <item x="378"/>
        <item x="147"/>
        <item x="195"/>
        <item x="318"/>
        <item x="256"/>
        <item x="94"/>
        <item x="251"/>
        <item x="105"/>
        <item x="325"/>
        <item x="38"/>
        <item x="339"/>
        <item x="124"/>
        <item x="207"/>
        <item x="294"/>
        <item x="125"/>
        <item x="329"/>
        <item x="247"/>
        <item x="82"/>
        <item x="323"/>
        <item x="179"/>
        <item x="65"/>
        <item x="321"/>
        <item x="332"/>
        <item x="296"/>
        <item x="345"/>
        <item x="360"/>
        <item x="56"/>
        <item x="343"/>
        <item x="80"/>
        <item x="50"/>
        <item x="213"/>
        <item x="235"/>
        <item x="272"/>
        <item x="121"/>
        <item x="178"/>
        <item x="209"/>
        <item x="49"/>
        <item x="169"/>
        <item x="158"/>
        <item x="0"/>
        <item x="340"/>
        <item x="16"/>
        <item x="208"/>
        <item x="27"/>
        <item x="14"/>
        <item x="172"/>
        <item x="109"/>
        <item x="220"/>
        <item x="363"/>
        <item x="192"/>
        <item x="301"/>
        <item x="237"/>
        <item x="55"/>
        <item x="297"/>
        <item x="280"/>
        <item x="188"/>
        <item x="300"/>
        <item x="227"/>
        <item x="7"/>
        <item x="307"/>
        <item x="75"/>
        <item x="120"/>
        <item x="281"/>
        <item x="261"/>
        <item x="202"/>
        <item x="350"/>
        <item x="271"/>
        <item x="245"/>
        <item x="103"/>
        <item x="32"/>
        <item x="91"/>
        <item x="236"/>
        <item x="20"/>
        <item x="144"/>
        <item x="284"/>
        <item x="150"/>
        <item x="229"/>
        <item x="151"/>
        <item x="371"/>
        <item x="203"/>
        <item x="383"/>
        <item x="15"/>
        <item x="18"/>
        <item x="136"/>
        <item x="135"/>
        <item x="283"/>
        <item x="67"/>
        <item x="161"/>
        <item x="344"/>
        <item x="6"/>
        <item x="288"/>
        <item x="290"/>
        <item x="377"/>
        <item x="143"/>
        <item x="210"/>
        <item x="33"/>
        <item x="249"/>
        <item x="108"/>
        <item x="347"/>
        <item x="85"/>
        <item x="62"/>
        <item x="259"/>
        <item x="2"/>
        <item x="238"/>
        <item x="353"/>
        <item x="88"/>
        <item x="104"/>
        <item x="268"/>
        <item x="34"/>
        <item x="122"/>
        <item x="52"/>
        <item x="311"/>
        <item x="176"/>
        <item x="70"/>
        <item x="187"/>
        <item x="205"/>
        <item x="242"/>
        <item x="361"/>
        <item x="183"/>
        <item x="222"/>
        <item x="167"/>
        <item x="269"/>
        <item x="193"/>
        <item x="199"/>
        <item x="324"/>
        <item x="243"/>
        <item x="107"/>
        <item x="218"/>
        <item x="252"/>
        <item x="315"/>
        <item x="310"/>
        <item x="69"/>
        <item x="351"/>
        <item x="226"/>
        <item x="349"/>
        <item x="87"/>
        <item x="28"/>
        <item x="223"/>
        <item x="112"/>
        <item x="376"/>
        <item t="default"/>
      </items>
    </pivotField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6">
        <item sd="0" x="0"/>
        <item sd="0" x="1"/>
        <item sd="0" x="2"/>
        <item sd="0" x="3"/>
        <item sd="0" x="4"/>
        <item t="default"/>
      </items>
    </pivotField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Items count="1">
    <i/>
  </rowItems>
  <colItems count="1">
    <i/>
  </colItems>
  <dataFields count="1">
    <dataField name="Marza_pr%" fld="23" baseField="1" baseItem="1" numFmtId="10"/>
  </dataFields>
  <formats count="18">
    <format dxfId="181">
      <pivotArea type="all" dataOnly="0" outline="0" fieldPosition="0"/>
    </format>
    <format dxfId="180">
      <pivotArea outline="0" collapsedLevelsAreSubtotals="1" fieldPosition="0"/>
    </format>
    <format dxfId="179">
      <pivotArea field="19" type="button" dataOnly="0" labelOnly="1" outline="0"/>
    </format>
    <format dxfId="178">
      <pivotArea dataOnly="0" labelOnly="1" grandRow="1" outline="0" fieldPosition="0"/>
    </format>
    <format dxfId="177">
      <pivotArea dataOnly="0" labelOnly="1" outline="0" axis="axisValues" fieldPosition="0"/>
    </format>
    <format dxfId="176">
      <pivotArea dataOnly="0" labelOnly="1" grandRow="1" outline="0" fieldPosition="0"/>
    </format>
    <format dxfId="175">
      <pivotArea grandRow="1" outline="0" collapsedLevelsAreSubtotals="1" fieldPosition="0"/>
    </format>
    <format dxfId="174">
      <pivotArea outline="0" fieldPosition="0">
        <references count="1">
          <reference field="4294967294" count="1">
            <x v="0"/>
          </reference>
        </references>
      </pivotArea>
    </format>
    <format dxfId="173">
      <pivotArea type="all" dataOnly="0" outline="0" fieldPosition="0"/>
    </format>
    <format dxfId="172">
      <pivotArea outline="0" collapsedLevelsAreSubtotals="1" fieldPosition="0"/>
    </format>
    <format dxfId="171">
      <pivotArea dataOnly="0" labelOnly="1" outline="0" axis="axisValues" fieldPosition="0"/>
    </format>
    <format dxfId="170">
      <pivotArea type="all" dataOnly="0" outline="0" fieldPosition="0"/>
    </format>
    <format dxfId="169">
      <pivotArea outline="0" collapsedLevelsAreSubtotals="1" fieldPosition="0"/>
    </format>
    <format dxfId="168">
      <pivotArea dataOnly="0" labelOnly="1" outline="0" axis="axisValues" fieldPosition="0"/>
    </format>
    <format dxfId="167">
      <pivotArea type="all" dataOnly="0" outline="0" fieldPosition="0"/>
    </format>
    <format dxfId="166">
      <pivotArea outline="0" collapsedLevelsAreSubtotals="1" fieldPosition="0"/>
    </format>
    <format dxfId="165">
      <pivotArea dataOnly="0" labelOnly="1" outline="0" axis="axisValues" fieldPosition="0"/>
    </format>
    <format dxfId="164">
      <pivotArea dataOnly="0" labelOnly="1" outline="0" axis="axisValues" fieldPosition="0"/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DB54B6-93DB-4C97-90DD-6DB942B316CB}" name="Trzba" cacheId="0" applyNumberFormats="0" applyBorderFormats="0" applyFontFormats="0" applyPatternFormats="0" applyAlignmentFormats="0" applyWidthHeightFormats="1" dataCaption="Hodnoty" updatedVersion="8" minRefreshableVersion="3" itemPrintTitles="1" createdVersion="8" indent="0" showHeaders="0" outline="1" outlineData="1" multipleFieldFilters="0">
  <location ref="D5:D6" firstHeaderRow="1" firstDataRow="1" firstDataCol="0"/>
  <pivotFields count="25">
    <pivotField numFmtId="14" showAll="0">
      <items count="388">
        <item x="114"/>
        <item x="41"/>
        <item x="275"/>
        <item x="197"/>
        <item x="273"/>
        <item x="274"/>
        <item x="316"/>
        <item x="13"/>
        <item x="168"/>
        <item x="74"/>
        <item x="23"/>
        <item x="260"/>
        <item x="77"/>
        <item x="25"/>
        <item x="291"/>
        <item x="73"/>
        <item x="374"/>
        <item x="93"/>
        <item x="322"/>
        <item x="306"/>
        <item x="164"/>
        <item x="162"/>
        <item x="146"/>
        <item x="154"/>
        <item x="253"/>
        <item x="153"/>
        <item x="86"/>
        <item x="254"/>
        <item x="240"/>
        <item x="64"/>
        <item x="182"/>
        <item x="1"/>
        <item x="83"/>
        <item x="228"/>
        <item x="139"/>
        <item x="186"/>
        <item x="326"/>
        <item x="36"/>
        <item x="155"/>
        <item x="277"/>
        <item x="354"/>
        <item x="270"/>
        <item x="157"/>
        <item x="9"/>
        <item x="263"/>
        <item x="293"/>
        <item x="142"/>
        <item x="131"/>
        <item x="201"/>
        <item x="127"/>
        <item x="265"/>
        <item x="358"/>
        <item x="372"/>
        <item x="185"/>
        <item x="173"/>
        <item x="106"/>
        <item x="216"/>
        <item x="81"/>
        <item x="26"/>
        <item x="130"/>
        <item x="63"/>
        <item x="286"/>
        <item x="180"/>
        <item x="299"/>
        <item x="355"/>
        <item x="30"/>
        <item x="380"/>
        <item x="334"/>
        <item x="159"/>
        <item x="264"/>
        <item x="59"/>
        <item x="278"/>
        <item x="241"/>
        <item x="134"/>
        <item x="367"/>
        <item x="8"/>
        <item x="317"/>
        <item x="170"/>
        <item x="312"/>
        <item x="215"/>
        <item x="101"/>
        <item x="171"/>
        <item x="370"/>
        <item x="341"/>
        <item x="123"/>
        <item x="266"/>
        <item x="48"/>
        <item x="42"/>
        <item x="190"/>
        <item x="5"/>
        <item x="346"/>
        <item x="51"/>
        <item x="84"/>
        <item x="3"/>
        <item x="375"/>
        <item x="29"/>
        <item x="115"/>
        <item x="276"/>
        <item x="381"/>
        <item x="359"/>
        <item x="233"/>
        <item x="368"/>
        <item x="152"/>
        <item x="19"/>
        <item x="221"/>
        <item x="11"/>
        <item x="244"/>
        <item x="248"/>
        <item x="160"/>
        <item x="352"/>
        <item x="303"/>
        <item x="149"/>
        <item x="308"/>
        <item x="12"/>
        <item x="132"/>
        <item x="116"/>
        <item x="45"/>
        <item x="295"/>
        <item x="163"/>
        <item x="258"/>
        <item x="95"/>
        <item x="231"/>
        <item x="338"/>
        <item x="196"/>
        <item x="46"/>
        <item x="298"/>
        <item x="92"/>
        <item x="57"/>
        <item x="369"/>
        <item x="385"/>
        <item x="285"/>
        <item x="373"/>
        <item x="102"/>
        <item x="165"/>
        <item x="379"/>
        <item x="60"/>
        <item x="138"/>
        <item x="22"/>
        <item x="219"/>
        <item x="166"/>
        <item x="282"/>
        <item x="148"/>
        <item x="43"/>
        <item x="44"/>
        <item x="337"/>
        <item x="90"/>
        <item x="96"/>
        <item x="309"/>
        <item x="357"/>
        <item x="250"/>
        <item x="141"/>
        <item x="35"/>
        <item x="302"/>
        <item x="110"/>
        <item x="111"/>
        <item x="100"/>
        <item x="128"/>
        <item x="366"/>
        <item x="342"/>
        <item x="177"/>
        <item x="204"/>
        <item x="17"/>
        <item x="174"/>
        <item x="289"/>
        <item x="364"/>
        <item x="328"/>
        <item x="89"/>
        <item x="24"/>
        <item x="126"/>
        <item x="239"/>
        <item x="287"/>
        <item x="181"/>
        <item x="194"/>
        <item x="191"/>
        <item x="31"/>
        <item x="66"/>
        <item x="348"/>
        <item x="211"/>
        <item x="118"/>
        <item x="54"/>
        <item x="97"/>
        <item x="267"/>
        <item x="320"/>
        <item x="304"/>
        <item x="224"/>
        <item x="198"/>
        <item x="39"/>
        <item x="58"/>
        <item x="356"/>
        <item x="68"/>
        <item x="61"/>
        <item x="305"/>
        <item x="257"/>
        <item x="386"/>
        <item x="234"/>
        <item x="137"/>
        <item x="71"/>
        <item x="212"/>
        <item x="255"/>
        <item x="313"/>
        <item x="200"/>
        <item x="292"/>
        <item x="76"/>
        <item x="246"/>
        <item x="53"/>
        <item x="98"/>
        <item x="333"/>
        <item x="10"/>
        <item x="230"/>
        <item x="335"/>
        <item x="133"/>
        <item x="336"/>
        <item x="145"/>
        <item x="319"/>
        <item x="330"/>
        <item x="47"/>
        <item x="327"/>
        <item x="113"/>
        <item x="214"/>
        <item x="140"/>
        <item x="72"/>
        <item x="206"/>
        <item x="184"/>
        <item x="119"/>
        <item x="78"/>
        <item x="365"/>
        <item x="262"/>
        <item x="314"/>
        <item x="279"/>
        <item x="232"/>
        <item x="382"/>
        <item x="37"/>
        <item x="384"/>
        <item x="40"/>
        <item x="225"/>
        <item x="117"/>
        <item x="79"/>
        <item x="175"/>
        <item x="21"/>
        <item x="99"/>
        <item x="189"/>
        <item x="331"/>
        <item x="129"/>
        <item x="156"/>
        <item x="217"/>
        <item x="362"/>
        <item x="4"/>
        <item x="378"/>
        <item x="147"/>
        <item x="195"/>
        <item x="318"/>
        <item x="256"/>
        <item x="94"/>
        <item x="251"/>
        <item x="105"/>
        <item x="325"/>
        <item x="38"/>
        <item x="339"/>
        <item x="124"/>
        <item x="207"/>
        <item x="294"/>
        <item x="125"/>
        <item x="329"/>
        <item x="247"/>
        <item x="82"/>
        <item x="323"/>
        <item x="179"/>
        <item x="65"/>
        <item x="321"/>
        <item x="332"/>
        <item x="296"/>
        <item x="345"/>
        <item x="360"/>
        <item x="56"/>
        <item x="343"/>
        <item x="80"/>
        <item x="50"/>
        <item x="213"/>
        <item x="235"/>
        <item x="272"/>
        <item x="121"/>
        <item x="178"/>
        <item x="209"/>
        <item x="49"/>
        <item x="169"/>
        <item x="158"/>
        <item x="0"/>
        <item x="340"/>
        <item x="16"/>
        <item x="208"/>
        <item x="27"/>
        <item x="14"/>
        <item x="172"/>
        <item x="109"/>
        <item x="220"/>
        <item x="363"/>
        <item x="192"/>
        <item x="301"/>
        <item x="237"/>
        <item x="55"/>
        <item x="297"/>
        <item x="280"/>
        <item x="188"/>
        <item x="300"/>
        <item x="227"/>
        <item x="7"/>
        <item x="307"/>
        <item x="75"/>
        <item x="120"/>
        <item x="281"/>
        <item x="261"/>
        <item x="202"/>
        <item x="350"/>
        <item x="271"/>
        <item x="245"/>
        <item x="103"/>
        <item x="32"/>
        <item x="91"/>
        <item x="236"/>
        <item x="20"/>
        <item x="144"/>
        <item x="284"/>
        <item x="150"/>
        <item x="229"/>
        <item x="151"/>
        <item x="371"/>
        <item x="203"/>
        <item x="383"/>
        <item x="15"/>
        <item x="18"/>
        <item x="136"/>
        <item x="135"/>
        <item x="283"/>
        <item x="67"/>
        <item x="161"/>
        <item x="344"/>
        <item x="6"/>
        <item x="288"/>
        <item x="290"/>
        <item x="377"/>
        <item x="143"/>
        <item x="210"/>
        <item x="33"/>
        <item x="249"/>
        <item x="108"/>
        <item x="347"/>
        <item x="85"/>
        <item x="62"/>
        <item x="259"/>
        <item x="2"/>
        <item x="238"/>
        <item x="353"/>
        <item x="88"/>
        <item x="104"/>
        <item x="268"/>
        <item x="34"/>
        <item x="122"/>
        <item x="52"/>
        <item x="311"/>
        <item x="176"/>
        <item x="70"/>
        <item x="187"/>
        <item x="205"/>
        <item x="242"/>
        <item x="361"/>
        <item x="183"/>
        <item x="222"/>
        <item x="167"/>
        <item x="269"/>
        <item x="193"/>
        <item x="199"/>
        <item x="324"/>
        <item x="243"/>
        <item x="107"/>
        <item x="218"/>
        <item x="252"/>
        <item x="315"/>
        <item x="310"/>
        <item x="69"/>
        <item x="351"/>
        <item x="226"/>
        <item x="349"/>
        <item x="87"/>
        <item x="28"/>
        <item x="223"/>
        <item x="112"/>
        <item x="376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9" showAll="0"/>
    <pivotField showAll="0">
      <items count="4">
        <item x="1"/>
        <item x="0"/>
        <item x="2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Tržba" fld="13" baseField="0" baseItem="0" numFmtId="164"/>
  </dataFields>
  <formats count="22">
    <format dxfId="203">
      <pivotArea type="all" dataOnly="0" outline="0" fieldPosition="0"/>
    </format>
    <format dxfId="202">
      <pivotArea outline="0" collapsedLevelsAreSubtotals="1" fieldPosition="0"/>
    </format>
    <format dxfId="201">
      <pivotArea field="19" type="button" dataOnly="0" labelOnly="1" outline="0"/>
    </format>
    <format dxfId="200">
      <pivotArea dataOnly="0" labelOnly="1" grandRow="1" outline="0" fieldPosition="0"/>
    </format>
    <format dxfId="199">
      <pivotArea dataOnly="0" labelOnly="1" outline="0" axis="axisValues" fieldPosition="0"/>
    </format>
    <format dxfId="198">
      <pivotArea type="all" dataOnly="0" outline="0" fieldPosition="0"/>
    </format>
    <format dxfId="197">
      <pivotArea outline="0" collapsedLevelsAreSubtotals="1" fieldPosition="0"/>
    </format>
    <format dxfId="196">
      <pivotArea dataOnly="0" labelOnly="1" outline="0" axis="axisValues" fieldPosition="0"/>
    </format>
    <format dxfId="195">
      <pivotArea type="all" dataOnly="0" outline="0" fieldPosition="0"/>
    </format>
    <format dxfId="194">
      <pivotArea dataOnly="0" labelOnly="1" outline="0" axis="axisValues" fieldPosition="0"/>
    </format>
    <format dxfId="193">
      <pivotArea dataOnly="0" labelOnly="1" outline="0" axis="axisValues" fieldPosition="0"/>
    </format>
    <format dxfId="192">
      <pivotArea outline="0" collapsedLevelsAreSubtotals="1" fieldPosition="0"/>
    </format>
    <format dxfId="191">
      <pivotArea outline="0" collapsedLevelsAreSubtotals="1" fieldPosition="0"/>
    </format>
    <format dxfId="190">
      <pivotArea type="all" dataOnly="0" outline="0" fieldPosition="0"/>
    </format>
    <format dxfId="189">
      <pivotArea outline="0" collapsedLevelsAreSubtotals="1" fieldPosition="0"/>
    </format>
    <format dxfId="188">
      <pivotArea dataOnly="0" labelOnly="1" outline="0" axis="axisValues" fieldPosition="0"/>
    </format>
    <format dxfId="187">
      <pivotArea type="all" dataOnly="0" outline="0" fieldPosition="0"/>
    </format>
    <format dxfId="186">
      <pivotArea outline="0" collapsedLevelsAreSubtotals="1" fieldPosition="0"/>
    </format>
    <format dxfId="185">
      <pivotArea dataOnly="0" labelOnly="1" outline="0" axis="axisValues" fieldPosition="0"/>
    </format>
    <format dxfId="184">
      <pivotArea outline="0" collapsedLevelsAreSubtotals="1" fieldPosition="0"/>
    </format>
    <format dxfId="183">
      <pivotArea outline="0" collapsedLevelsAreSubtotals="1" fieldPosition="0"/>
    </format>
    <format dxfId="182">
      <pivotArea outline="0" collapsedLevelsAreSubtotals="1" fieldPosition="0"/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3CA4B4-BCAF-474F-A31B-B7F6A54E1F73}" name="Kontingenčná tabuľka6" cacheId="3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30">
  <location ref="I78:K82" firstHeaderRow="0" firstDataRow="1" firstDataCol="1"/>
  <pivotFields count="4">
    <pivotField showAll="0" measureFilter="1" sortType="descending">
      <items count="33">
        <item x="24"/>
        <item x="8"/>
        <item x="6"/>
        <item x="18"/>
        <item x="1"/>
        <item x="11"/>
        <item x="10"/>
        <item x="25"/>
        <item x="23"/>
        <item x="26"/>
        <item x="15"/>
        <item x="4"/>
        <item x="21"/>
        <item x="0"/>
        <item x="16"/>
        <item x="28"/>
        <item x="31"/>
        <item x="19"/>
        <item x="29"/>
        <item x="12"/>
        <item x="7"/>
        <item x="17"/>
        <item x="20"/>
        <item x="30"/>
        <item x="13"/>
        <item x="2"/>
        <item x="27"/>
        <item x="9"/>
        <item x="14"/>
        <item x="3"/>
        <item x="2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5" showAll="0"/>
    <pivotField numFmtId="9" showAll="0"/>
    <pivotField axis="axisRow" showAll="0">
      <items count="4">
        <item x="0"/>
        <item x="1"/>
        <item x="2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účet z Trzba" fld="1" baseField="0" baseItem="0" numFmtId="165"/>
    <dataField name="Kumulativny_podiel_%" fld="1" showDataAs="percentOfTotal" baseField="0" baseItem="0" numFmtId="10"/>
  </dataFields>
  <chartFormats count="22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7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7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7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" format="7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27" format="8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27" format="9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2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8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8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8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" format="15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28" format="16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28" format="17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</chartFormats>
  <pivotTableStyleInfo name="PivotStyleLight21" showRowHeaders="1" showColHeaders="1" showRowStripes="0" showColStripes="0" showLastColumn="1"/>
  <filters count="1">
    <filter fld="0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A1AA83-82CB-473F-87CE-133CA2B04A48}" name="Kontingenčná tabuľka5" cacheId="8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9">
  <location ref="A127:C158" firstHeaderRow="0" firstDataRow="1" firstDataCol="1"/>
  <pivotFields count="4">
    <pivotField axis="axisRow" showAll="0" measureFilter="1" sortType="descending">
      <items count="33">
        <item x="24"/>
        <item x="7"/>
        <item x="6"/>
        <item x="19"/>
        <item x="1"/>
        <item x="10"/>
        <item x="11"/>
        <item x="25"/>
        <item x="23"/>
        <item x="26"/>
        <item x="17"/>
        <item x="5"/>
        <item x="22"/>
        <item x="0"/>
        <item x="16"/>
        <item x="28"/>
        <item x="30"/>
        <item x="15"/>
        <item x="29"/>
        <item x="13"/>
        <item x="9"/>
        <item x="14"/>
        <item x="20"/>
        <item x="31"/>
        <item x="18"/>
        <item x="2"/>
        <item x="27"/>
        <item x="8"/>
        <item x="12"/>
        <item x="3"/>
        <item x="2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7" showAll="0"/>
    <pivotField numFmtId="9" showAll="0"/>
    <pivotField axis="axisRow"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0"/>
    <field x="3"/>
  </rowFields>
  <rowItems count="31">
    <i>
      <x v="13"/>
    </i>
    <i r="1">
      <x/>
    </i>
    <i>
      <x v="4"/>
    </i>
    <i r="1">
      <x/>
    </i>
    <i>
      <x v="25"/>
    </i>
    <i r="1">
      <x/>
    </i>
    <i>
      <x v="29"/>
    </i>
    <i r="1">
      <x/>
    </i>
    <i>
      <x v="31"/>
    </i>
    <i r="1">
      <x/>
    </i>
    <i>
      <x v="11"/>
    </i>
    <i r="1">
      <x/>
    </i>
    <i>
      <x v="2"/>
    </i>
    <i r="1">
      <x/>
    </i>
    <i>
      <x v="1"/>
    </i>
    <i r="1">
      <x/>
    </i>
    <i>
      <x v="27"/>
    </i>
    <i r="1">
      <x/>
    </i>
    <i>
      <x v="20"/>
    </i>
    <i r="1">
      <x v="1"/>
    </i>
    <i>
      <x v="5"/>
    </i>
    <i r="1">
      <x v="1"/>
    </i>
    <i>
      <x v="6"/>
    </i>
    <i r="1">
      <x v="1"/>
    </i>
    <i>
      <x v="28"/>
    </i>
    <i r="1">
      <x v="1"/>
    </i>
    <i>
      <x v="19"/>
    </i>
    <i r="1">
      <x v="1"/>
    </i>
    <i>
      <x v="21"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účet z Zisk" fld="1" baseField="0" baseItem="0" numFmtId="167"/>
    <dataField name="Kumulativny_podiel_%" fld="1" showDataAs="percentOfTotal" baseField="0" baseItem="0" numFmtId="10"/>
  </dataFields>
  <chartFormats count="2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7" showRowHeaders="1" showColHeaders="1" showRowStripes="0" showColStripes="0" showLastColumn="1"/>
  <filters count="1">
    <filter fld="0" type="count" evalOrder="-1" id="1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D374FF-9441-46ED-A249-46A3B190D29A}" name="Produkty_abc_trzby" cacheId="3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25">
  <location ref="E78:G99" firstHeaderRow="0" firstDataRow="1" firstDataCol="1"/>
  <pivotFields count="4">
    <pivotField axis="axisRow" showAll="0" measureFilter="1" sortType="descending">
      <items count="33">
        <item x="24"/>
        <item x="8"/>
        <item x="6"/>
        <item x="18"/>
        <item x="1"/>
        <item x="11"/>
        <item x="10"/>
        <item x="25"/>
        <item x="23"/>
        <item x="26"/>
        <item x="15"/>
        <item x="4"/>
        <item x="21"/>
        <item x="0"/>
        <item x="16"/>
        <item x="28"/>
        <item x="31"/>
        <item x="19"/>
        <item x="29"/>
        <item x="12"/>
        <item x="7"/>
        <item x="17"/>
        <item x="20"/>
        <item x="30"/>
        <item x="13"/>
        <item x="2"/>
        <item x="27"/>
        <item x="9"/>
        <item x="14"/>
        <item x="3"/>
        <item x="2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5" showAll="0"/>
    <pivotField numFmtId="9" showAll="0"/>
    <pivotField axis="axisRow" showAll="0">
      <items count="4">
        <item x="0"/>
        <item x="1"/>
        <item x="2"/>
        <item t="default"/>
      </items>
    </pivotField>
  </pivotFields>
  <rowFields count="2">
    <field x="0"/>
    <field x="3"/>
  </rowFields>
  <rowItems count="21">
    <i>
      <x v="13"/>
    </i>
    <i r="1">
      <x/>
    </i>
    <i>
      <x v="4"/>
    </i>
    <i r="1">
      <x/>
    </i>
    <i>
      <x v="25"/>
    </i>
    <i r="1">
      <x/>
    </i>
    <i>
      <x v="29"/>
    </i>
    <i r="1">
      <x/>
    </i>
    <i>
      <x v="11"/>
    </i>
    <i r="1">
      <x/>
    </i>
    <i>
      <x v="31"/>
    </i>
    <i r="1">
      <x/>
    </i>
    <i>
      <x v="2"/>
    </i>
    <i r="1">
      <x/>
    </i>
    <i>
      <x v="20"/>
    </i>
    <i r="1">
      <x/>
    </i>
    <i>
      <x v="1"/>
    </i>
    <i r="1">
      <x/>
    </i>
    <i>
      <x v="27"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účet z Trzba" fld="1" baseField="0" baseItem="0" numFmtId="165"/>
    <dataField name="Kumulativny_podiel_%" fld="1" showDataAs="percentOfTotal" baseField="0" baseItem="0" numFmtId="10"/>
  </dataFields>
  <chartFormats count="2">
    <chartFormat chart="2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21" showRowHeaders="1" showColHeaders="1" showRowStripes="0" showColStripes="0" showLastColumn="1"/>
  <filters count="1">
    <filter fld="0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219A3D-8112-4473-939D-9EB9CFCE699A}" name="Kontingenčná tabuľka1" cacheId="0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20">
  <location ref="A95:C122" firstHeaderRow="0" firstDataRow="1" firstDataCol="1"/>
  <pivotFields count="25">
    <pivotField numFmtId="14" showAll="0">
      <items count="388">
        <item x="114"/>
        <item x="41"/>
        <item x="275"/>
        <item x="197"/>
        <item x="273"/>
        <item x="274"/>
        <item x="316"/>
        <item x="13"/>
        <item x="168"/>
        <item x="74"/>
        <item x="23"/>
        <item x="260"/>
        <item x="77"/>
        <item x="25"/>
        <item x="291"/>
        <item x="73"/>
        <item x="374"/>
        <item x="93"/>
        <item x="322"/>
        <item x="306"/>
        <item x="164"/>
        <item x="162"/>
        <item x="146"/>
        <item x="154"/>
        <item x="253"/>
        <item x="153"/>
        <item x="86"/>
        <item x="254"/>
        <item x="240"/>
        <item x="64"/>
        <item x="182"/>
        <item x="1"/>
        <item x="83"/>
        <item x="228"/>
        <item x="139"/>
        <item x="186"/>
        <item x="326"/>
        <item x="36"/>
        <item x="155"/>
        <item x="277"/>
        <item x="354"/>
        <item x="270"/>
        <item x="157"/>
        <item x="9"/>
        <item x="263"/>
        <item x="293"/>
        <item x="142"/>
        <item x="131"/>
        <item x="201"/>
        <item x="127"/>
        <item x="265"/>
        <item x="358"/>
        <item x="372"/>
        <item x="185"/>
        <item x="173"/>
        <item x="106"/>
        <item x="216"/>
        <item x="81"/>
        <item x="26"/>
        <item x="130"/>
        <item x="63"/>
        <item x="286"/>
        <item x="180"/>
        <item x="299"/>
        <item x="355"/>
        <item x="30"/>
        <item x="380"/>
        <item x="334"/>
        <item x="159"/>
        <item x="264"/>
        <item x="59"/>
        <item x="278"/>
        <item x="241"/>
        <item x="134"/>
        <item x="367"/>
        <item x="8"/>
        <item x="317"/>
        <item x="170"/>
        <item x="312"/>
        <item x="215"/>
        <item x="101"/>
        <item x="171"/>
        <item x="370"/>
        <item x="341"/>
        <item x="123"/>
        <item x="266"/>
        <item x="48"/>
        <item x="42"/>
        <item x="190"/>
        <item x="5"/>
        <item x="346"/>
        <item x="51"/>
        <item x="84"/>
        <item x="3"/>
        <item x="375"/>
        <item x="29"/>
        <item x="115"/>
        <item x="276"/>
        <item x="381"/>
        <item x="359"/>
        <item x="233"/>
        <item x="368"/>
        <item x="152"/>
        <item x="19"/>
        <item x="221"/>
        <item x="11"/>
        <item x="244"/>
        <item x="248"/>
        <item x="160"/>
        <item x="352"/>
        <item x="303"/>
        <item x="149"/>
        <item x="308"/>
        <item x="12"/>
        <item x="132"/>
        <item x="116"/>
        <item x="45"/>
        <item x="295"/>
        <item x="163"/>
        <item x="258"/>
        <item x="95"/>
        <item x="231"/>
        <item x="338"/>
        <item x="196"/>
        <item x="46"/>
        <item x="298"/>
        <item x="92"/>
        <item x="57"/>
        <item x="369"/>
        <item x="385"/>
        <item x="285"/>
        <item x="373"/>
        <item x="102"/>
        <item x="165"/>
        <item x="379"/>
        <item x="60"/>
        <item x="138"/>
        <item x="22"/>
        <item x="219"/>
        <item x="166"/>
        <item x="282"/>
        <item x="148"/>
        <item x="43"/>
        <item x="44"/>
        <item x="337"/>
        <item x="90"/>
        <item x="96"/>
        <item x="309"/>
        <item x="357"/>
        <item x="250"/>
        <item x="141"/>
        <item x="35"/>
        <item x="302"/>
        <item x="110"/>
        <item x="111"/>
        <item x="100"/>
        <item x="128"/>
        <item x="366"/>
        <item x="342"/>
        <item x="177"/>
        <item x="204"/>
        <item x="17"/>
        <item x="174"/>
        <item x="289"/>
        <item x="364"/>
        <item x="328"/>
        <item x="89"/>
        <item x="24"/>
        <item x="126"/>
        <item x="239"/>
        <item x="287"/>
        <item x="181"/>
        <item x="194"/>
        <item x="191"/>
        <item x="31"/>
        <item x="66"/>
        <item x="348"/>
        <item x="211"/>
        <item x="118"/>
        <item x="54"/>
        <item x="97"/>
        <item x="267"/>
        <item x="320"/>
        <item x="304"/>
        <item x="224"/>
        <item x="198"/>
        <item x="39"/>
        <item x="58"/>
        <item x="356"/>
        <item x="68"/>
        <item x="61"/>
        <item x="305"/>
        <item x="257"/>
        <item x="386"/>
        <item x="234"/>
        <item x="137"/>
        <item x="71"/>
        <item x="212"/>
        <item x="255"/>
        <item x="313"/>
        <item x="200"/>
        <item x="292"/>
        <item x="76"/>
        <item x="246"/>
        <item x="53"/>
        <item x="98"/>
        <item x="333"/>
        <item x="10"/>
        <item x="230"/>
        <item x="335"/>
        <item x="133"/>
        <item x="336"/>
        <item x="145"/>
        <item x="319"/>
        <item x="330"/>
        <item x="47"/>
        <item x="327"/>
        <item x="113"/>
        <item x="214"/>
        <item x="140"/>
        <item x="72"/>
        <item x="206"/>
        <item x="184"/>
        <item x="119"/>
        <item x="78"/>
        <item x="365"/>
        <item x="262"/>
        <item x="314"/>
        <item x="279"/>
        <item x="232"/>
        <item x="382"/>
        <item x="37"/>
        <item x="384"/>
        <item x="40"/>
        <item x="225"/>
        <item x="117"/>
        <item x="79"/>
        <item x="175"/>
        <item x="21"/>
        <item x="99"/>
        <item x="189"/>
        <item x="331"/>
        <item x="129"/>
        <item x="156"/>
        <item x="217"/>
        <item x="362"/>
        <item x="4"/>
        <item x="378"/>
        <item x="147"/>
        <item x="195"/>
        <item x="318"/>
        <item x="256"/>
        <item x="94"/>
        <item x="251"/>
        <item x="105"/>
        <item x="325"/>
        <item x="38"/>
        <item x="339"/>
        <item x="124"/>
        <item x="207"/>
        <item x="294"/>
        <item x="125"/>
        <item x="329"/>
        <item x="247"/>
        <item x="82"/>
        <item x="323"/>
        <item x="179"/>
        <item x="65"/>
        <item x="321"/>
        <item x="332"/>
        <item x="296"/>
        <item x="345"/>
        <item x="360"/>
        <item x="56"/>
        <item x="343"/>
        <item x="80"/>
        <item x="50"/>
        <item x="213"/>
        <item x="235"/>
        <item x="272"/>
        <item x="121"/>
        <item x="178"/>
        <item x="209"/>
        <item x="49"/>
        <item x="169"/>
        <item x="158"/>
        <item x="0"/>
        <item x="340"/>
        <item x="16"/>
        <item x="208"/>
        <item x="27"/>
        <item x="14"/>
        <item x="172"/>
        <item x="109"/>
        <item x="220"/>
        <item x="363"/>
        <item x="192"/>
        <item x="301"/>
        <item x="237"/>
        <item x="55"/>
        <item x="297"/>
        <item x="280"/>
        <item x="188"/>
        <item x="300"/>
        <item x="227"/>
        <item x="7"/>
        <item x="307"/>
        <item x="75"/>
        <item x="120"/>
        <item x="281"/>
        <item x="261"/>
        <item x="202"/>
        <item x="350"/>
        <item x="271"/>
        <item x="245"/>
        <item x="103"/>
        <item x="32"/>
        <item x="91"/>
        <item x="236"/>
        <item x="20"/>
        <item x="144"/>
        <item x="284"/>
        <item x="150"/>
        <item x="229"/>
        <item x="151"/>
        <item x="371"/>
        <item x="203"/>
        <item x="383"/>
        <item x="15"/>
        <item x="18"/>
        <item x="136"/>
        <item x="135"/>
        <item x="283"/>
        <item x="67"/>
        <item x="161"/>
        <item x="344"/>
        <item x="6"/>
        <item x="288"/>
        <item x="290"/>
        <item x="377"/>
        <item x="143"/>
        <item x="210"/>
        <item x="33"/>
        <item x="249"/>
        <item x="108"/>
        <item x="347"/>
        <item x="85"/>
        <item x="62"/>
        <item x="259"/>
        <item x="2"/>
        <item x="238"/>
        <item x="353"/>
        <item x="88"/>
        <item x="104"/>
        <item x="268"/>
        <item x="34"/>
        <item x="122"/>
        <item x="52"/>
        <item x="311"/>
        <item x="176"/>
        <item x="70"/>
        <item x="187"/>
        <item x="205"/>
        <item x="242"/>
        <item x="361"/>
        <item x="183"/>
        <item x="222"/>
        <item x="167"/>
        <item x="269"/>
        <item x="193"/>
        <item x="199"/>
        <item x="324"/>
        <item x="243"/>
        <item x="107"/>
        <item x="218"/>
        <item x="252"/>
        <item x="315"/>
        <item x="310"/>
        <item x="69"/>
        <item x="351"/>
        <item x="226"/>
        <item x="349"/>
        <item x="87"/>
        <item x="28"/>
        <item x="223"/>
        <item x="112"/>
        <item x="376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9" showAll="0"/>
    <pivotField dataField="1" showAll="0">
      <items count="4">
        <item x="1"/>
        <item x="0"/>
        <item x="2"/>
        <item t="default"/>
      </items>
    </pivotField>
    <pivotField axis="axisRow" showAll="0">
      <items count="13">
        <item x="8"/>
        <item x="4"/>
        <item x="1"/>
        <item x="6"/>
        <item x="11"/>
        <item x="10"/>
        <item x="3"/>
        <item x="2"/>
        <item x="7"/>
        <item x="0"/>
        <item x="9"/>
        <item x="5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3"/>
    <field x="18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účet z Trzba" fld="13" baseField="0" baseItem="0"/>
    <dataField name="Súčet z Rok" fld="17" baseField="0" baseItem="0"/>
  </dataFields>
  <formats count="8">
    <format dxfId="0">
      <pivotArea type="all" dataOnly="0" outline="0" fieldPosition="0"/>
    </format>
    <format dxfId="1">
      <pivotArea outline="0" collapsedLevelsAreSubtotals="1" fieldPosition="0"/>
    </format>
    <format dxfId="2">
      <pivotArea field="19" type="button" dataOnly="0" labelOnly="1" outline="0"/>
    </format>
    <format dxfId="3">
      <pivotArea dataOnly="0" labelOnly="1" grandRow="1" outline="0" fieldPosition="0"/>
    </format>
    <format dxfId="4">
      <pivotArea dataOnly="0" labelOnly="1" outline="0" axis="axisValues" fieldPosition="0"/>
    </format>
    <format dxfId="5">
      <pivotArea dataOnly="0" labelOnly="1" grandRow="1" outline="0" fieldPosition="0"/>
    </format>
    <format dxfId="6">
      <pivotArea grandRow="1" outline="0" collapsedLevelsAreSubtotals="1" fieldPosition="0"/>
    </format>
    <format dxfId="7">
      <pivotArea collapsedLevelsAreSubtotals="1" fieldPosition="0">
        <references count="1">
          <reference field="3" count="0"/>
        </references>
      </pivotArea>
    </format>
  </formats>
  <chartFormats count="9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9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9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1E1F00-C365-43EB-8E1F-BFF7B9B66940}" name="Trzba_segment" cacheId="0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20">
  <location ref="A7:B10" firstHeaderRow="1" firstDataRow="1" firstDataCol="1"/>
  <pivotFields count="25">
    <pivotField numFmtId="14" showAll="0">
      <items count="388">
        <item x="114"/>
        <item x="41"/>
        <item x="275"/>
        <item x="197"/>
        <item x="273"/>
        <item x="274"/>
        <item x="316"/>
        <item x="13"/>
        <item x="168"/>
        <item x="74"/>
        <item x="23"/>
        <item x="260"/>
        <item x="77"/>
        <item x="25"/>
        <item x="291"/>
        <item x="73"/>
        <item x="374"/>
        <item x="93"/>
        <item x="322"/>
        <item x="306"/>
        <item x="164"/>
        <item x="162"/>
        <item x="146"/>
        <item x="154"/>
        <item x="253"/>
        <item x="153"/>
        <item x="86"/>
        <item x="254"/>
        <item x="240"/>
        <item x="64"/>
        <item x="182"/>
        <item x="1"/>
        <item x="83"/>
        <item x="228"/>
        <item x="139"/>
        <item x="186"/>
        <item x="326"/>
        <item x="36"/>
        <item x="155"/>
        <item x="277"/>
        <item x="354"/>
        <item x="270"/>
        <item x="157"/>
        <item x="9"/>
        <item x="263"/>
        <item x="293"/>
        <item x="142"/>
        <item x="131"/>
        <item x="201"/>
        <item x="127"/>
        <item x="265"/>
        <item x="358"/>
        <item x="372"/>
        <item x="185"/>
        <item x="173"/>
        <item x="106"/>
        <item x="216"/>
        <item x="81"/>
        <item x="26"/>
        <item x="130"/>
        <item x="63"/>
        <item x="286"/>
        <item x="180"/>
        <item x="299"/>
        <item x="355"/>
        <item x="30"/>
        <item x="380"/>
        <item x="334"/>
        <item x="159"/>
        <item x="264"/>
        <item x="59"/>
        <item x="278"/>
        <item x="241"/>
        <item x="134"/>
        <item x="367"/>
        <item x="8"/>
        <item x="317"/>
        <item x="170"/>
        <item x="312"/>
        <item x="215"/>
        <item x="101"/>
        <item x="171"/>
        <item x="370"/>
        <item x="341"/>
        <item x="123"/>
        <item x="266"/>
        <item x="48"/>
        <item x="42"/>
        <item x="190"/>
        <item x="5"/>
        <item x="346"/>
        <item x="51"/>
        <item x="84"/>
        <item x="3"/>
        <item x="375"/>
        <item x="29"/>
        <item x="115"/>
        <item x="276"/>
        <item x="381"/>
        <item x="359"/>
        <item x="233"/>
        <item x="368"/>
        <item x="152"/>
        <item x="19"/>
        <item x="221"/>
        <item x="11"/>
        <item x="244"/>
        <item x="248"/>
        <item x="160"/>
        <item x="352"/>
        <item x="303"/>
        <item x="149"/>
        <item x="308"/>
        <item x="12"/>
        <item x="132"/>
        <item x="116"/>
        <item x="45"/>
        <item x="295"/>
        <item x="163"/>
        <item x="258"/>
        <item x="95"/>
        <item x="231"/>
        <item x="338"/>
        <item x="196"/>
        <item x="46"/>
        <item x="298"/>
        <item x="92"/>
        <item x="57"/>
        <item x="369"/>
        <item x="385"/>
        <item x="285"/>
        <item x="373"/>
        <item x="102"/>
        <item x="165"/>
        <item x="379"/>
        <item x="60"/>
        <item x="138"/>
        <item x="22"/>
        <item x="219"/>
        <item x="166"/>
        <item x="282"/>
        <item x="148"/>
        <item x="43"/>
        <item x="44"/>
        <item x="337"/>
        <item x="90"/>
        <item x="96"/>
        <item x="309"/>
        <item x="357"/>
        <item x="250"/>
        <item x="141"/>
        <item x="35"/>
        <item x="302"/>
        <item x="110"/>
        <item x="111"/>
        <item x="100"/>
        <item x="128"/>
        <item x="366"/>
        <item x="342"/>
        <item x="177"/>
        <item x="204"/>
        <item x="17"/>
        <item x="174"/>
        <item x="289"/>
        <item x="364"/>
        <item x="328"/>
        <item x="89"/>
        <item x="24"/>
        <item x="126"/>
        <item x="239"/>
        <item x="287"/>
        <item x="181"/>
        <item x="194"/>
        <item x="191"/>
        <item x="31"/>
        <item x="66"/>
        <item x="348"/>
        <item x="211"/>
        <item x="118"/>
        <item x="54"/>
        <item x="97"/>
        <item x="267"/>
        <item x="320"/>
        <item x="304"/>
        <item x="224"/>
        <item x="198"/>
        <item x="39"/>
        <item x="58"/>
        <item x="356"/>
        <item x="68"/>
        <item x="61"/>
        <item x="305"/>
        <item x="257"/>
        <item x="386"/>
        <item x="234"/>
        <item x="137"/>
        <item x="71"/>
        <item x="212"/>
        <item x="255"/>
        <item x="313"/>
        <item x="200"/>
        <item x="292"/>
        <item x="76"/>
        <item x="246"/>
        <item x="53"/>
        <item x="98"/>
        <item x="333"/>
        <item x="10"/>
        <item x="230"/>
        <item x="335"/>
        <item x="133"/>
        <item x="336"/>
        <item x="145"/>
        <item x="319"/>
        <item x="330"/>
        <item x="47"/>
        <item x="327"/>
        <item x="113"/>
        <item x="214"/>
        <item x="140"/>
        <item x="72"/>
        <item x="206"/>
        <item x="184"/>
        <item x="119"/>
        <item x="78"/>
        <item x="365"/>
        <item x="262"/>
        <item x="314"/>
        <item x="279"/>
        <item x="232"/>
        <item x="382"/>
        <item x="37"/>
        <item x="384"/>
        <item x="40"/>
        <item x="225"/>
        <item x="117"/>
        <item x="79"/>
        <item x="175"/>
        <item x="21"/>
        <item x="99"/>
        <item x="189"/>
        <item x="331"/>
        <item x="129"/>
        <item x="156"/>
        <item x="217"/>
        <item x="362"/>
        <item x="4"/>
        <item x="378"/>
        <item x="147"/>
        <item x="195"/>
        <item x="318"/>
        <item x="256"/>
        <item x="94"/>
        <item x="251"/>
        <item x="105"/>
        <item x="325"/>
        <item x="38"/>
        <item x="339"/>
        <item x="124"/>
        <item x="207"/>
        <item x="294"/>
        <item x="125"/>
        <item x="329"/>
        <item x="247"/>
        <item x="82"/>
        <item x="323"/>
        <item x="179"/>
        <item x="65"/>
        <item x="321"/>
        <item x="332"/>
        <item x="296"/>
        <item x="345"/>
        <item x="360"/>
        <item x="56"/>
        <item x="343"/>
        <item x="80"/>
        <item x="50"/>
        <item x="213"/>
        <item x="235"/>
        <item x="272"/>
        <item x="121"/>
        <item x="178"/>
        <item x="209"/>
        <item x="49"/>
        <item x="169"/>
        <item x="158"/>
        <item x="0"/>
        <item x="340"/>
        <item x="16"/>
        <item x="208"/>
        <item x="27"/>
        <item x="14"/>
        <item x="172"/>
        <item x="109"/>
        <item x="220"/>
        <item x="363"/>
        <item x="192"/>
        <item x="301"/>
        <item x="237"/>
        <item x="55"/>
        <item x="297"/>
        <item x="280"/>
        <item x="188"/>
        <item x="300"/>
        <item x="227"/>
        <item x="7"/>
        <item x="307"/>
        <item x="75"/>
        <item x="120"/>
        <item x="281"/>
        <item x="261"/>
        <item x="202"/>
        <item x="350"/>
        <item x="271"/>
        <item x="245"/>
        <item x="103"/>
        <item x="32"/>
        <item x="91"/>
        <item x="236"/>
        <item x="20"/>
        <item x="144"/>
        <item x="284"/>
        <item x="150"/>
        <item x="229"/>
        <item x="151"/>
        <item x="371"/>
        <item x="203"/>
        <item x="383"/>
        <item x="15"/>
        <item x="18"/>
        <item x="136"/>
        <item x="135"/>
        <item x="283"/>
        <item x="67"/>
        <item x="161"/>
        <item x="344"/>
        <item x="6"/>
        <item x="288"/>
        <item x="290"/>
        <item x="377"/>
        <item x="143"/>
        <item x="210"/>
        <item x="33"/>
        <item x="249"/>
        <item x="108"/>
        <item x="347"/>
        <item x="85"/>
        <item x="62"/>
        <item x="259"/>
        <item x="2"/>
        <item x="238"/>
        <item x="353"/>
        <item x="88"/>
        <item x="104"/>
        <item x="268"/>
        <item x="34"/>
        <item x="122"/>
        <item x="52"/>
        <item x="311"/>
        <item x="176"/>
        <item x="70"/>
        <item x="187"/>
        <item x="205"/>
        <item x="242"/>
        <item x="361"/>
        <item x="183"/>
        <item x="222"/>
        <item x="167"/>
        <item x="269"/>
        <item x="193"/>
        <item x="199"/>
        <item x="324"/>
        <item x="243"/>
        <item x="107"/>
        <item x="218"/>
        <item x="252"/>
        <item x="315"/>
        <item x="310"/>
        <item x="69"/>
        <item x="351"/>
        <item x="226"/>
        <item x="349"/>
        <item x="87"/>
        <item x="28"/>
        <item x="223"/>
        <item x="112"/>
        <item x="376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9" showAll="0"/>
    <pivotField showAll="0">
      <items count="4">
        <item x="1"/>
        <item x="0"/>
        <item x="2"/>
        <item t="default"/>
      </items>
    </pivotField>
    <pivotField showAll="0">
      <items count="13">
        <item x="8"/>
        <item x="4"/>
        <item x="1"/>
        <item x="6"/>
        <item x="11"/>
        <item x="10"/>
        <item x="3"/>
        <item x="2"/>
        <item x="7"/>
        <item x="0"/>
        <item x="9"/>
        <item x="5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účet z Trzba" fld="13" baseField="0" baseItem="0"/>
  </dataFields>
  <formats count="8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19" type="button" dataOnly="0" labelOnly="1" outline="0"/>
    </format>
    <format dxfId="12">
      <pivotArea dataOnly="0" labelOnly="1" grandRow="1" outline="0" fieldPosition="0"/>
    </format>
    <format dxfId="11">
      <pivotArea dataOnly="0" labelOnly="1" outline="0" axis="axisValues" fieldPosition="0"/>
    </format>
    <format dxfId="10">
      <pivotArea dataOnly="0" labelOnly="1" grandRow="1" outline="0" fieldPosition="0"/>
    </format>
    <format dxfId="9">
      <pivotArea grandRow="1" outline="0" collapsedLevelsAreSubtotals="1" fieldPosition="0"/>
    </format>
    <format dxfId="8">
      <pivotArea collapsedLevelsAreSubtotals="1" fieldPosition="0">
        <references count="1">
          <reference field="3" count="0"/>
        </references>
      </pivotArea>
    </format>
  </formats>
  <chartFormats count="9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9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9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FD6430-D351-4C88-A132-391B40F0F11C}" name="Trzba_podla_krajov" cacheId="0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48">
  <location ref="I7:M13" firstHeaderRow="1" firstDataRow="2" firstDataCol="1"/>
  <pivotFields count="25">
    <pivotField numFmtId="14" showAll="0">
      <items count="388">
        <item x="114"/>
        <item x="41"/>
        <item x="275"/>
        <item x="197"/>
        <item x="273"/>
        <item x="274"/>
        <item x="316"/>
        <item x="13"/>
        <item x="168"/>
        <item x="74"/>
        <item x="23"/>
        <item x="260"/>
        <item x="77"/>
        <item x="25"/>
        <item x="291"/>
        <item x="73"/>
        <item x="374"/>
        <item x="93"/>
        <item x="322"/>
        <item x="306"/>
        <item x="164"/>
        <item x="162"/>
        <item x="146"/>
        <item x="154"/>
        <item x="253"/>
        <item x="153"/>
        <item x="86"/>
        <item x="254"/>
        <item x="240"/>
        <item x="64"/>
        <item x="182"/>
        <item x="1"/>
        <item x="83"/>
        <item x="228"/>
        <item x="139"/>
        <item x="186"/>
        <item x="326"/>
        <item x="36"/>
        <item x="155"/>
        <item x="277"/>
        <item x="354"/>
        <item x="270"/>
        <item x="157"/>
        <item x="9"/>
        <item x="263"/>
        <item x="293"/>
        <item x="142"/>
        <item x="131"/>
        <item x="201"/>
        <item x="127"/>
        <item x="265"/>
        <item x="358"/>
        <item x="372"/>
        <item x="185"/>
        <item x="173"/>
        <item x="106"/>
        <item x="216"/>
        <item x="81"/>
        <item x="26"/>
        <item x="130"/>
        <item x="63"/>
        <item x="286"/>
        <item x="180"/>
        <item x="299"/>
        <item x="355"/>
        <item x="30"/>
        <item x="380"/>
        <item x="334"/>
        <item x="159"/>
        <item x="264"/>
        <item x="59"/>
        <item x="278"/>
        <item x="241"/>
        <item x="134"/>
        <item x="367"/>
        <item x="8"/>
        <item x="317"/>
        <item x="170"/>
        <item x="312"/>
        <item x="215"/>
        <item x="101"/>
        <item x="171"/>
        <item x="370"/>
        <item x="341"/>
        <item x="123"/>
        <item x="266"/>
        <item x="48"/>
        <item x="42"/>
        <item x="190"/>
        <item x="5"/>
        <item x="346"/>
        <item x="51"/>
        <item x="84"/>
        <item x="3"/>
        <item x="375"/>
        <item x="29"/>
        <item x="115"/>
        <item x="276"/>
        <item x="381"/>
        <item x="359"/>
        <item x="233"/>
        <item x="368"/>
        <item x="152"/>
        <item x="19"/>
        <item x="221"/>
        <item x="11"/>
        <item x="244"/>
        <item x="248"/>
        <item x="160"/>
        <item x="352"/>
        <item x="303"/>
        <item x="149"/>
        <item x="308"/>
        <item x="12"/>
        <item x="132"/>
        <item x="116"/>
        <item x="45"/>
        <item x="295"/>
        <item x="163"/>
        <item x="258"/>
        <item x="95"/>
        <item x="231"/>
        <item x="338"/>
        <item x="196"/>
        <item x="46"/>
        <item x="298"/>
        <item x="92"/>
        <item x="57"/>
        <item x="369"/>
        <item x="385"/>
        <item x="285"/>
        <item x="373"/>
        <item x="102"/>
        <item x="165"/>
        <item x="379"/>
        <item x="60"/>
        <item x="138"/>
        <item x="22"/>
        <item x="219"/>
        <item x="166"/>
        <item x="282"/>
        <item x="148"/>
        <item x="43"/>
        <item x="44"/>
        <item x="337"/>
        <item x="90"/>
        <item x="96"/>
        <item x="309"/>
        <item x="357"/>
        <item x="250"/>
        <item x="141"/>
        <item x="35"/>
        <item x="302"/>
        <item x="110"/>
        <item x="111"/>
        <item x="100"/>
        <item x="128"/>
        <item x="366"/>
        <item x="342"/>
        <item x="177"/>
        <item x="204"/>
        <item x="17"/>
        <item x="174"/>
        <item x="289"/>
        <item x="364"/>
        <item x="328"/>
        <item x="89"/>
        <item x="24"/>
        <item x="126"/>
        <item x="239"/>
        <item x="287"/>
        <item x="181"/>
        <item x="194"/>
        <item x="191"/>
        <item x="31"/>
        <item x="66"/>
        <item x="348"/>
        <item x="211"/>
        <item x="118"/>
        <item x="54"/>
        <item x="97"/>
        <item x="267"/>
        <item x="320"/>
        <item x="304"/>
        <item x="224"/>
        <item x="198"/>
        <item x="39"/>
        <item x="58"/>
        <item x="356"/>
        <item x="68"/>
        <item x="61"/>
        <item x="305"/>
        <item x="257"/>
        <item x="386"/>
        <item x="234"/>
        <item x="137"/>
        <item x="71"/>
        <item x="212"/>
        <item x="255"/>
        <item x="313"/>
        <item x="200"/>
        <item x="292"/>
        <item x="76"/>
        <item x="246"/>
        <item x="53"/>
        <item x="98"/>
        <item x="333"/>
        <item x="10"/>
        <item x="230"/>
        <item x="335"/>
        <item x="133"/>
        <item x="336"/>
        <item x="145"/>
        <item x="319"/>
        <item x="330"/>
        <item x="47"/>
        <item x="327"/>
        <item x="113"/>
        <item x="214"/>
        <item x="140"/>
        <item x="72"/>
        <item x="206"/>
        <item x="184"/>
        <item x="119"/>
        <item x="78"/>
        <item x="365"/>
        <item x="262"/>
        <item x="314"/>
        <item x="279"/>
        <item x="232"/>
        <item x="382"/>
        <item x="37"/>
        <item x="384"/>
        <item x="40"/>
        <item x="225"/>
        <item x="117"/>
        <item x="79"/>
        <item x="175"/>
        <item x="21"/>
        <item x="99"/>
        <item x="189"/>
        <item x="331"/>
        <item x="129"/>
        <item x="156"/>
        <item x="217"/>
        <item x="362"/>
        <item x="4"/>
        <item x="378"/>
        <item x="147"/>
        <item x="195"/>
        <item x="318"/>
        <item x="256"/>
        <item x="94"/>
        <item x="251"/>
        <item x="105"/>
        <item x="325"/>
        <item x="38"/>
        <item x="339"/>
        <item x="124"/>
        <item x="207"/>
        <item x="294"/>
        <item x="125"/>
        <item x="329"/>
        <item x="247"/>
        <item x="82"/>
        <item x="323"/>
        <item x="179"/>
        <item x="65"/>
        <item x="321"/>
        <item x="332"/>
        <item x="296"/>
        <item x="345"/>
        <item x="360"/>
        <item x="56"/>
        <item x="343"/>
        <item x="80"/>
        <item x="50"/>
        <item x="213"/>
        <item x="235"/>
        <item x="272"/>
        <item x="121"/>
        <item x="178"/>
        <item x="209"/>
        <item x="49"/>
        <item x="169"/>
        <item x="158"/>
        <item x="0"/>
        <item x="340"/>
        <item x="16"/>
        <item x="208"/>
        <item x="27"/>
        <item x="14"/>
        <item x="172"/>
        <item x="109"/>
        <item x="220"/>
        <item x="363"/>
        <item x="192"/>
        <item x="301"/>
        <item x="237"/>
        <item x="55"/>
        <item x="297"/>
        <item x="280"/>
        <item x="188"/>
        <item x="300"/>
        <item x="227"/>
        <item x="7"/>
        <item x="307"/>
        <item x="75"/>
        <item x="120"/>
        <item x="281"/>
        <item x="261"/>
        <item x="202"/>
        <item x="350"/>
        <item x="271"/>
        <item x="245"/>
        <item x="103"/>
        <item x="32"/>
        <item x="91"/>
        <item x="236"/>
        <item x="20"/>
        <item x="144"/>
        <item x="284"/>
        <item x="150"/>
        <item x="229"/>
        <item x="151"/>
        <item x="371"/>
        <item x="203"/>
        <item x="383"/>
        <item x="15"/>
        <item x="18"/>
        <item x="136"/>
        <item x="135"/>
        <item x="283"/>
        <item x="67"/>
        <item x="161"/>
        <item x="344"/>
        <item x="6"/>
        <item x="288"/>
        <item x="290"/>
        <item x="377"/>
        <item x="143"/>
        <item x="210"/>
        <item x="33"/>
        <item x="249"/>
        <item x="108"/>
        <item x="347"/>
        <item x="85"/>
        <item x="62"/>
        <item x="259"/>
        <item x="2"/>
        <item x="238"/>
        <item x="353"/>
        <item x="88"/>
        <item x="104"/>
        <item x="268"/>
        <item x="34"/>
        <item x="122"/>
        <item x="52"/>
        <item x="311"/>
        <item x="176"/>
        <item x="70"/>
        <item x="187"/>
        <item x="205"/>
        <item x="242"/>
        <item x="361"/>
        <item x="183"/>
        <item x="222"/>
        <item x="167"/>
        <item x="269"/>
        <item x="193"/>
        <item x="199"/>
        <item x="324"/>
        <item x="243"/>
        <item x="107"/>
        <item x="218"/>
        <item x="252"/>
        <item x="315"/>
        <item x="310"/>
        <item x="69"/>
        <item x="351"/>
        <item x="226"/>
        <item x="349"/>
        <item x="87"/>
        <item x="28"/>
        <item x="223"/>
        <item x="112"/>
        <item x="376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 sortType="a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9" showAll="0"/>
    <pivotField axis="axisCol" showAll="0">
      <items count="4">
        <item x="1"/>
        <item x="0"/>
        <item x="2"/>
        <item t="default"/>
      </items>
    </pivotField>
    <pivotField showAll="0">
      <items count="13">
        <item x="8"/>
        <item x="4"/>
        <item x="1"/>
        <item x="6"/>
        <item x="11"/>
        <item x="10"/>
        <item x="3"/>
        <item x="2"/>
        <item x="7"/>
        <item x="0"/>
        <item x="9"/>
        <item x="5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17"/>
  </colFields>
  <colItems count="4">
    <i>
      <x/>
    </i>
    <i>
      <x v="1"/>
    </i>
    <i>
      <x v="2"/>
    </i>
    <i t="grand">
      <x/>
    </i>
  </colItems>
  <dataFields count="1">
    <dataField name="Súčet z Trzba" fld="13" baseField="0" baseItem="0"/>
  </dataFields>
  <formats count="7"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19" type="button" dataOnly="0" labelOnly="1" outline="0"/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7">
      <pivotArea dataOnly="0" labelOnly="1" grandRow="1" outline="0" fieldPosition="0"/>
    </format>
    <format dxfId="16">
      <pivotArea grandRow="1" outline="0" collapsedLevelsAreSubtotals="1" fieldPosition="0"/>
    </format>
  </formats>
  <chartFormats count="1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31" format="1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31" format="1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43" format="1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43" format="2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43" format="2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45" format="2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45" format="2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45" format="2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47" format="3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47" format="3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47" format="3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C7F173-9C2A-49BB-9846-2C9D5F8EB71E}" name="Kontingenčná tabuľka3" cacheId="0" applyNumberFormats="0" applyBorderFormats="0" applyFontFormats="0" applyPatternFormats="0" applyAlignmentFormats="0" applyWidthHeightFormats="1" dataCaption="Hodnoty" updatedVersion="8" minRefreshableVersion="3" itemPrintTitles="1" createdVersion="8" indent="0" compact="0" compactData="0" multipleFieldFilters="0" chartFormat="38">
  <location ref="A44:B49" firstHeaderRow="1" firstDataRow="1" firstDataCol="1"/>
  <pivotFields count="25">
    <pivotField compact="0" numFmtId="14" outline="0" showAll="0">
      <items count="388">
        <item x="114"/>
        <item x="41"/>
        <item x="275"/>
        <item x="197"/>
        <item x="273"/>
        <item x="274"/>
        <item x="316"/>
        <item x="13"/>
        <item x="168"/>
        <item x="74"/>
        <item x="23"/>
        <item x="260"/>
        <item x="77"/>
        <item x="25"/>
        <item x="291"/>
        <item x="73"/>
        <item x="374"/>
        <item x="93"/>
        <item x="322"/>
        <item x="306"/>
        <item x="164"/>
        <item x="162"/>
        <item x="146"/>
        <item x="154"/>
        <item x="253"/>
        <item x="153"/>
        <item x="86"/>
        <item x="254"/>
        <item x="240"/>
        <item x="64"/>
        <item x="182"/>
        <item x="1"/>
        <item x="83"/>
        <item x="228"/>
        <item x="139"/>
        <item x="186"/>
        <item x="326"/>
        <item x="36"/>
        <item x="155"/>
        <item x="277"/>
        <item x="354"/>
        <item x="270"/>
        <item x="157"/>
        <item x="9"/>
        <item x="263"/>
        <item x="293"/>
        <item x="142"/>
        <item x="131"/>
        <item x="201"/>
        <item x="127"/>
        <item x="265"/>
        <item x="358"/>
        <item x="372"/>
        <item x="185"/>
        <item x="173"/>
        <item x="106"/>
        <item x="216"/>
        <item x="81"/>
        <item x="26"/>
        <item x="130"/>
        <item x="63"/>
        <item x="286"/>
        <item x="180"/>
        <item x="299"/>
        <item x="355"/>
        <item x="30"/>
        <item x="380"/>
        <item x="334"/>
        <item x="159"/>
        <item x="264"/>
        <item x="59"/>
        <item x="278"/>
        <item x="241"/>
        <item x="134"/>
        <item x="367"/>
        <item x="8"/>
        <item x="317"/>
        <item x="170"/>
        <item x="312"/>
        <item x="215"/>
        <item x="101"/>
        <item x="171"/>
        <item x="370"/>
        <item x="341"/>
        <item x="123"/>
        <item x="266"/>
        <item x="48"/>
        <item x="42"/>
        <item x="190"/>
        <item x="5"/>
        <item x="346"/>
        <item x="51"/>
        <item x="84"/>
        <item x="3"/>
        <item x="375"/>
        <item x="29"/>
        <item x="115"/>
        <item x="276"/>
        <item x="381"/>
        <item x="359"/>
        <item x="233"/>
        <item x="368"/>
        <item x="152"/>
        <item x="19"/>
        <item x="221"/>
        <item x="11"/>
        <item x="244"/>
        <item x="248"/>
        <item x="160"/>
        <item x="352"/>
        <item x="303"/>
        <item x="149"/>
        <item x="308"/>
        <item x="12"/>
        <item x="132"/>
        <item x="116"/>
        <item x="45"/>
        <item x="295"/>
        <item x="163"/>
        <item x="258"/>
        <item x="95"/>
        <item x="231"/>
        <item x="338"/>
        <item x="196"/>
        <item x="46"/>
        <item x="298"/>
        <item x="92"/>
        <item x="57"/>
        <item x="369"/>
        <item x="385"/>
        <item x="285"/>
        <item x="373"/>
        <item x="102"/>
        <item x="165"/>
        <item x="379"/>
        <item x="60"/>
        <item x="138"/>
        <item x="22"/>
        <item x="219"/>
        <item x="166"/>
        <item x="282"/>
        <item x="148"/>
        <item x="43"/>
        <item x="44"/>
        <item x="337"/>
        <item x="90"/>
        <item x="96"/>
        <item x="309"/>
        <item x="357"/>
        <item x="250"/>
        <item x="141"/>
        <item x="35"/>
        <item x="302"/>
        <item x="110"/>
        <item x="111"/>
        <item x="100"/>
        <item x="128"/>
        <item x="366"/>
        <item x="342"/>
        <item x="177"/>
        <item x="204"/>
        <item x="17"/>
        <item x="174"/>
        <item x="289"/>
        <item x="364"/>
        <item x="328"/>
        <item x="89"/>
        <item x="24"/>
        <item x="126"/>
        <item x="239"/>
        <item x="287"/>
        <item x="181"/>
        <item x="194"/>
        <item x="191"/>
        <item x="31"/>
        <item x="66"/>
        <item x="348"/>
        <item x="211"/>
        <item x="118"/>
        <item x="54"/>
        <item x="97"/>
        <item x="267"/>
        <item x="320"/>
        <item x="304"/>
        <item x="224"/>
        <item x="198"/>
        <item x="39"/>
        <item x="58"/>
        <item x="356"/>
        <item x="68"/>
        <item x="61"/>
        <item x="305"/>
        <item x="257"/>
        <item x="386"/>
        <item x="234"/>
        <item x="137"/>
        <item x="71"/>
        <item x="212"/>
        <item x="255"/>
        <item x="313"/>
        <item x="200"/>
        <item x="292"/>
        <item x="76"/>
        <item x="246"/>
        <item x="53"/>
        <item x="98"/>
        <item x="333"/>
        <item x="10"/>
        <item x="230"/>
        <item x="335"/>
        <item x="133"/>
        <item x="336"/>
        <item x="145"/>
        <item x="319"/>
        <item x="330"/>
        <item x="47"/>
        <item x="327"/>
        <item x="113"/>
        <item x="214"/>
        <item x="140"/>
        <item x="72"/>
        <item x="206"/>
        <item x="184"/>
        <item x="119"/>
        <item x="78"/>
        <item x="365"/>
        <item x="262"/>
        <item x="314"/>
        <item x="279"/>
        <item x="232"/>
        <item x="382"/>
        <item x="37"/>
        <item x="384"/>
        <item x="40"/>
        <item x="225"/>
        <item x="117"/>
        <item x="79"/>
        <item x="175"/>
        <item x="21"/>
        <item x="99"/>
        <item x="189"/>
        <item x="331"/>
        <item x="129"/>
        <item x="156"/>
        <item x="217"/>
        <item x="362"/>
        <item x="4"/>
        <item x="378"/>
        <item x="147"/>
        <item x="195"/>
        <item x="318"/>
        <item x="256"/>
        <item x="94"/>
        <item x="251"/>
        <item x="105"/>
        <item x="325"/>
        <item x="38"/>
        <item x="339"/>
        <item x="124"/>
        <item x="207"/>
        <item x="294"/>
        <item x="125"/>
        <item x="329"/>
        <item x="247"/>
        <item x="82"/>
        <item x="323"/>
        <item x="179"/>
        <item x="65"/>
        <item x="321"/>
        <item x="332"/>
        <item x="296"/>
        <item x="345"/>
        <item x="360"/>
        <item x="56"/>
        <item x="343"/>
        <item x="80"/>
        <item x="50"/>
        <item x="213"/>
        <item x="235"/>
        <item x="272"/>
        <item x="121"/>
        <item x="178"/>
        <item x="209"/>
        <item x="49"/>
        <item x="169"/>
        <item x="158"/>
        <item x="0"/>
        <item x="340"/>
        <item x="16"/>
        <item x="208"/>
        <item x="27"/>
        <item x="14"/>
        <item x="172"/>
        <item x="109"/>
        <item x="220"/>
        <item x="363"/>
        <item x="192"/>
        <item x="301"/>
        <item x="237"/>
        <item x="55"/>
        <item x="297"/>
        <item x="280"/>
        <item x="188"/>
        <item x="300"/>
        <item x="227"/>
        <item x="7"/>
        <item x="307"/>
        <item x="75"/>
        <item x="120"/>
        <item x="281"/>
        <item x="261"/>
        <item x="202"/>
        <item x="350"/>
        <item x="271"/>
        <item x="245"/>
        <item x="103"/>
        <item x="32"/>
        <item x="91"/>
        <item x="236"/>
        <item x="20"/>
        <item x="144"/>
        <item x="284"/>
        <item x="150"/>
        <item x="229"/>
        <item x="151"/>
        <item x="371"/>
        <item x="203"/>
        <item x="383"/>
        <item x="15"/>
        <item x="18"/>
        <item x="136"/>
        <item x="135"/>
        <item x="283"/>
        <item x="67"/>
        <item x="161"/>
        <item x="344"/>
        <item x="6"/>
        <item x="288"/>
        <item x="290"/>
        <item x="377"/>
        <item x="143"/>
        <item x="210"/>
        <item x="33"/>
        <item x="249"/>
        <item x="108"/>
        <item x="347"/>
        <item x="85"/>
        <item x="62"/>
        <item x="259"/>
        <item x="2"/>
        <item x="238"/>
        <item x="353"/>
        <item x="88"/>
        <item x="104"/>
        <item x="268"/>
        <item x="34"/>
        <item x="122"/>
        <item x="52"/>
        <item x="311"/>
        <item x="176"/>
        <item x="70"/>
        <item x="187"/>
        <item x="205"/>
        <item x="242"/>
        <item x="361"/>
        <item x="183"/>
        <item x="222"/>
        <item x="167"/>
        <item x="269"/>
        <item x="193"/>
        <item x="199"/>
        <item x="324"/>
        <item x="243"/>
        <item x="107"/>
        <item x="218"/>
        <item x="252"/>
        <item x="315"/>
        <item x="310"/>
        <item x="69"/>
        <item x="351"/>
        <item x="226"/>
        <item x="349"/>
        <item x="87"/>
        <item x="28"/>
        <item x="223"/>
        <item x="112"/>
        <item x="376"/>
        <item t="default"/>
      </items>
    </pivotField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axis="axisRow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6">
        <item sd="0" x="0"/>
        <item sd="0" x="1"/>
        <item sd="0" x="2"/>
        <item sd="0" x="3"/>
        <item sd="0" x="4"/>
        <item t="default"/>
      </items>
    </pivotField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arza %" fld="22" baseField="6" baseItem="0"/>
  </dataFields>
  <formats count="10"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19" type="button" dataOnly="0" labelOnly="1" outline="0"/>
    </format>
    <format dxfId="29">
      <pivotArea dataOnly="0" labelOnly="1" grandRow="1" outline="0" fieldPosition="0"/>
    </format>
    <format dxfId="28">
      <pivotArea dataOnly="0" labelOnly="1" outline="0" axis="axisValues" fieldPosition="0"/>
    </format>
    <format dxfId="27">
      <pivotArea dataOnly="0" labelOnly="1" grandRow="1" outline="0" fieldPosition="0"/>
    </format>
    <format dxfId="26">
      <pivotArea grandRow="1" outline="0" collapsedLevelsAreSubtotals="1" fieldPosition="0"/>
    </format>
    <format dxfId="25">
      <pivotArea collapsedLevelsAreSubtotals="1" fieldPosition="0">
        <references count="1">
          <reference field="7" count="0"/>
        </references>
      </pivotArea>
    </format>
    <format dxfId="24">
      <pivotArea collapsedLevelsAreSubtotals="1" fieldPosition="0">
        <references count="2">
          <reference field="4294967294" count="1" selected="0">
            <x v="0"/>
          </reference>
          <reference field="7" count="0"/>
        </references>
      </pivotArea>
    </format>
    <format dxfId="23">
      <pivotArea field="7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chartFormats count="4"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0188A6-D591-4831-A0D3-B66A69AFFD91}" name="Top_10_produktov_zisk_trzby" cacheId="0" applyNumberFormats="0" applyBorderFormats="0" applyFontFormats="0" applyPatternFormats="0" applyAlignmentFormats="0" applyWidthHeightFormats="1" dataCaption="Hodnoty" updatedVersion="8" minRefreshableVersion="3" itemPrintTitles="1" createdVersion="8" indent="0" compact="0" outline="1" outlineData="1" compactData="0" multipleFieldFilters="0" chartFormat="47">
  <location ref="A62:C73" firstHeaderRow="0" firstDataRow="1" firstDataCol="1"/>
  <pivotFields count="25">
    <pivotField compact="0" numFmtId="14" showAll="0">
      <items count="388">
        <item x="114"/>
        <item x="41"/>
        <item x="275"/>
        <item x="197"/>
        <item x="273"/>
        <item x="274"/>
        <item x="316"/>
        <item x="13"/>
        <item x="168"/>
        <item x="74"/>
        <item x="23"/>
        <item x="260"/>
        <item x="77"/>
        <item x="25"/>
        <item x="291"/>
        <item x="73"/>
        <item x="374"/>
        <item x="93"/>
        <item x="322"/>
        <item x="306"/>
        <item x="164"/>
        <item x="162"/>
        <item x="146"/>
        <item x="154"/>
        <item x="253"/>
        <item x="153"/>
        <item x="86"/>
        <item x="254"/>
        <item x="240"/>
        <item x="64"/>
        <item x="182"/>
        <item x="1"/>
        <item x="83"/>
        <item x="228"/>
        <item x="139"/>
        <item x="186"/>
        <item x="326"/>
        <item x="36"/>
        <item x="155"/>
        <item x="277"/>
        <item x="354"/>
        <item x="270"/>
        <item x="157"/>
        <item x="9"/>
        <item x="263"/>
        <item x="293"/>
        <item x="142"/>
        <item x="131"/>
        <item x="201"/>
        <item x="127"/>
        <item x="265"/>
        <item x="358"/>
        <item x="372"/>
        <item x="185"/>
        <item x="173"/>
        <item x="106"/>
        <item x="216"/>
        <item x="81"/>
        <item x="26"/>
        <item x="130"/>
        <item x="63"/>
        <item x="286"/>
        <item x="180"/>
        <item x="299"/>
        <item x="355"/>
        <item x="30"/>
        <item x="380"/>
        <item x="334"/>
        <item x="159"/>
        <item x="264"/>
        <item x="59"/>
        <item x="278"/>
        <item x="241"/>
        <item x="134"/>
        <item x="367"/>
        <item x="8"/>
        <item x="317"/>
        <item x="170"/>
        <item x="312"/>
        <item x="215"/>
        <item x="101"/>
        <item x="171"/>
        <item x="370"/>
        <item x="341"/>
        <item x="123"/>
        <item x="266"/>
        <item x="48"/>
        <item x="42"/>
        <item x="190"/>
        <item x="5"/>
        <item x="346"/>
        <item x="51"/>
        <item x="84"/>
        <item x="3"/>
        <item x="375"/>
        <item x="29"/>
        <item x="115"/>
        <item x="276"/>
        <item x="381"/>
        <item x="359"/>
        <item x="233"/>
        <item x="368"/>
        <item x="152"/>
        <item x="19"/>
        <item x="221"/>
        <item x="11"/>
        <item x="244"/>
        <item x="248"/>
        <item x="160"/>
        <item x="352"/>
        <item x="303"/>
        <item x="149"/>
        <item x="308"/>
        <item x="12"/>
        <item x="132"/>
        <item x="116"/>
        <item x="45"/>
        <item x="295"/>
        <item x="163"/>
        <item x="258"/>
        <item x="95"/>
        <item x="231"/>
        <item x="338"/>
        <item x="196"/>
        <item x="46"/>
        <item x="298"/>
        <item x="92"/>
        <item x="57"/>
        <item x="369"/>
        <item x="385"/>
        <item x="285"/>
        <item x="373"/>
        <item x="102"/>
        <item x="165"/>
        <item x="379"/>
        <item x="60"/>
        <item x="138"/>
        <item x="22"/>
        <item x="219"/>
        <item x="166"/>
        <item x="282"/>
        <item x="148"/>
        <item x="43"/>
        <item x="44"/>
        <item x="337"/>
        <item x="90"/>
        <item x="96"/>
        <item x="309"/>
        <item x="357"/>
        <item x="250"/>
        <item x="141"/>
        <item x="35"/>
        <item x="302"/>
        <item x="110"/>
        <item x="111"/>
        <item x="100"/>
        <item x="128"/>
        <item x="366"/>
        <item x="342"/>
        <item x="177"/>
        <item x="204"/>
        <item x="17"/>
        <item x="174"/>
        <item x="289"/>
        <item x="364"/>
        <item x="328"/>
        <item x="89"/>
        <item x="24"/>
        <item x="126"/>
        <item x="239"/>
        <item x="287"/>
        <item x="181"/>
        <item x="194"/>
        <item x="191"/>
        <item x="31"/>
        <item x="66"/>
        <item x="348"/>
        <item x="211"/>
        <item x="118"/>
        <item x="54"/>
        <item x="97"/>
        <item x="267"/>
        <item x="320"/>
        <item x="304"/>
        <item x="224"/>
        <item x="198"/>
        <item x="39"/>
        <item x="58"/>
        <item x="356"/>
        <item x="68"/>
        <item x="61"/>
        <item x="305"/>
        <item x="257"/>
        <item x="386"/>
        <item x="234"/>
        <item x="137"/>
        <item x="71"/>
        <item x="212"/>
        <item x="255"/>
        <item x="313"/>
        <item x="200"/>
        <item x="292"/>
        <item x="76"/>
        <item x="246"/>
        <item x="53"/>
        <item x="98"/>
        <item x="333"/>
        <item x="10"/>
        <item x="230"/>
        <item x="335"/>
        <item x="133"/>
        <item x="336"/>
        <item x="145"/>
        <item x="319"/>
        <item x="330"/>
        <item x="47"/>
        <item x="327"/>
        <item x="113"/>
        <item x="214"/>
        <item x="140"/>
        <item x="72"/>
        <item x="206"/>
        <item x="184"/>
        <item x="119"/>
        <item x="78"/>
        <item x="365"/>
        <item x="262"/>
        <item x="314"/>
        <item x="279"/>
        <item x="232"/>
        <item x="382"/>
        <item x="37"/>
        <item x="384"/>
        <item x="40"/>
        <item x="225"/>
        <item x="117"/>
        <item x="79"/>
        <item x="175"/>
        <item x="21"/>
        <item x="99"/>
        <item x="189"/>
        <item x="331"/>
        <item x="129"/>
        <item x="156"/>
        <item x="217"/>
        <item x="362"/>
        <item x="4"/>
        <item x="378"/>
        <item x="147"/>
        <item x="195"/>
        <item x="318"/>
        <item x="256"/>
        <item x="94"/>
        <item x="251"/>
        <item x="105"/>
        <item x="325"/>
        <item x="38"/>
        <item x="339"/>
        <item x="124"/>
        <item x="207"/>
        <item x="294"/>
        <item x="125"/>
        <item x="329"/>
        <item x="247"/>
        <item x="82"/>
        <item x="323"/>
        <item x="179"/>
        <item x="65"/>
        <item x="321"/>
        <item x="332"/>
        <item x="296"/>
        <item x="345"/>
        <item x="360"/>
        <item x="56"/>
        <item x="343"/>
        <item x="80"/>
        <item x="50"/>
        <item x="213"/>
        <item x="235"/>
        <item x="272"/>
        <item x="121"/>
        <item x="178"/>
        <item x="209"/>
        <item x="49"/>
        <item x="169"/>
        <item x="158"/>
        <item x="0"/>
        <item x="340"/>
        <item x="16"/>
        <item x="208"/>
        <item x="27"/>
        <item x="14"/>
        <item x="172"/>
        <item x="109"/>
        <item x="220"/>
        <item x="363"/>
        <item x="192"/>
        <item x="301"/>
        <item x="237"/>
        <item x="55"/>
        <item x="297"/>
        <item x="280"/>
        <item x="188"/>
        <item x="300"/>
        <item x="227"/>
        <item x="7"/>
        <item x="307"/>
        <item x="75"/>
        <item x="120"/>
        <item x="281"/>
        <item x="261"/>
        <item x="202"/>
        <item x="350"/>
        <item x="271"/>
        <item x="245"/>
        <item x="103"/>
        <item x="32"/>
        <item x="91"/>
        <item x="236"/>
        <item x="20"/>
        <item x="144"/>
        <item x="284"/>
        <item x="150"/>
        <item x="229"/>
        <item x="151"/>
        <item x="371"/>
        <item x="203"/>
        <item x="383"/>
        <item x="15"/>
        <item x="18"/>
        <item x="136"/>
        <item x="135"/>
        <item x="283"/>
        <item x="67"/>
        <item x="161"/>
        <item x="344"/>
        <item x="6"/>
        <item x="288"/>
        <item x="290"/>
        <item x="377"/>
        <item x="143"/>
        <item x="210"/>
        <item x="33"/>
        <item x="249"/>
        <item x="108"/>
        <item x="347"/>
        <item x="85"/>
        <item x="62"/>
        <item x="259"/>
        <item x="2"/>
        <item x="238"/>
        <item x="353"/>
        <item x="88"/>
        <item x="104"/>
        <item x="268"/>
        <item x="34"/>
        <item x="122"/>
        <item x="52"/>
        <item x="311"/>
        <item x="176"/>
        <item x="70"/>
        <item x="187"/>
        <item x="205"/>
        <item x="242"/>
        <item x="361"/>
        <item x="183"/>
        <item x="222"/>
        <item x="167"/>
        <item x="269"/>
        <item x="193"/>
        <item x="199"/>
        <item x="324"/>
        <item x="243"/>
        <item x="107"/>
        <item x="218"/>
        <item x="252"/>
        <item x="315"/>
        <item x="310"/>
        <item x="69"/>
        <item x="351"/>
        <item x="226"/>
        <item x="349"/>
        <item x="87"/>
        <item x="28"/>
        <item x="223"/>
        <item x="112"/>
        <item x="376"/>
        <item t="default"/>
      </items>
    </pivotField>
    <pivotField compact="0" showAll="0">
      <items count="501">
        <item x="125"/>
        <item x="42"/>
        <item x="329"/>
        <item x="245"/>
        <item x="223"/>
        <item x="327"/>
        <item x="494"/>
        <item x="328"/>
        <item x="388"/>
        <item x="302"/>
        <item x="13"/>
        <item x="187"/>
        <item x="79"/>
        <item x="23"/>
        <item x="53"/>
        <item x="308"/>
        <item x="82"/>
        <item x="25"/>
        <item x="269"/>
        <item x="352"/>
        <item x="121"/>
        <item x="78"/>
        <item x="482"/>
        <item x="99"/>
        <item x="304"/>
        <item x="439"/>
        <item x="399"/>
        <item x="373"/>
        <item x="477"/>
        <item x="183"/>
        <item x="498"/>
        <item x="286"/>
        <item x="202"/>
        <item x="181"/>
        <item x="161"/>
        <item x="171"/>
        <item x="397"/>
        <item x="297"/>
        <item x="169"/>
        <item x="365"/>
        <item x="91"/>
        <item x="298"/>
        <item x="278"/>
        <item x="66"/>
        <item x="383"/>
        <item x="204"/>
        <item x="1"/>
        <item x="88"/>
        <item x="351"/>
        <item x="261"/>
        <item x="154"/>
        <item x="209"/>
        <item x="405"/>
        <item x="467"/>
        <item x="37"/>
        <item x="173"/>
        <item x="331"/>
        <item x="448"/>
        <item x="321"/>
        <item x="175"/>
        <item x="9"/>
        <item x="311"/>
        <item x="355"/>
        <item x="157"/>
        <item x="145"/>
        <item x="227"/>
        <item x="436"/>
        <item x="139"/>
        <item x="313"/>
        <item x="455"/>
        <item x="480"/>
        <item x="208"/>
        <item x="193"/>
        <item x="115"/>
        <item x="246"/>
        <item x="450"/>
        <item x="86"/>
        <item x="324"/>
        <item x="26"/>
        <item x="143"/>
        <item x="65"/>
        <item x="345"/>
        <item x="200"/>
        <item x="362"/>
        <item x="449"/>
        <item x="30"/>
        <item x="389"/>
        <item x="489"/>
        <item x="416"/>
        <item x="468"/>
        <item x="177"/>
        <item x="379"/>
        <item x="459"/>
        <item x="312"/>
        <item x="61"/>
        <item x="163"/>
        <item x="332"/>
        <item x="295"/>
        <item x="279"/>
        <item x="148"/>
        <item x="473"/>
        <item x="8"/>
        <item x="142"/>
        <item x="390"/>
        <item x="190"/>
        <item x="384"/>
        <item x="244"/>
        <item x="108"/>
        <item x="191"/>
        <item x="343"/>
        <item x="478"/>
        <item x="425"/>
        <item x="409"/>
        <item x="135"/>
        <item x="315"/>
        <item x="49"/>
        <item x="43"/>
        <item x="215"/>
        <item x="5"/>
        <item x="433"/>
        <item x="52"/>
        <item x="89"/>
        <item x="375"/>
        <item x="3"/>
        <item x="239"/>
        <item x="483"/>
        <item x="29"/>
        <item x="126"/>
        <item x="330"/>
        <item x="490"/>
        <item x="456"/>
        <item x="451"/>
        <item x="268"/>
        <item x="474"/>
        <item x="168"/>
        <item x="19"/>
        <item x="31"/>
        <item x="251"/>
        <item x="11"/>
        <item x="285"/>
        <item x="282"/>
        <item x="288"/>
        <item x="275"/>
        <item x="179"/>
        <item x="446"/>
        <item x="367"/>
        <item x="165"/>
        <item x="377"/>
        <item x="12"/>
        <item x="391"/>
        <item x="146"/>
        <item x="213"/>
        <item x="127"/>
        <item x="46"/>
        <item x="357"/>
        <item x="428"/>
        <item x="182"/>
        <item x="305"/>
        <item x="296"/>
        <item x="102"/>
        <item x="265"/>
        <item x="422"/>
        <item x="222"/>
        <item x="47"/>
        <item x="361"/>
        <item x="203"/>
        <item x="97"/>
        <item x="403"/>
        <item x="59"/>
        <item x="476"/>
        <item x="497"/>
        <item x="344"/>
        <item x="481"/>
        <item x="109"/>
        <item x="184"/>
        <item x="354"/>
        <item x="487"/>
        <item x="338"/>
        <item x="62"/>
        <item x="153"/>
        <item x="376"/>
        <item x="22"/>
        <item x="488"/>
        <item x="249"/>
        <item x="185"/>
        <item x="340"/>
        <item x="164"/>
        <item x="437"/>
        <item x="44"/>
        <item x="98"/>
        <item x="45"/>
        <item x="70"/>
        <item x="421"/>
        <item x="95"/>
        <item x="103"/>
        <item x="378"/>
        <item x="453"/>
        <item x="290"/>
        <item x="156"/>
        <item x="36"/>
        <item x="444"/>
        <item x="252"/>
        <item x="366"/>
        <item x="418"/>
        <item x="119"/>
        <item x="122"/>
        <item x="107"/>
        <item x="172"/>
        <item x="406"/>
        <item x="140"/>
        <item x="333"/>
        <item x="274"/>
        <item x="471"/>
        <item x="426"/>
        <item x="197"/>
        <item x="231"/>
        <item x="17"/>
        <item x="194"/>
        <item x="349"/>
        <item x="466"/>
        <item x="408"/>
        <item x="94"/>
        <item x="255"/>
        <item x="24"/>
        <item x="138"/>
        <item x="277"/>
        <item x="316"/>
        <item x="346"/>
        <item x="201"/>
        <item x="219"/>
        <item x="464"/>
        <item x="454"/>
        <item x="216"/>
        <item x="113"/>
        <item x="32"/>
        <item x="68"/>
        <item x="440"/>
        <item x="240"/>
        <item x="129"/>
        <item x="56"/>
        <item x="104"/>
        <item x="317"/>
        <item x="395"/>
        <item x="369"/>
        <item x="257"/>
        <item x="224"/>
        <item x="40"/>
        <item x="469"/>
        <item x="60"/>
        <item x="452"/>
        <item x="71"/>
        <item x="63"/>
        <item x="370"/>
        <item x="301"/>
        <item x="499"/>
        <item x="270"/>
        <item x="152"/>
        <item x="76"/>
        <item x="241"/>
        <item x="299"/>
        <item x="368"/>
        <item x="385"/>
        <item x="226"/>
        <item x="353"/>
        <item x="81"/>
        <item x="284"/>
        <item x="74"/>
        <item x="55"/>
        <item x="105"/>
        <item x="415"/>
        <item x="100"/>
        <item x="10"/>
        <item x="264"/>
        <item x="427"/>
        <item x="417"/>
        <item x="147"/>
        <item x="419"/>
        <item x="160"/>
        <item x="393"/>
        <item x="411"/>
        <item x="48"/>
        <item x="407"/>
        <item x="124"/>
        <item x="178"/>
        <item x="243"/>
        <item x="155"/>
        <item x="77"/>
        <item x="234"/>
        <item x="206"/>
        <item x="130"/>
        <item x="83"/>
        <item x="470"/>
        <item x="310"/>
        <item x="371"/>
        <item x="386"/>
        <item x="334"/>
        <item x="266"/>
        <item x="306"/>
        <item x="394"/>
        <item x="491"/>
        <item x="38"/>
        <item x="495"/>
        <item x="41"/>
        <item x="258"/>
        <item x="128"/>
        <item x="496"/>
        <item x="372"/>
        <item x="84"/>
        <item x="195"/>
        <item x="21"/>
        <item x="106"/>
        <item x="214"/>
        <item x="443"/>
        <item x="420"/>
        <item x="413"/>
        <item x="141"/>
        <item x="174"/>
        <item x="247"/>
        <item x="462"/>
        <item x="4"/>
        <item x="396"/>
        <item x="486"/>
        <item x="162"/>
        <item x="221"/>
        <item x="392"/>
        <item x="300"/>
        <item x="101"/>
        <item x="292"/>
        <item x="112"/>
        <item x="404"/>
        <item x="39"/>
        <item x="423"/>
        <item x="136"/>
        <item x="235"/>
        <item x="356"/>
        <item x="137"/>
        <item x="293"/>
        <item x="410"/>
        <item x="287"/>
        <item x="87"/>
        <item x="400"/>
        <item x="199"/>
        <item x="67"/>
        <item x="398"/>
        <item x="414"/>
        <item x="359"/>
        <item x="432"/>
        <item x="458"/>
        <item x="120"/>
        <item x="58"/>
        <item x="430"/>
        <item x="85"/>
        <item x="51"/>
        <item x="337"/>
        <item x="322"/>
        <item x="256"/>
        <item x="242"/>
        <item x="271"/>
        <item x="326"/>
        <item x="133"/>
        <item x="198"/>
        <item x="237"/>
        <item x="144"/>
        <item x="50"/>
        <item x="267"/>
        <item x="189"/>
        <item x="176"/>
        <item x="438"/>
        <item x="0"/>
        <item x="424"/>
        <item x="16"/>
        <item x="236"/>
        <item x="27"/>
        <item x="14"/>
        <item x="150"/>
        <item x="192"/>
        <item x="118"/>
        <item x="188"/>
        <item x="250"/>
        <item x="465"/>
        <item x="217"/>
        <item x="364"/>
        <item x="273"/>
        <item x="412"/>
        <item x="57"/>
        <item x="360"/>
        <item x="335"/>
        <item x="212"/>
        <item x="363"/>
        <item x="382"/>
        <item x="260"/>
        <item x="7"/>
        <item x="132"/>
        <item x="374"/>
        <item x="80"/>
        <item x="131"/>
        <item x="493"/>
        <item x="336"/>
        <item x="358"/>
        <item x="309"/>
        <item x="228"/>
        <item x="442"/>
        <item x="325"/>
        <item x="283"/>
        <item x="110"/>
        <item x="114"/>
        <item x="72"/>
        <item x="33"/>
        <item x="170"/>
        <item x="323"/>
        <item x="96"/>
        <item x="272"/>
        <item x="20"/>
        <item x="230"/>
        <item x="159"/>
        <item x="342"/>
        <item x="166"/>
        <item x="262"/>
        <item x="457"/>
        <item x="472"/>
        <item x="167"/>
        <item x="479"/>
        <item x="229"/>
        <item x="291"/>
        <item x="492"/>
        <item x="15"/>
        <item x="207"/>
        <item x="18"/>
        <item x="151"/>
        <item x="233"/>
        <item x="434"/>
        <item x="149"/>
        <item x="341"/>
        <item x="69"/>
        <item x="180"/>
        <item x="431"/>
        <item x="6"/>
        <item x="314"/>
        <item x="347"/>
        <item x="402"/>
        <item x="350"/>
        <item x="485"/>
        <item x="158"/>
        <item x="238"/>
        <item x="34"/>
        <item x="289"/>
        <item x="117"/>
        <item x="435"/>
        <item x="303"/>
        <item x="90"/>
        <item x="64"/>
        <item x="307"/>
        <item x="318"/>
        <item x="2"/>
        <item x="461"/>
        <item x="276"/>
        <item x="447"/>
        <item x="93"/>
        <item x="111"/>
        <item x="319"/>
        <item x="35"/>
        <item x="211"/>
        <item x="134"/>
        <item x="54"/>
        <item x="381"/>
        <item x="475"/>
        <item x="196"/>
        <item x="75"/>
        <item x="210"/>
        <item x="232"/>
        <item x="280"/>
        <item x="460"/>
        <item x="205"/>
        <item x="253"/>
        <item x="463"/>
        <item x="186"/>
        <item x="320"/>
        <item x="218"/>
        <item x="225"/>
        <item x="429"/>
        <item x="401"/>
        <item x="281"/>
        <item x="116"/>
        <item x="248"/>
        <item x="294"/>
        <item x="387"/>
        <item x="380"/>
        <item x="73"/>
        <item x="445"/>
        <item x="259"/>
        <item x="441"/>
        <item x="92"/>
        <item x="220"/>
        <item x="339"/>
        <item x="28"/>
        <item x="263"/>
        <item x="254"/>
        <item x="348"/>
        <item x="123"/>
        <item x="484"/>
        <item t="default"/>
      </items>
    </pivotField>
    <pivotField compact="0" showAll="0"/>
    <pivotField compact="0" showAll="0">
      <items count="3">
        <item x="0"/>
        <item x="1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/>
    <pivotField compact="0" showAll="0"/>
    <pivotField compact="0" showAll="0">
      <items count="5">
        <item sd="0" x="1"/>
        <item sd="0" x="0"/>
        <item sd="0" x="2"/>
        <item sd="0" x="3"/>
        <item t="default"/>
      </items>
    </pivotField>
    <pivotField axis="axisRow" compact="0" showAll="0" measureFilter="1" sortType="descending">
      <items count="33">
        <item x="22"/>
        <item sd="0" x="13"/>
        <item sd="0" x="6"/>
        <item x="21"/>
        <item sd="0" x="1"/>
        <item x="8"/>
        <item x="7"/>
        <item x="25"/>
        <item x="23"/>
        <item x="27"/>
        <item x="14"/>
        <item sd="0" x="5"/>
        <item x="20"/>
        <item sd="0" x="0"/>
        <item x="17"/>
        <item x="28"/>
        <item x="30"/>
        <item x="19"/>
        <item x="29"/>
        <item x="16"/>
        <item sd="0" x="9"/>
        <item x="15"/>
        <item x="24"/>
        <item x="31"/>
        <item x="11"/>
        <item sd="0" x="2"/>
        <item x="26"/>
        <item sd="0" x="12"/>
        <item x="18"/>
        <item sd="0" x="3"/>
        <item x="10"/>
        <item sd="0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dataField="1" compact="0" showAll="0"/>
    <pivotField compact="0" numFmtId="9" showAll="0"/>
    <pivotField compact="0" showAll="0">
      <items count="4">
        <item x="1"/>
        <item x="0"/>
        <item x="2"/>
        <item t="default"/>
      </items>
    </pivotField>
    <pivotField compact="0" showAll="0">
      <items count="13">
        <item x="8"/>
        <item x="4"/>
        <item x="1"/>
        <item x="6"/>
        <item x="11"/>
        <item x="10"/>
        <item x="3"/>
        <item x="2"/>
        <item x="7"/>
        <item x="0"/>
        <item x="9"/>
        <item x="5"/>
        <item t="default"/>
      </items>
    </pivotField>
    <pivotField compact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showAll="0">
      <items count="6">
        <item sd="0" x="0"/>
        <item sd="0" x="1"/>
        <item sd="0" x="2"/>
        <item sd="0" x="3"/>
        <item sd="0" x="4"/>
        <item t="default"/>
      </items>
    </pivotField>
    <pivotField compact="0" dragToRow="0" dragToCol="0" dragToPage="0" showAll="0" defaultSubtotal="0"/>
    <pivotField compact="0" dragToRow="0" dragToCol="0" dragToPage="0" showAll="0" defaultSubtotal="0"/>
    <pivotField compact="0" dragToRow="0" dragToCol="0" dragToPage="0" showAll="0" defaultSubtotal="0"/>
  </pivotFields>
  <rowFields count="1">
    <field x="8"/>
  </rowFields>
  <rowItems count="11">
    <i>
      <x v="13"/>
    </i>
    <i>
      <x v="4"/>
    </i>
    <i>
      <x v="25"/>
    </i>
    <i>
      <x v="29"/>
    </i>
    <i>
      <x v="11"/>
    </i>
    <i>
      <x v="31"/>
    </i>
    <i>
      <x v="2"/>
    </i>
    <i>
      <x v="20"/>
    </i>
    <i>
      <x v="1"/>
    </i>
    <i>
      <x v="27"/>
    </i>
    <i t="grand">
      <x/>
    </i>
  </rowItems>
  <colFields count="1">
    <field x="-2"/>
  </colFields>
  <colItems count="2">
    <i>
      <x/>
    </i>
    <i i="1">
      <x v="1"/>
    </i>
  </colItems>
  <dataFields count="2">
    <dataField name="Súčet z Trzba" fld="13" baseField="0" baseItem="0" numFmtId="167"/>
    <dataField name="Súčet z Zisk" fld="15" baseField="0" baseItem="0" numFmtId="167"/>
  </dataFields>
  <formats count="8"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19" type="button" dataOnly="0" labelOnly="1" outline="0"/>
    </format>
    <format dxfId="37">
      <pivotArea dataOnly="0" labelOnly="1" grandRow="1" outline="0" fieldPosition="0"/>
    </format>
    <format dxfId="36">
      <pivotArea dataOnly="0" labelOnly="1" outline="0" axis="axisValues" fieldPosition="0"/>
    </format>
    <format dxfId="35">
      <pivotArea dataOnly="0" labelOnly="1" grandRow="1" outline="0" fieldPosition="0"/>
    </format>
    <format dxfId="34">
      <pivotArea grandRow="1" outline="0" collapsedLevelsAreSubtotals="1" fieldPosition="0"/>
    </format>
    <format dxfId="33">
      <pivotArea outline="0" fieldPosition="0">
        <references count="1">
          <reference field="4294967294" count="2" selected="0">
            <x v="0"/>
            <x v="1"/>
          </reference>
        </references>
      </pivotArea>
    </format>
  </formats>
  <chartFormats count="4">
    <chartFormat chart="4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9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4D575A-DDBD-4F11-BC9D-EB1BE7A1F947}" name="Trzba_kategorie" cacheId="0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33">
  <location ref="A15:B20" firstHeaderRow="1" firstDataRow="1" firstDataCol="1"/>
  <pivotFields count="25">
    <pivotField numFmtId="14" showAll="0">
      <items count="388">
        <item x="114"/>
        <item x="41"/>
        <item x="275"/>
        <item x="197"/>
        <item x="273"/>
        <item x="274"/>
        <item x="316"/>
        <item x="13"/>
        <item x="168"/>
        <item x="74"/>
        <item x="23"/>
        <item x="260"/>
        <item x="77"/>
        <item x="25"/>
        <item x="291"/>
        <item x="73"/>
        <item x="374"/>
        <item x="93"/>
        <item x="322"/>
        <item x="306"/>
        <item x="164"/>
        <item x="162"/>
        <item x="146"/>
        <item x="154"/>
        <item x="253"/>
        <item x="153"/>
        <item x="86"/>
        <item x="254"/>
        <item x="240"/>
        <item x="64"/>
        <item x="182"/>
        <item x="1"/>
        <item x="83"/>
        <item x="228"/>
        <item x="139"/>
        <item x="186"/>
        <item x="326"/>
        <item x="36"/>
        <item x="155"/>
        <item x="277"/>
        <item x="354"/>
        <item x="270"/>
        <item x="157"/>
        <item x="9"/>
        <item x="263"/>
        <item x="293"/>
        <item x="142"/>
        <item x="131"/>
        <item x="201"/>
        <item x="127"/>
        <item x="265"/>
        <item x="358"/>
        <item x="372"/>
        <item x="185"/>
        <item x="173"/>
        <item x="106"/>
        <item x="216"/>
        <item x="81"/>
        <item x="26"/>
        <item x="130"/>
        <item x="63"/>
        <item x="286"/>
        <item x="180"/>
        <item x="299"/>
        <item x="355"/>
        <item x="30"/>
        <item x="380"/>
        <item x="334"/>
        <item x="159"/>
        <item x="264"/>
        <item x="59"/>
        <item x="278"/>
        <item x="241"/>
        <item x="134"/>
        <item x="367"/>
        <item x="8"/>
        <item x="317"/>
        <item x="170"/>
        <item x="312"/>
        <item x="215"/>
        <item x="101"/>
        <item x="171"/>
        <item x="370"/>
        <item x="341"/>
        <item x="123"/>
        <item x="266"/>
        <item x="48"/>
        <item x="42"/>
        <item x="190"/>
        <item x="5"/>
        <item x="346"/>
        <item x="51"/>
        <item x="84"/>
        <item x="3"/>
        <item x="375"/>
        <item x="29"/>
        <item x="115"/>
        <item x="276"/>
        <item x="381"/>
        <item x="359"/>
        <item x="233"/>
        <item x="368"/>
        <item x="152"/>
        <item x="19"/>
        <item x="221"/>
        <item x="11"/>
        <item x="244"/>
        <item x="248"/>
        <item x="160"/>
        <item x="352"/>
        <item x="303"/>
        <item x="149"/>
        <item x="308"/>
        <item x="12"/>
        <item x="132"/>
        <item x="116"/>
        <item x="45"/>
        <item x="295"/>
        <item x="163"/>
        <item x="258"/>
        <item x="95"/>
        <item x="231"/>
        <item x="338"/>
        <item x="196"/>
        <item x="46"/>
        <item x="298"/>
        <item x="92"/>
        <item x="57"/>
        <item x="369"/>
        <item x="385"/>
        <item x="285"/>
        <item x="373"/>
        <item x="102"/>
        <item x="165"/>
        <item x="379"/>
        <item x="60"/>
        <item x="138"/>
        <item x="22"/>
        <item x="219"/>
        <item x="166"/>
        <item x="282"/>
        <item x="148"/>
        <item x="43"/>
        <item x="44"/>
        <item x="337"/>
        <item x="90"/>
        <item x="96"/>
        <item x="309"/>
        <item x="357"/>
        <item x="250"/>
        <item x="141"/>
        <item x="35"/>
        <item x="302"/>
        <item x="110"/>
        <item x="111"/>
        <item x="100"/>
        <item x="128"/>
        <item x="366"/>
        <item x="342"/>
        <item x="177"/>
        <item x="204"/>
        <item x="17"/>
        <item x="174"/>
        <item x="289"/>
        <item x="364"/>
        <item x="328"/>
        <item x="89"/>
        <item x="24"/>
        <item x="126"/>
        <item x="239"/>
        <item x="287"/>
        <item x="181"/>
        <item x="194"/>
        <item x="191"/>
        <item x="31"/>
        <item x="66"/>
        <item x="348"/>
        <item x="211"/>
        <item x="118"/>
        <item x="54"/>
        <item x="97"/>
        <item x="267"/>
        <item x="320"/>
        <item x="304"/>
        <item x="224"/>
        <item x="198"/>
        <item x="39"/>
        <item x="58"/>
        <item x="356"/>
        <item x="68"/>
        <item x="61"/>
        <item x="305"/>
        <item x="257"/>
        <item x="386"/>
        <item x="234"/>
        <item x="137"/>
        <item x="71"/>
        <item x="212"/>
        <item x="255"/>
        <item x="313"/>
        <item x="200"/>
        <item x="292"/>
        <item x="76"/>
        <item x="246"/>
        <item x="53"/>
        <item x="98"/>
        <item x="333"/>
        <item x="10"/>
        <item x="230"/>
        <item x="335"/>
        <item x="133"/>
        <item x="336"/>
        <item x="145"/>
        <item x="319"/>
        <item x="330"/>
        <item x="47"/>
        <item x="327"/>
        <item x="113"/>
        <item x="214"/>
        <item x="140"/>
        <item x="72"/>
        <item x="206"/>
        <item x="184"/>
        <item x="119"/>
        <item x="78"/>
        <item x="365"/>
        <item x="262"/>
        <item x="314"/>
        <item x="279"/>
        <item x="232"/>
        <item x="382"/>
        <item x="37"/>
        <item x="384"/>
        <item x="40"/>
        <item x="225"/>
        <item x="117"/>
        <item x="79"/>
        <item x="175"/>
        <item x="21"/>
        <item x="99"/>
        <item x="189"/>
        <item x="331"/>
        <item x="129"/>
        <item x="156"/>
        <item x="217"/>
        <item x="362"/>
        <item x="4"/>
        <item x="378"/>
        <item x="147"/>
        <item x="195"/>
        <item x="318"/>
        <item x="256"/>
        <item x="94"/>
        <item x="251"/>
        <item x="105"/>
        <item x="325"/>
        <item x="38"/>
        <item x="339"/>
        <item x="124"/>
        <item x="207"/>
        <item x="294"/>
        <item x="125"/>
        <item x="329"/>
        <item x="247"/>
        <item x="82"/>
        <item x="323"/>
        <item x="179"/>
        <item x="65"/>
        <item x="321"/>
        <item x="332"/>
        <item x="296"/>
        <item x="345"/>
        <item x="360"/>
        <item x="56"/>
        <item x="343"/>
        <item x="80"/>
        <item x="50"/>
        <item x="213"/>
        <item x="235"/>
        <item x="272"/>
        <item x="121"/>
        <item x="178"/>
        <item x="209"/>
        <item x="49"/>
        <item x="169"/>
        <item x="158"/>
        <item x="0"/>
        <item x="340"/>
        <item x="16"/>
        <item x="208"/>
        <item x="27"/>
        <item x="14"/>
        <item x="172"/>
        <item x="109"/>
        <item x="220"/>
        <item x="363"/>
        <item x="192"/>
        <item x="301"/>
        <item x="237"/>
        <item x="55"/>
        <item x="297"/>
        <item x="280"/>
        <item x="188"/>
        <item x="300"/>
        <item x="227"/>
        <item x="7"/>
        <item x="307"/>
        <item x="75"/>
        <item x="120"/>
        <item x="281"/>
        <item x="261"/>
        <item x="202"/>
        <item x="350"/>
        <item x="271"/>
        <item x="245"/>
        <item x="103"/>
        <item x="32"/>
        <item x="91"/>
        <item x="236"/>
        <item x="20"/>
        <item x="144"/>
        <item x="284"/>
        <item x="150"/>
        <item x="229"/>
        <item x="151"/>
        <item x="371"/>
        <item x="203"/>
        <item x="383"/>
        <item x="15"/>
        <item x="18"/>
        <item x="136"/>
        <item x="135"/>
        <item x="283"/>
        <item x="67"/>
        <item x="161"/>
        <item x="344"/>
        <item x="6"/>
        <item x="288"/>
        <item x="290"/>
        <item x="377"/>
        <item x="143"/>
        <item x="210"/>
        <item x="33"/>
        <item x="249"/>
        <item x="108"/>
        <item x="347"/>
        <item x="85"/>
        <item x="62"/>
        <item x="259"/>
        <item x="2"/>
        <item x="238"/>
        <item x="353"/>
        <item x="88"/>
        <item x="104"/>
        <item x="268"/>
        <item x="34"/>
        <item x="122"/>
        <item x="52"/>
        <item x="311"/>
        <item x="176"/>
        <item x="70"/>
        <item x="187"/>
        <item x="205"/>
        <item x="242"/>
        <item x="361"/>
        <item x="183"/>
        <item x="222"/>
        <item x="167"/>
        <item x="269"/>
        <item x="193"/>
        <item x="199"/>
        <item x="324"/>
        <item x="243"/>
        <item x="107"/>
        <item x="218"/>
        <item x="252"/>
        <item x="315"/>
        <item x="310"/>
        <item x="69"/>
        <item x="351"/>
        <item x="226"/>
        <item x="349"/>
        <item x="87"/>
        <item x="28"/>
        <item x="223"/>
        <item x="112"/>
        <item x="376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axis="axisRow" showAll="0" sortType="a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9" showAll="0"/>
    <pivotField showAll="0">
      <items count="4">
        <item x="1"/>
        <item x="0"/>
        <item x="2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Súčet z Trzba" fld="13" baseField="0" baseItem="0"/>
  </dataFields>
  <formats count="8"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19" type="button" dataOnly="0" labelOnly="1" outline="0"/>
    </format>
    <format dxfId="45">
      <pivotArea dataOnly="0" labelOnly="1" grandRow="1" outline="0" fieldPosition="0"/>
    </format>
    <format dxfId="44">
      <pivotArea dataOnly="0" labelOnly="1" outline="0" axis="axisValues" fieldPosition="0"/>
    </format>
    <format dxfId="43">
      <pivotArea dataOnly="0" labelOnly="1" grandRow="1" outline="0" fieldPosition="0"/>
    </format>
    <format dxfId="42">
      <pivotArea grandRow="1" outline="0" collapsedLevelsAreSubtotals="1" fieldPosition="0"/>
    </format>
    <format dxfId="41">
      <pivotArea collapsedLevelsAreSubtotals="1" fieldPosition="0">
        <references count="1">
          <reference field="7" count="0"/>
        </references>
      </pivotArea>
    </format>
  </format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62A447-28E0-4745-84AC-C07CE6622EF6}" name="Top_3_produktov_podla_kategorie" cacheId="0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63">
  <location ref="L38:M55" firstHeaderRow="1" firstDataRow="1" firstDataCol="1"/>
  <pivotFields count="25">
    <pivotField numFmtId="14" showAll="0">
      <items count="388">
        <item x="114"/>
        <item x="41"/>
        <item x="275"/>
        <item x="197"/>
        <item x="273"/>
        <item x="274"/>
        <item x="316"/>
        <item x="13"/>
        <item x="168"/>
        <item x="74"/>
        <item x="23"/>
        <item x="260"/>
        <item x="77"/>
        <item x="25"/>
        <item x="291"/>
        <item x="73"/>
        <item x="374"/>
        <item x="93"/>
        <item x="322"/>
        <item x="306"/>
        <item x="164"/>
        <item x="162"/>
        <item x="146"/>
        <item x="154"/>
        <item x="253"/>
        <item x="153"/>
        <item x="86"/>
        <item x="254"/>
        <item x="240"/>
        <item x="64"/>
        <item x="182"/>
        <item x="1"/>
        <item x="83"/>
        <item x="228"/>
        <item x="139"/>
        <item x="186"/>
        <item x="326"/>
        <item x="36"/>
        <item x="155"/>
        <item x="277"/>
        <item x="354"/>
        <item x="270"/>
        <item x="157"/>
        <item x="9"/>
        <item x="263"/>
        <item x="293"/>
        <item x="142"/>
        <item x="131"/>
        <item x="201"/>
        <item x="127"/>
        <item x="265"/>
        <item x="358"/>
        <item x="372"/>
        <item x="185"/>
        <item x="173"/>
        <item x="106"/>
        <item x="216"/>
        <item x="81"/>
        <item x="26"/>
        <item x="130"/>
        <item x="63"/>
        <item x="286"/>
        <item x="180"/>
        <item x="299"/>
        <item x="355"/>
        <item x="30"/>
        <item x="380"/>
        <item x="334"/>
        <item x="159"/>
        <item x="264"/>
        <item x="59"/>
        <item x="278"/>
        <item x="241"/>
        <item x="134"/>
        <item x="367"/>
        <item x="8"/>
        <item x="317"/>
        <item x="170"/>
        <item x="312"/>
        <item x="215"/>
        <item x="101"/>
        <item x="171"/>
        <item x="370"/>
        <item x="341"/>
        <item x="123"/>
        <item x="266"/>
        <item x="48"/>
        <item x="42"/>
        <item x="190"/>
        <item x="5"/>
        <item x="346"/>
        <item x="51"/>
        <item x="84"/>
        <item x="3"/>
        <item x="375"/>
        <item x="29"/>
        <item x="115"/>
        <item x="276"/>
        <item x="381"/>
        <item x="359"/>
        <item x="233"/>
        <item x="368"/>
        <item x="152"/>
        <item x="19"/>
        <item x="221"/>
        <item x="11"/>
        <item x="244"/>
        <item x="248"/>
        <item x="160"/>
        <item x="352"/>
        <item x="303"/>
        <item x="149"/>
        <item x="308"/>
        <item x="12"/>
        <item x="132"/>
        <item x="116"/>
        <item x="45"/>
        <item x="295"/>
        <item x="163"/>
        <item x="258"/>
        <item x="95"/>
        <item x="231"/>
        <item x="338"/>
        <item x="196"/>
        <item x="46"/>
        <item x="298"/>
        <item x="92"/>
        <item x="57"/>
        <item x="369"/>
        <item x="385"/>
        <item x="285"/>
        <item x="373"/>
        <item x="102"/>
        <item x="165"/>
        <item x="379"/>
        <item x="60"/>
        <item x="138"/>
        <item x="22"/>
        <item x="219"/>
        <item x="166"/>
        <item x="282"/>
        <item x="148"/>
        <item x="43"/>
        <item x="44"/>
        <item x="337"/>
        <item x="90"/>
        <item x="96"/>
        <item x="309"/>
        <item x="357"/>
        <item x="250"/>
        <item x="141"/>
        <item x="35"/>
        <item x="302"/>
        <item x="110"/>
        <item x="111"/>
        <item x="100"/>
        <item x="128"/>
        <item x="366"/>
        <item x="342"/>
        <item x="177"/>
        <item x="204"/>
        <item x="17"/>
        <item x="174"/>
        <item x="289"/>
        <item x="364"/>
        <item x="328"/>
        <item x="89"/>
        <item x="24"/>
        <item x="126"/>
        <item x="239"/>
        <item x="287"/>
        <item x="181"/>
        <item x="194"/>
        <item x="191"/>
        <item x="31"/>
        <item x="66"/>
        <item x="348"/>
        <item x="211"/>
        <item x="118"/>
        <item x="54"/>
        <item x="97"/>
        <item x="267"/>
        <item x="320"/>
        <item x="304"/>
        <item x="224"/>
        <item x="198"/>
        <item x="39"/>
        <item x="58"/>
        <item x="356"/>
        <item x="68"/>
        <item x="61"/>
        <item x="305"/>
        <item x="257"/>
        <item x="386"/>
        <item x="234"/>
        <item x="137"/>
        <item x="71"/>
        <item x="212"/>
        <item x="255"/>
        <item x="313"/>
        <item x="200"/>
        <item x="292"/>
        <item x="76"/>
        <item x="246"/>
        <item x="53"/>
        <item x="98"/>
        <item x="333"/>
        <item x="10"/>
        <item x="230"/>
        <item x="335"/>
        <item x="133"/>
        <item x="336"/>
        <item x="145"/>
        <item x="319"/>
        <item x="330"/>
        <item x="47"/>
        <item x="327"/>
        <item x="113"/>
        <item x="214"/>
        <item x="140"/>
        <item x="72"/>
        <item x="206"/>
        <item x="184"/>
        <item x="119"/>
        <item x="78"/>
        <item x="365"/>
        <item x="262"/>
        <item x="314"/>
        <item x="279"/>
        <item x="232"/>
        <item x="382"/>
        <item x="37"/>
        <item x="384"/>
        <item x="40"/>
        <item x="225"/>
        <item x="117"/>
        <item x="79"/>
        <item x="175"/>
        <item x="21"/>
        <item x="99"/>
        <item x="189"/>
        <item x="331"/>
        <item x="129"/>
        <item x="156"/>
        <item x="217"/>
        <item x="362"/>
        <item x="4"/>
        <item x="378"/>
        <item x="147"/>
        <item x="195"/>
        <item x="318"/>
        <item x="256"/>
        <item x="94"/>
        <item x="251"/>
        <item x="105"/>
        <item x="325"/>
        <item x="38"/>
        <item x="339"/>
        <item x="124"/>
        <item x="207"/>
        <item x="294"/>
        <item x="125"/>
        <item x="329"/>
        <item x="247"/>
        <item x="82"/>
        <item x="323"/>
        <item x="179"/>
        <item x="65"/>
        <item x="321"/>
        <item x="332"/>
        <item x="296"/>
        <item x="345"/>
        <item x="360"/>
        <item x="56"/>
        <item x="343"/>
        <item x="80"/>
        <item x="50"/>
        <item x="213"/>
        <item x="235"/>
        <item x="272"/>
        <item x="121"/>
        <item x="178"/>
        <item x="209"/>
        <item x="49"/>
        <item x="169"/>
        <item x="158"/>
        <item x="0"/>
        <item x="340"/>
        <item x="16"/>
        <item x="208"/>
        <item x="27"/>
        <item x="14"/>
        <item x="172"/>
        <item x="109"/>
        <item x="220"/>
        <item x="363"/>
        <item x="192"/>
        <item x="301"/>
        <item x="237"/>
        <item x="55"/>
        <item x="297"/>
        <item x="280"/>
        <item x="188"/>
        <item x="300"/>
        <item x="227"/>
        <item x="7"/>
        <item x="307"/>
        <item x="75"/>
        <item x="120"/>
        <item x="281"/>
        <item x="261"/>
        <item x="202"/>
        <item x="350"/>
        <item x="271"/>
        <item x="245"/>
        <item x="103"/>
        <item x="32"/>
        <item x="91"/>
        <item x="236"/>
        <item x="20"/>
        <item x="144"/>
        <item x="284"/>
        <item x="150"/>
        <item x="229"/>
        <item x="151"/>
        <item x="371"/>
        <item x="203"/>
        <item x="383"/>
        <item x="15"/>
        <item x="18"/>
        <item x="136"/>
        <item x="135"/>
        <item x="283"/>
        <item x="67"/>
        <item x="161"/>
        <item x="344"/>
        <item x="6"/>
        <item x="288"/>
        <item x="290"/>
        <item x="377"/>
        <item x="143"/>
        <item x="210"/>
        <item x="33"/>
        <item x="249"/>
        <item x="108"/>
        <item x="347"/>
        <item x="85"/>
        <item x="62"/>
        <item x="259"/>
        <item x="2"/>
        <item x="238"/>
        <item x="353"/>
        <item x="88"/>
        <item x="104"/>
        <item x="268"/>
        <item x="34"/>
        <item x="122"/>
        <item x="52"/>
        <item x="311"/>
        <item x="176"/>
        <item x="70"/>
        <item x="187"/>
        <item x="205"/>
        <item x="242"/>
        <item x="361"/>
        <item x="183"/>
        <item x="222"/>
        <item x="167"/>
        <item x="269"/>
        <item x="193"/>
        <item x="199"/>
        <item x="324"/>
        <item x="243"/>
        <item x="107"/>
        <item x="218"/>
        <item x="252"/>
        <item x="315"/>
        <item x="310"/>
        <item x="69"/>
        <item x="351"/>
        <item x="226"/>
        <item x="349"/>
        <item x="87"/>
        <item x="28"/>
        <item x="223"/>
        <item x="112"/>
        <item x="376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 sortType="ascending"/>
    <pivotField axis="axisRow" showAll="0" sortType="a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measureFilter="1" sortType="ascending">
      <items count="33">
        <item x="22"/>
        <item x="13"/>
        <item x="6"/>
        <item x="21"/>
        <item x="1"/>
        <item x="8"/>
        <item x="7"/>
        <item x="25"/>
        <item x="23"/>
        <item x="27"/>
        <item x="14"/>
        <item x="5"/>
        <item x="20"/>
        <item x="0"/>
        <item x="17"/>
        <item x="28"/>
        <item x="30"/>
        <item x="19"/>
        <item x="29"/>
        <item x="16"/>
        <item x="9"/>
        <item x="15"/>
        <item x="24"/>
        <item x="31"/>
        <item x="11"/>
        <item x="2"/>
        <item x="26"/>
        <item x="12"/>
        <item x="18"/>
        <item x="3"/>
        <item x="10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numFmtId="9" showAll="0"/>
    <pivotField showAll="0">
      <items count="4">
        <item x="1"/>
        <item x="0"/>
        <item x="2"/>
        <item t="default"/>
      </items>
    </pivotField>
    <pivotField showAll="0">
      <items count="13">
        <item x="8"/>
        <item x="4"/>
        <item x="1"/>
        <item x="6"/>
        <item x="11"/>
        <item x="10"/>
        <item x="3"/>
        <item x="2"/>
        <item x="7"/>
        <item x="0"/>
        <item x="9"/>
        <item x="5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7"/>
    <field x="8"/>
  </rowFields>
  <rowItems count="17">
    <i>
      <x v="3"/>
    </i>
    <i r="1">
      <x v="1"/>
    </i>
    <i r="1">
      <x v="2"/>
    </i>
    <i r="1">
      <x v="5"/>
    </i>
    <i>
      <x v="2"/>
    </i>
    <i r="1">
      <x v="25"/>
    </i>
    <i r="1">
      <x v="27"/>
    </i>
    <i r="1">
      <x v="31"/>
    </i>
    <i>
      <x/>
    </i>
    <i r="1">
      <x v="4"/>
    </i>
    <i r="1">
      <x v="28"/>
    </i>
    <i r="1">
      <x v="29"/>
    </i>
    <i>
      <x v="1"/>
    </i>
    <i r="1">
      <x v="11"/>
    </i>
    <i r="1">
      <x v="13"/>
    </i>
    <i r="1">
      <x v="20"/>
    </i>
    <i t="grand">
      <x/>
    </i>
  </rowItems>
  <colItems count="1">
    <i/>
  </colItems>
  <dataFields count="1">
    <dataField name="Súčet z Trzba" fld="13" baseField="0" baseItem="0"/>
  </dataFields>
  <formats count="14"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19" type="button" dataOnly="0" labelOnly="1" outline="0"/>
    </format>
    <format dxfId="59">
      <pivotArea dataOnly="0" labelOnly="1" grandRow="1" outline="0" fieldPosition="0"/>
    </format>
    <format dxfId="58">
      <pivotArea dataOnly="0" labelOnly="1" outline="0" axis="axisValues" fieldPosition="0"/>
    </format>
    <format dxfId="57">
      <pivotArea dataOnly="0" labelOnly="1" grandRow="1" outline="0" fieldPosition="0"/>
    </format>
    <format dxfId="56">
      <pivotArea grandRow="1" outline="0" collapsedLevelsAreSubtotals="1" fieldPosition="0"/>
    </format>
    <format dxfId="55">
      <pivotArea collapsedLevelsAreSubtotals="1" fieldPosition="0">
        <references count="2">
          <reference field="7" count="1" selected="0">
            <x v="0"/>
          </reference>
          <reference field="8" count="8">
            <x v="4"/>
            <x v="9"/>
            <x v="10"/>
            <x v="14"/>
            <x v="21"/>
            <x v="22"/>
            <x v="28"/>
            <x v="29"/>
          </reference>
        </references>
      </pivotArea>
    </format>
    <format dxfId="54">
      <pivotArea collapsedLevelsAreSubtotals="1" fieldPosition="0">
        <references count="1">
          <reference field="7" count="1">
            <x v="1"/>
          </reference>
        </references>
      </pivotArea>
    </format>
    <format dxfId="53">
      <pivotArea collapsedLevelsAreSubtotals="1" fieldPosition="0">
        <references count="2">
          <reference field="7" count="1" selected="0">
            <x v="1"/>
          </reference>
          <reference field="8" count="8">
            <x v="6"/>
            <x v="11"/>
            <x v="12"/>
            <x v="13"/>
            <x v="19"/>
            <x v="20"/>
            <x v="24"/>
            <x v="30"/>
          </reference>
        </references>
      </pivotArea>
    </format>
    <format dxfId="52">
      <pivotArea collapsedLevelsAreSubtotals="1" fieldPosition="0">
        <references count="1">
          <reference field="7" count="1">
            <x v="2"/>
          </reference>
        </references>
      </pivotArea>
    </format>
    <format dxfId="51">
      <pivotArea collapsedLevelsAreSubtotals="1" fieldPosition="0">
        <references count="2">
          <reference field="7" count="1" selected="0">
            <x v="2"/>
          </reference>
          <reference field="8" count="8">
            <x v="8"/>
            <x v="15"/>
            <x v="16"/>
            <x v="18"/>
            <x v="23"/>
            <x v="25"/>
            <x v="27"/>
            <x v="31"/>
          </reference>
        </references>
      </pivotArea>
    </format>
    <format dxfId="50">
      <pivotArea collapsedLevelsAreSubtotals="1" fieldPosition="0">
        <references count="1">
          <reference field="7" count="1">
            <x v="3"/>
          </reference>
        </references>
      </pivotArea>
    </format>
    <format dxfId="49">
      <pivotArea collapsedLevelsAreSubtotals="1" fieldPosition="0">
        <references count="2">
          <reference field="7" count="1" selected="0">
            <x v="3"/>
          </reference>
          <reference field="8" count="8">
            <x v="0"/>
            <x v="1"/>
            <x v="2"/>
            <x v="3"/>
            <x v="5"/>
            <x v="7"/>
            <x v="17"/>
            <x v="26"/>
          </reference>
        </references>
      </pivotArea>
    </format>
  </formats>
  <chartFormats count="3">
    <chartFormat chart="4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9" showRowHeaders="1" showColHeaders="1" showRowStripes="0" showColStripes="0" showLastColumn="1"/>
  <filters count="1">
    <filter fld="8" type="count" evalOrder="-1" id="1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CF4BC8-3F96-4AA4-93BA-6A30FC7A1543}" name="Trzba_podla_kanala" cacheId="0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27">
  <location ref="A25:E39" firstHeaderRow="1" firstDataRow="2" firstDataCol="1"/>
  <pivotFields count="25">
    <pivotField numFmtId="14" showAll="0">
      <items count="388">
        <item x="114"/>
        <item x="41"/>
        <item x="275"/>
        <item x="197"/>
        <item x="273"/>
        <item x="274"/>
        <item x="316"/>
        <item x="13"/>
        <item x="168"/>
        <item x="74"/>
        <item x="23"/>
        <item x="260"/>
        <item x="77"/>
        <item x="25"/>
        <item x="291"/>
        <item x="73"/>
        <item x="374"/>
        <item x="93"/>
        <item x="322"/>
        <item x="306"/>
        <item x="164"/>
        <item x="162"/>
        <item x="146"/>
        <item x="154"/>
        <item x="253"/>
        <item x="153"/>
        <item x="86"/>
        <item x="254"/>
        <item x="240"/>
        <item x="64"/>
        <item x="182"/>
        <item x="1"/>
        <item x="83"/>
        <item x="228"/>
        <item x="139"/>
        <item x="186"/>
        <item x="326"/>
        <item x="36"/>
        <item x="155"/>
        <item x="277"/>
        <item x="354"/>
        <item x="270"/>
        <item x="157"/>
        <item x="9"/>
        <item x="263"/>
        <item x="293"/>
        <item x="142"/>
        <item x="131"/>
        <item x="201"/>
        <item x="127"/>
        <item x="265"/>
        <item x="358"/>
        <item x="372"/>
        <item x="185"/>
        <item x="173"/>
        <item x="106"/>
        <item x="216"/>
        <item x="81"/>
        <item x="26"/>
        <item x="130"/>
        <item x="63"/>
        <item x="286"/>
        <item x="180"/>
        <item x="299"/>
        <item x="355"/>
        <item x="30"/>
        <item x="380"/>
        <item x="334"/>
        <item x="159"/>
        <item x="264"/>
        <item x="59"/>
        <item x="278"/>
        <item x="241"/>
        <item x="134"/>
        <item x="367"/>
        <item x="8"/>
        <item x="317"/>
        <item x="170"/>
        <item x="312"/>
        <item x="215"/>
        <item x="101"/>
        <item x="171"/>
        <item x="370"/>
        <item x="341"/>
        <item x="123"/>
        <item x="266"/>
        <item x="48"/>
        <item x="42"/>
        <item x="190"/>
        <item x="5"/>
        <item x="346"/>
        <item x="51"/>
        <item x="84"/>
        <item x="3"/>
        <item x="375"/>
        <item x="29"/>
        <item x="115"/>
        <item x="276"/>
        <item x="381"/>
        <item x="359"/>
        <item x="233"/>
        <item x="368"/>
        <item x="152"/>
        <item x="19"/>
        <item x="221"/>
        <item x="11"/>
        <item x="244"/>
        <item x="248"/>
        <item x="160"/>
        <item x="352"/>
        <item x="303"/>
        <item x="149"/>
        <item x="308"/>
        <item x="12"/>
        <item x="132"/>
        <item x="116"/>
        <item x="45"/>
        <item x="295"/>
        <item x="163"/>
        <item x="258"/>
        <item x="95"/>
        <item x="231"/>
        <item x="338"/>
        <item x="196"/>
        <item x="46"/>
        <item x="298"/>
        <item x="92"/>
        <item x="57"/>
        <item x="369"/>
        <item x="385"/>
        <item x="285"/>
        <item x="373"/>
        <item x="102"/>
        <item x="165"/>
        <item x="379"/>
        <item x="60"/>
        <item x="138"/>
        <item x="22"/>
        <item x="219"/>
        <item x="166"/>
        <item x="282"/>
        <item x="148"/>
        <item x="43"/>
        <item x="44"/>
        <item x="337"/>
        <item x="90"/>
        <item x="96"/>
        <item x="309"/>
        <item x="357"/>
        <item x="250"/>
        <item x="141"/>
        <item x="35"/>
        <item x="302"/>
        <item x="110"/>
        <item x="111"/>
        <item x="100"/>
        <item x="128"/>
        <item x="366"/>
        <item x="342"/>
        <item x="177"/>
        <item x="204"/>
        <item x="17"/>
        <item x="174"/>
        <item x="289"/>
        <item x="364"/>
        <item x="328"/>
        <item x="89"/>
        <item x="24"/>
        <item x="126"/>
        <item x="239"/>
        <item x="287"/>
        <item x="181"/>
        <item x="194"/>
        <item x="191"/>
        <item x="31"/>
        <item x="66"/>
        <item x="348"/>
        <item x="211"/>
        <item x="118"/>
        <item x="54"/>
        <item x="97"/>
        <item x="267"/>
        <item x="320"/>
        <item x="304"/>
        <item x="224"/>
        <item x="198"/>
        <item x="39"/>
        <item x="58"/>
        <item x="356"/>
        <item x="68"/>
        <item x="61"/>
        <item x="305"/>
        <item x="257"/>
        <item x="386"/>
        <item x="234"/>
        <item x="137"/>
        <item x="71"/>
        <item x="212"/>
        <item x="255"/>
        <item x="313"/>
        <item x="200"/>
        <item x="292"/>
        <item x="76"/>
        <item x="246"/>
        <item x="53"/>
        <item x="98"/>
        <item x="333"/>
        <item x="10"/>
        <item x="230"/>
        <item x="335"/>
        <item x="133"/>
        <item x="336"/>
        <item x="145"/>
        <item x="319"/>
        <item x="330"/>
        <item x="47"/>
        <item x="327"/>
        <item x="113"/>
        <item x="214"/>
        <item x="140"/>
        <item x="72"/>
        <item x="206"/>
        <item x="184"/>
        <item x="119"/>
        <item x="78"/>
        <item x="365"/>
        <item x="262"/>
        <item x="314"/>
        <item x="279"/>
        <item x="232"/>
        <item x="382"/>
        <item x="37"/>
        <item x="384"/>
        <item x="40"/>
        <item x="225"/>
        <item x="117"/>
        <item x="79"/>
        <item x="175"/>
        <item x="21"/>
        <item x="99"/>
        <item x="189"/>
        <item x="331"/>
        <item x="129"/>
        <item x="156"/>
        <item x="217"/>
        <item x="362"/>
        <item x="4"/>
        <item x="378"/>
        <item x="147"/>
        <item x="195"/>
        <item x="318"/>
        <item x="256"/>
        <item x="94"/>
        <item x="251"/>
        <item x="105"/>
        <item x="325"/>
        <item x="38"/>
        <item x="339"/>
        <item x="124"/>
        <item x="207"/>
        <item x="294"/>
        <item x="125"/>
        <item x="329"/>
        <item x="247"/>
        <item x="82"/>
        <item x="323"/>
        <item x="179"/>
        <item x="65"/>
        <item x="321"/>
        <item x="332"/>
        <item x="296"/>
        <item x="345"/>
        <item x="360"/>
        <item x="56"/>
        <item x="343"/>
        <item x="80"/>
        <item x="50"/>
        <item x="213"/>
        <item x="235"/>
        <item x="272"/>
        <item x="121"/>
        <item x="178"/>
        <item x="209"/>
        <item x="49"/>
        <item x="169"/>
        <item x="158"/>
        <item x="0"/>
        <item x="340"/>
        <item x="16"/>
        <item x="208"/>
        <item x="27"/>
        <item x="14"/>
        <item x="172"/>
        <item x="109"/>
        <item x="220"/>
        <item x="363"/>
        <item x="192"/>
        <item x="301"/>
        <item x="237"/>
        <item x="55"/>
        <item x="297"/>
        <item x="280"/>
        <item x="188"/>
        <item x="300"/>
        <item x="227"/>
        <item x="7"/>
        <item x="307"/>
        <item x="75"/>
        <item x="120"/>
        <item x="281"/>
        <item x="261"/>
        <item x="202"/>
        <item x="350"/>
        <item x="271"/>
        <item x="245"/>
        <item x="103"/>
        <item x="32"/>
        <item x="91"/>
        <item x="236"/>
        <item x="20"/>
        <item x="144"/>
        <item x="284"/>
        <item x="150"/>
        <item x="229"/>
        <item x="151"/>
        <item x="371"/>
        <item x="203"/>
        <item x="383"/>
        <item x="15"/>
        <item x="18"/>
        <item x="136"/>
        <item x="135"/>
        <item x="283"/>
        <item x="67"/>
        <item x="161"/>
        <item x="344"/>
        <item x="6"/>
        <item x="288"/>
        <item x="290"/>
        <item x="377"/>
        <item x="143"/>
        <item x="210"/>
        <item x="33"/>
        <item x="249"/>
        <item x="108"/>
        <item x="347"/>
        <item x="85"/>
        <item x="62"/>
        <item x="259"/>
        <item x="2"/>
        <item x="238"/>
        <item x="353"/>
        <item x="88"/>
        <item x="104"/>
        <item x="268"/>
        <item x="34"/>
        <item x="122"/>
        <item x="52"/>
        <item x="311"/>
        <item x="176"/>
        <item x="70"/>
        <item x="187"/>
        <item x="205"/>
        <item x="242"/>
        <item x="361"/>
        <item x="183"/>
        <item x="222"/>
        <item x="167"/>
        <item x="269"/>
        <item x="193"/>
        <item x="199"/>
        <item x="324"/>
        <item x="243"/>
        <item x="107"/>
        <item x="218"/>
        <item x="252"/>
        <item x="315"/>
        <item x="310"/>
        <item x="69"/>
        <item x="351"/>
        <item x="226"/>
        <item x="349"/>
        <item x="87"/>
        <item x="28"/>
        <item x="223"/>
        <item x="112"/>
        <item x="376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axis="axisCol" showAll="0">
      <items count="4">
        <item x="2"/>
        <item x="0"/>
        <item x="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9" showAll="0"/>
    <pivotField showAll="0">
      <items count="4">
        <item x="1"/>
        <item x="0"/>
        <item x="2"/>
        <item t="default"/>
      </items>
    </pivotField>
    <pivotField axis="axisRow" showAll="0">
      <items count="13">
        <item x="8"/>
        <item x="4"/>
        <item x="1"/>
        <item x="6"/>
        <item x="11"/>
        <item x="10"/>
        <item x="3"/>
        <item x="2"/>
        <item x="7"/>
        <item x="0"/>
        <item x="9"/>
        <item x="5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účet z Trzba" fld="13" showDataAs="percentOfRow" baseField="0" baseItem="0" numFmtId="10"/>
  </dataFields>
  <formats count="8">
    <format dxfId="70">
      <pivotArea type="all" dataOnly="0" outline="0" fieldPosition="0"/>
    </format>
    <format dxfId="69">
      <pivotArea outline="0" collapsedLevelsAreSubtotals="1" fieldPosition="0"/>
    </format>
    <format dxfId="68">
      <pivotArea field="19" type="button" dataOnly="0" labelOnly="1" outline="0"/>
    </format>
    <format dxfId="67">
      <pivotArea dataOnly="0" labelOnly="1" grandRow="1" outline="0" fieldPosition="0"/>
    </format>
    <format dxfId="66">
      <pivotArea dataOnly="0" labelOnly="1" outline="0" axis="axisValues" fieldPosition="0"/>
    </format>
    <format dxfId="65">
      <pivotArea dataOnly="0" labelOnly="1" grandRow="1" outline="0" fieldPosition="0"/>
    </format>
    <format dxfId="64">
      <pivotArea grandRow="1" outline="0" collapsedLevelsAreSubtotals="1" fieldPosition="0"/>
    </format>
    <format dxfId="63">
      <pivotArea outline="0" fieldPosition="0">
        <references count="1">
          <reference field="4294967294" count="1">
            <x v="0"/>
          </reference>
        </references>
      </pivotArea>
    </format>
  </formats>
  <chartFormats count="21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5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2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2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4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4" format="2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4" format="2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6" format="2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6" format="2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6" format="2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6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5AAE10-E034-453F-8F76-299A69CE5F0B}" name="Top 5 produktov_podla_kanala_trzby" cacheId="0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compact="0" compactData="0" multipleFieldFilters="0" chartFormat="46">
  <location ref="N25:R32" firstHeaderRow="1" firstDataRow="2" firstDataCol="1"/>
  <pivotFields count="25">
    <pivotField compact="0" numFmtId="14" outline="0" showAll="0">
      <items count="388">
        <item x="114"/>
        <item x="41"/>
        <item x="275"/>
        <item x="197"/>
        <item x="273"/>
        <item x="274"/>
        <item x="316"/>
        <item x="13"/>
        <item x="168"/>
        <item x="74"/>
        <item x="23"/>
        <item x="260"/>
        <item x="77"/>
        <item x="25"/>
        <item x="291"/>
        <item x="73"/>
        <item x="374"/>
        <item x="93"/>
        <item x="322"/>
        <item x="306"/>
        <item x="164"/>
        <item x="162"/>
        <item x="146"/>
        <item x="154"/>
        <item x="253"/>
        <item x="153"/>
        <item x="86"/>
        <item x="254"/>
        <item x="240"/>
        <item x="64"/>
        <item x="182"/>
        <item x="1"/>
        <item x="83"/>
        <item x="228"/>
        <item x="139"/>
        <item x="186"/>
        <item x="326"/>
        <item x="36"/>
        <item x="155"/>
        <item x="277"/>
        <item x="354"/>
        <item x="270"/>
        <item x="157"/>
        <item x="9"/>
        <item x="263"/>
        <item x="293"/>
        <item x="142"/>
        <item x="131"/>
        <item x="201"/>
        <item x="127"/>
        <item x="265"/>
        <item x="358"/>
        <item x="372"/>
        <item x="185"/>
        <item x="173"/>
        <item x="106"/>
        <item x="216"/>
        <item x="81"/>
        <item x="26"/>
        <item x="130"/>
        <item x="63"/>
        <item x="286"/>
        <item x="180"/>
        <item x="299"/>
        <item x="355"/>
        <item x="30"/>
        <item x="380"/>
        <item x="334"/>
        <item x="159"/>
        <item x="264"/>
        <item x="59"/>
        <item x="278"/>
        <item x="241"/>
        <item x="134"/>
        <item x="367"/>
        <item x="8"/>
        <item x="317"/>
        <item x="170"/>
        <item x="312"/>
        <item x="215"/>
        <item x="101"/>
        <item x="171"/>
        <item x="370"/>
        <item x="341"/>
        <item x="123"/>
        <item x="266"/>
        <item x="48"/>
        <item x="42"/>
        <item x="190"/>
        <item x="5"/>
        <item x="346"/>
        <item x="51"/>
        <item x="84"/>
        <item x="3"/>
        <item x="375"/>
        <item x="29"/>
        <item x="115"/>
        <item x="276"/>
        <item x="381"/>
        <item x="359"/>
        <item x="233"/>
        <item x="368"/>
        <item x="152"/>
        <item x="19"/>
        <item x="221"/>
        <item x="11"/>
        <item x="244"/>
        <item x="248"/>
        <item x="160"/>
        <item x="352"/>
        <item x="303"/>
        <item x="149"/>
        <item x="308"/>
        <item x="12"/>
        <item x="132"/>
        <item x="116"/>
        <item x="45"/>
        <item x="295"/>
        <item x="163"/>
        <item x="258"/>
        <item x="95"/>
        <item x="231"/>
        <item x="338"/>
        <item x="196"/>
        <item x="46"/>
        <item x="298"/>
        <item x="92"/>
        <item x="57"/>
        <item x="369"/>
        <item x="385"/>
        <item x="285"/>
        <item x="373"/>
        <item x="102"/>
        <item x="165"/>
        <item x="379"/>
        <item x="60"/>
        <item x="138"/>
        <item x="22"/>
        <item x="219"/>
        <item x="166"/>
        <item x="282"/>
        <item x="148"/>
        <item x="43"/>
        <item x="44"/>
        <item x="337"/>
        <item x="90"/>
        <item x="96"/>
        <item x="309"/>
        <item x="357"/>
        <item x="250"/>
        <item x="141"/>
        <item x="35"/>
        <item x="302"/>
        <item x="110"/>
        <item x="111"/>
        <item x="100"/>
        <item x="128"/>
        <item x="366"/>
        <item x="342"/>
        <item x="177"/>
        <item x="204"/>
        <item x="17"/>
        <item x="174"/>
        <item x="289"/>
        <item x="364"/>
        <item x="328"/>
        <item x="89"/>
        <item x="24"/>
        <item x="126"/>
        <item x="239"/>
        <item x="287"/>
        <item x="181"/>
        <item x="194"/>
        <item x="191"/>
        <item x="31"/>
        <item x="66"/>
        <item x="348"/>
        <item x="211"/>
        <item x="118"/>
        <item x="54"/>
        <item x="97"/>
        <item x="267"/>
        <item x="320"/>
        <item x="304"/>
        <item x="224"/>
        <item x="198"/>
        <item x="39"/>
        <item x="58"/>
        <item x="356"/>
        <item x="68"/>
        <item x="61"/>
        <item x="305"/>
        <item x="257"/>
        <item x="386"/>
        <item x="234"/>
        <item x="137"/>
        <item x="71"/>
        <item x="212"/>
        <item x="255"/>
        <item x="313"/>
        <item x="200"/>
        <item x="292"/>
        <item x="76"/>
        <item x="246"/>
        <item x="53"/>
        <item x="98"/>
        <item x="333"/>
        <item x="10"/>
        <item x="230"/>
        <item x="335"/>
        <item x="133"/>
        <item x="336"/>
        <item x="145"/>
        <item x="319"/>
        <item x="330"/>
        <item x="47"/>
        <item x="327"/>
        <item x="113"/>
        <item x="214"/>
        <item x="140"/>
        <item x="72"/>
        <item x="206"/>
        <item x="184"/>
        <item x="119"/>
        <item x="78"/>
        <item x="365"/>
        <item x="262"/>
        <item x="314"/>
        <item x="279"/>
        <item x="232"/>
        <item x="382"/>
        <item x="37"/>
        <item x="384"/>
        <item x="40"/>
        <item x="225"/>
        <item x="117"/>
        <item x="79"/>
        <item x="175"/>
        <item x="21"/>
        <item x="99"/>
        <item x="189"/>
        <item x="331"/>
        <item x="129"/>
        <item x="156"/>
        <item x="217"/>
        <item x="362"/>
        <item x="4"/>
        <item x="378"/>
        <item x="147"/>
        <item x="195"/>
        <item x="318"/>
        <item x="256"/>
        <item x="94"/>
        <item x="251"/>
        <item x="105"/>
        <item x="325"/>
        <item x="38"/>
        <item x="339"/>
        <item x="124"/>
        <item x="207"/>
        <item x="294"/>
        <item x="125"/>
        <item x="329"/>
        <item x="247"/>
        <item x="82"/>
        <item x="323"/>
        <item x="179"/>
        <item x="65"/>
        <item x="321"/>
        <item x="332"/>
        <item x="296"/>
        <item x="345"/>
        <item x="360"/>
        <item x="56"/>
        <item x="343"/>
        <item x="80"/>
        <item x="50"/>
        <item x="213"/>
        <item x="235"/>
        <item x="272"/>
        <item x="121"/>
        <item x="178"/>
        <item x="209"/>
        <item x="49"/>
        <item x="169"/>
        <item x="158"/>
        <item x="0"/>
        <item x="340"/>
        <item x="16"/>
        <item x="208"/>
        <item x="27"/>
        <item x="14"/>
        <item x="172"/>
        <item x="109"/>
        <item x="220"/>
        <item x="363"/>
        <item x="192"/>
        <item x="301"/>
        <item x="237"/>
        <item x="55"/>
        <item x="297"/>
        <item x="280"/>
        <item x="188"/>
        <item x="300"/>
        <item x="227"/>
        <item x="7"/>
        <item x="307"/>
        <item x="75"/>
        <item x="120"/>
        <item x="281"/>
        <item x="261"/>
        <item x="202"/>
        <item x="350"/>
        <item x="271"/>
        <item x="245"/>
        <item x="103"/>
        <item x="32"/>
        <item x="91"/>
        <item x="236"/>
        <item x="20"/>
        <item x="144"/>
        <item x="284"/>
        <item x="150"/>
        <item x="229"/>
        <item x="151"/>
        <item x="371"/>
        <item x="203"/>
        <item x="383"/>
        <item x="15"/>
        <item x="18"/>
        <item x="136"/>
        <item x="135"/>
        <item x="283"/>
        <item x="67"/>
        <item x="161"/>
        <item x="344"/>
        <item x="6"/>
        <item x="288"/>
        <item x="290"/>
        <item x="377"/>
        <item x="143"/>
        <item x="210"/>
        <item x="33"/>
        <item x="249"/>
        <item x="108"/>
        <item x="347"/>
        <item x="85"/>
        <item x="62"/>
        <item x="259"/>
        <item x="2"/>
        <item x="238"/>
        <item x="353"/>
        <item x="88"/>
        <item x="104"/>
        <item x="268"/>
        <item x="34"/>
        <item x="122"/>
        <item x="52"/>
        <item x="311"/>
        <item x="176"/>
        <item x="70"/>
        <item x="187"/>
        <item x="205"/>
        <item x="242"/>
        <item x="361"/>
        <item x="183"/>
        <item x="222"/>
        <item x="167"/>
        <item x="269"/>
        <item x="193"/>
        <item x="199"/>
        <item x="324"/>
        <item x="243"/>
        <item x="107"/>
        <item x="218"/>
        <item x="252"/>
        <item x="315"/>
        <item x="310"/>
        <item x="69"/>
        <item x="351"/>
        <item x="226"/>
        <item x="349"/>
        <item x="87"/>
        <item x="28"/>
        <item x="223"/>
        <item x="112"/>
        <item x="376"/>
        <item t="default"/>
      </items>
    </pivotField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axis="axisCol" compact="0" outline="0" showAll="0" sortType="ascending">
      <items count="4">
        <item x="2"/>
        <item x="0"/>
        <item x="1"/>
        <item t="default"/>
      </items>
    </pivotField>
    <pivotField compact="0" outline="0" showAll="0">
      <items count="5">
        <item x="1"/>
        <item x="0"/>
        <item x="2"/>
        <item x="3"/>
        <item t="default"/>
      </items>
    </pivotField>
    <pivotField axis="axisRow" compact="0" outline="0" showAll="0" measureFilter="1" sortType="ascending">
      <items count="33">
        <item x="22"/>
        <item x="13"/>
        <item x="6"/>
        <item x="21"/>
        <item x="1"/>
        <item x="8"/>
        <item x="7"/>
        <item x="25"/>
        <item x="23"/>
        <item x="27"/>
        <item x="14"/>
        <item x="5"/>
        <item x="20"/>
        <item x="0"/>
        <item x="17"/>
        <item x="28"/>
        <item x="30"/>
        <item x="19"/>
        <item x="29"/>
        <item x="16"/>
        <item x="9"/>
        <item x="15"/>
        <item x="24"/>
        <item x="31"/>
        <item x="11"/>
        <item x="2"/>
        <item x="26"/>
        <item x="12"/>
        <item x="18"/>
        <item x="3"/>
        <item x="1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9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>
      <items count="13">
        <item x="8"/>
        <item x="4"/>
        <item x="1"/>
        <item x="6"/>
        <item x="11"/>
        <item x="10"/>
        <item x="3"/>
        <item x="2"/>
        <item x="7"/>
        <item x="0"/>
        <item x="9"/>
        <item x="5"/>
        <item t="default"/>
      </items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6">
        <item sd="0" x="0"/>
        <item sd="0" x="1"/>
        <item sd="0" x="2"/>
        <item sd="0" x="3"/>
        <item sd="0" x="4"/>
        <item t="default"/>
      </items>
    </pivotField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8"/>
  </rowFields>
  <rowItems count="6">
    <i>
      <x v="4"/>
    </i>
    <i>
      <x v="11"/>
    </i>
    <i>
      <x v="13"/>
    </i>
    <i>
      <x v="25"/>
    </i>
    <i>
      <x v="29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účet z Trzba" fld="13" baseField="0" baseItem="0"/>
  </dataFields>
  <formats count="8">
    <format dxfId="78">
      <pivotArea type="all" dataOnly="0" outline="0" fieldPosition="0"/>
    </format>
    <format dxfId="77">
      <pivotArea outline="0" collapsedLevelsAreSubtotals="1" fieldPosition="0"/>
    </format>
    <format dxfId="76">
      <pivotArea field="19" type="button" dataOnly="0" labelOnly="1" outline="0"/>
    </format>
    <format dxfId="75">
      <pivotArea dataOnly="0" labelOnly="1" grandRow="1" outline="0" fieldPosition="0"/>
    </format>
    <format dxfId="74">
      <pivotArea dataOnly="0" labelOnly="1" outline="0" axis="axisValues" fieldPosition="0"/>
    </format>
    <format dxfId="73">
      <pivotArea dataOnly="0" labelOnly="1" grandRow="1" outline="0" fieldPosition="0"/>
    </format>
    <format dxfId="72">
      <pivotArea grandRow="1" outline="0" collapsedLevelsAreSubtotals="1" fieldPosition="0"/>
    </format>
    <format dxfId="71">
      <pivotArea outline="0" fieldPosition="0">
        <references count="1">
          <reference field="8" count="0" selected="0"/>
        </references>
      </pivotArea>
    </format>
  </formats>
  <chartFormats count="10">
    <chartFormat chart="34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4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4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7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7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7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5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5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5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9" showRowHeaders="1" showColHeaders="1" showRowStripes="0" showColStripes="0" showLastColumn="1"/>
  <filters count="1">
    <filter fld="8" type="count" evalOrder="-1" id="7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7EDE5B-AE93-4028-9793-FF02D424CDE0}" name="Kpi_obejdnavka" cacheId="0" applyNumberFormats="0" applyBorderFormats="0" applyFontFormats="0" applyPatternFormats="0" applyAlignmentFormats="0" applyWidthHeightFormats="1" dataCaption="Hodnoty" updatedVersion="8" minRefreshableVersion="3" itemPrintTitles="1" createdVersion="8" indent="0" compact="0" compactData="0" multipleFieldFilters="0" chartFormat="32">
  <location ref="A53:E58" firstHeaderRow="0" firstDataRow="1" firstDataCol="2"/>
  <pivotFields count="25">
    <pivotField compact="0" numFmtId="14" outline="0" showAll="0">
      <items count="388">
        <item x="114"/>
        <item x="41"/>
        <item x="275"/>
        <item x="197"/>
        <item x="273"/>
        <item x="274"/>
        <item x="316"/>
        <item x="13"/>
        <item x="168"/>
        <item x="74"/>
        <item x="23"/>
        <item x="260"/>
        <item x="77"/>
        <item x="25"/>
        <item x="291"/>
        <item x="73"/>
        <item x="374"/>
        <item x="93"/>
        <item x="322"/>
        <item x="306"/>
        <item x="164"/>
        <item x="162"/>
        <item x="146"/>
        <item x="154"/>
        <item x="253"/>
        <item x="153"/>
        <item x="86"/>
        <item x="254"/>
        <item x="240"/>
        <item x="64"/>
        <item x="182"/>
        <item x="1"/>
        <item x="83"/>
        <item x="228"/>
        <item x="139"/>
        <item x="186"/>
        <item x="326"/>
        <item x="36"/>
        <item x="155"/>
        <item x="277"/>
        <item x="354"/>
        <item x="270"/>
        <item x="157"/>
        <item x="9"/>
        <item x="263"/>
        <item x="293"/>
        <item x="142"/>
        <item x="131"/>
        <item x="201"/>
        <item x="127"/>
        <item x="265"/>
        <item x="358"/>
        <item x="372"/>
        <item x="185"/>
        <item x="173"/>
        <item x="106"/>
        <item x="216"/>
        <item x="81"/>
        <item x="26"/>
        <item x="130"/>
        <item x="63"/>
        <item x="286"/>
        <item x="180"/>
        <item x="299"/>
        <item x="355"/>
        <item x="30"/>
        <item x="380"/>
        <item x="334"/>
        <item x="159"/>
        <item x="264"/>
        <item x="59"/>
        <item x="278"/>
        <item x="241"/>
        <item x="134"/>
        <item x="367"/>
        <item x="8"/>
        <item x="317"/>
        <item x="170"/>
        <item x="312"/>
        <item x="215"/>
        <item x="101"/>
        <item x="171"/>
        <item x="370"/>
        <item x="341"/>
        <item x="123"/>
        <item x="266"/>
        <item x="48"/>
        <item x="42"/>
        <item x="190"/>
        <item x="5"/>
        <item x="346"/>
        <item x="51"/>
        <item x="84"/>
        <item x="3"/>
        <item x="375"/>
        <item x="29"/>
        <item x="115"/>
        <item x="276"/>
        <item x="381"/>
        <item x="359"/>
        <item x="233"/>
        <item x="368"/>
        <item x="152"/>
        <item x="19"/>
        <item x="221"/>
        <item x="11"/>
        <item x="244"/>
        <item x="248"/>
        <item x="160"/>
        <item x="352"/>
        <item x="303"/>
        <item x="149"/>
        <item x="308"/>
        <item x="12"/>
        <item x="132"/>
        <item x="116"/>
        <item x="45"/>
        <item x="295"/>
        <item x="163"/>
        <item x="258"/>
        <item x="95"/>
        <item x="231"/>
        <item x="338"/>
        <item x="196"/>
        <item x="46"/>
        <item x="298"/>
        <item x="92"/>
        <item x="57"/>
        <item x="369"/>
        <item x="385"/>
        <item x="285"/>
        <item x="373"/>
        <item x="102"/>
        <item x="165"/>
        <item x="379"/>
        <item x="60"/>
        <item x="138"/>
        <item x="22"/>
        <item x="219"/>
        <item x="166"/>
        <item x="282"/>
        <item x="148"/>
        <item x="43"/>
        <item x="44"/>
        <item x="337"/>
        <item x="90"/>
        <item x="96"/>
        <item x="309"/>
        <item x="357"/>
        <item x="250"/>
        <item x="141"/>
        <item x="35"/>
        <item x="302"/>
        <item x="110"/>
        <item x="111"/>
        <item x="100"/>
        <item x="128"/>
        <item x="366"/>
        <item x="342"/>
        <item x="177"/>
        <item x="204"/>
        <item x="17"/>
        <item x="174"/>
        <item x="289"/>
        <item x="364"/>
        <item x="328"/>
        <item x="89"/>
        <item x="24"/>
        <item x="126"/>
        <item x="239"/>
        <item x="287"/>
        <item x="181"/>
        <item x="194"/>
        <item x="191"/>
        <item x="31"/>
        <item x="66"/>
        <item x="348"/>
        <item x="211"/>
        <item x="118"/>
        <item x="54"/>
        <item x="97"/>
        <item x="267"/>
        <item x="320"/>
        <item x="304"/>
        <item x="224"/>
        <item x="198"/>
        <item x="39"/>
        <item x="58"/>
        <item x="356"/>
        <item x="68"/>
        <item x="61"/>
        <item x="305"/>
        <item x="257"/>
        <item x="386"/>
        <item x="234"/>
        <item x="137"/>
        <item x="71"/>
        <item x="212"/>
        <item x="255"/>
        <item x="313"/>
        <item x="200"/>
        <item x="292"/>
        <item x="76"/>
        <item x="246"/>
        <item x="53"/>
        <item x="98"/>
        <item x="333"/>
        <item x="10"/>
        <item x="230"/>
        <item x="335"/>
        <item x="133"/>
        <item x="336"/>
        <item x="145"/>
        <item x="319"/>
        <item x="330"/>
        <item x="47"/>
        <item x="327"/>
        <item x="113"/>
        <item x="214"/>
        <item x="140"/>
        <item x="72"/>
        <item x="206"/>
        <item x="184"/>
        <item x="119"/>
        <item x="78"/>
        <item x="365"/>
        <item x="262"/>
        <item x="314"/>
        <item x="279"/>
        <item x="232"/>
        <item x="382"/>
        <item x="37"/>
        <item x="384"/>
        <item x="40"/>
        <item x="225"/>
        <item x="117"/>
        <item x="79"/>
        <item x="175"/>
        <item x="21"/>
        <item x="99"/>
        <item x="189"/>
        <item x="331"/>
        <item x="129"/>
        <item x="156"/>
        <item x="217"/>
        <item x="362"/>
        <item x="4"/>
        <item x="378"/>
        <item x="147"/>
        <item x="195"/>
        <item x="318"/>
        <item x="256"/>
        <item x="94"/>
        <item x="251"/>
        <item x="105"/>
        <item x="325"/>
        <item x="38"/>
        <item x="339"/>
        <item x="124"/>
        <item x="207"/>
        <item x="294"/>
        <item x="125"/>
        <item x="329"/>
        <item x="247"/>
        <item x="82"/>
        <item x="323"/>
        <item x="179"/>
        <item x="65"/>
        <item x="321"/>
        <item x="332"/>
        <item x="296"/>
        <item x="345"/>
        <item x="360"/>
        <item x="56"/>
        <item x="343"/>
        <item x="80"/>
        <item x="50"/>
        <item x="213"/>
        <item x="235"/>
        <item x="272"/>
        <item x="121"/>
        <item x="178"/>
        <item x="209"/>
        <item x="49"/>
        <item x="169"/>
        <item x="158"/>
        <item x="0"/>
        <item x="340"/>
        <item x="16"/>
        <item x="208"/>
        <item x="27"/>
        <item x="14"/>
        <item x="172"/>
        <item x="109"/>
        <item x="220"/>
        <item x="363"/>
        <item x="192"/>
        <item x="301"/>
        <item x="237"/>
        <item x="55"/>
        <item x="297"/>
        <item x="280"/>
        <item x="188"/>
        <item x="300"/>
        <item x="227"/>
        <item x="7"/>
        <item x="307"/>
        <item x="75"/>
        <item x="120"/>
        <item x="281"/>
        <item x="261"/>
        <item x="202"/>
        <item x="350"/>
        <item x="271"/>
        <item x="245"/>
        <item x="103"/>
        <item x="32"/>
        <item x="91"/>
        <item x="236"/>
        <item x="20"/>
        <item x="144"/>
        <item x="284"/>
        <item x="150"/>
        <item x="229"/>
        <item x="151"/>
        <item x="371"/>
        <item x="203"/>
        <item x="383"/>
        <item x="15"/>
        <item x="18"/>
        <item x="136"/>
        <item x="135"/>
        <item x="283"/>
        <item x="67"/>
        <item x="161"/>
        <item x="344"/>
        <item x="6"/>
        <item x="288"/>
        <item x="290"/>
        <item x="377"/>
        <item x="143"/>
        <item x="210"/>
        <item x="33"/>
        <item x="249"/>
        <item x="108"/>
        <item x="347"/>
        <item x="85"/>
        <item x="62"/>
        <item x="259"/>
        <item x="2"/>
        <item x="238"/>
        <item x="353"/>
        <item x="88"/>
        <item x="104"/>
        <item x="268"/>
        <item x="34"/>
        <item x="122"/>
        <item x="52"/>
        <item x="311"/>
        <item x="176"/>
        <item x="70"/>
        <item x="187"/>
        <item x="205"/>
        <item x="242"/>
        <item x="361"/>
        <item x="183"/>
        <item x="222"/>
        <item x="167"/>
        <item x="269"/>
        <item x="193"/>
        <item x="199"/>
        <item x="324"/>
        <item x="243"/>
        <item x="107"/>
        <item x="218"/>
        <item x="252"/>
        <item x="315"/>
        <item x="310"/>
        <item x="69"/>
        <item x="351"/>
        <item x="226"/>
        <item x="349"/>
        <item x="87"/>
        <item x="28"/>
        <item x="223"/>
        <item x="112"/>
        <item x="376"/>
        <item t="default"/>
      </items>
    </pivotField>
    <pivotField axis="axisRow" compact="0" outline="0" showAll="0">
      <items count="501">
        <item x="125"/>
        <item x="42"/>
        <item x="329"/>
        <item x="245"/>
        <item x="223"/>
        <item x="327"/>
        <item x="494"/>
        <item x="328"/>
        <item x="388"/>
        <item x="302"/>
        <item x="13"/>
        <item x="187"/>
        <item x="79"/>
        <item x="23"/>
        <item x="53"/>
        <item x="308"/>
        <item x="82"/>
        <item x="25"/>
        <item x="269"/>
        <item x="352"/>
        <item x="121"/>
        <item x="78"/>
        <item x="482"/>
        <item x="99"/>
        <item x="304"/>
        <item x="439"/>
        <item x="399"/>
        <item x="373"/>
        <item x="477"/>
        <item x="183"/>
        <item x="498"/>
        <item x="286"/>
        <item x="202"/>
        <item x="181"/>
        <item x="161"/>
        <item x="171"/>
        <item x="397"/>
        <item x="297"/>
        <item x="169"/>
        <item x="365"/>
        <item x="91"/>
        <item x="298"/>
        <item x="278"/>
        <item x="66"/>
        <item x="383"/>
        <item x="204"/>
        <item x="1"/>
        <item x="88"/>
        <item x="351"/>
        <item x="261"/>
        <item x="154"/>
        <item x="209"/>
        <item x="405"/>
        <item x="467"/>
        <item x="37"/>
        <item x="173"/>
        <item x="331"/>
        <item x="448"/>
        <item x="321"/>
        <item x="175"/>
        <item x="9"/>
        <item x="311"/>
        <item x="355"/>
        <item x="157"/>
        <item x="145"/>
        <item x="227"/>
        <item x="436"/>
        <item x="139"/>
        <item x="313"/>
        <item x="455"/>
        <item x="480"/>
        <item x="208"/>
        <item x="193"/>
        <item x="115"/>
        <item x="246"/>
        <item x="450"/>
        <item x="86"/>
        <item x="324"/>
        <item x="26"/>
        <item x="143"/>
        <item x="65"/>
        <item x="345"/>
        <item x="200"/>
        <item x="362"/>
        <item x="449"/>
        <item x="30"/>
        <item x="389"/>
        <item x="489"/>
        <item x="416"/>
        <item x="468"/>
        <item x="177"/>
        <item x="379"/>
        <item x="459"/>
        <item x="312"/>
        <item x="61"/>
        <item x="163"/>
        <item x="332"/>
        <item x="295"/>
        <item x="279"/>
        <item x="148"/>
        <item x="473"/>
        <item x="8"/>
        <item x="142"/>
        <item x="390"/>
        <item x="190"/>
        <item x="384"/>
        <item x="244"/>
        <item x="108"/>
        <item x="191"/>
        <item x="343"/>
        <item x="478"/>
        <item x="425"/>
        <item x="409"/>
        <item x="135"/>
        <item x="315"/>
        <item x="49"/>
        <item x="43"/>
        <item x="215"/>
        <item x="5"/>
        <item x="433"/>
        <item x="52"/>
        <item x="89"/>
        <item x="375"/>
        <item x="3"/>
        <item x="239"/>
        <item x="483"/>
        <item x="29"/>
        <item x="126"/>
        <item x="330"/>
        <item x="490"/>
        <item x="456"/>
        <item x="451"/>
        <item x="268"/>
        <item x="474"/>
        <item x="168"/>
        <item x="19"/>
        <item x="31"/>
        <item x="251"/>
        <item x="11"/>
        <item x="285"/>
        <item x="282"/>
        <item x="288"/>
        <item x="275"/>
        <item x="179"/>
        <item x="446"/>
        <item x="367"/>
        <item x="165"/>
        <item x="377"/>
        <item x="12"/>
        <item x="391"/>
        <item x="146"/>
        <item x="213"/>
        <item x="127"/>
        <item x="46"/>
        <item x="357"/>
        <item x="428"/>
        <item x="182"/>
        <item x="305"/>
        <item x="296"/>
        <item x="102"/>
        <item x="265"/>
        <item x="422"/>
        <item x="222"/>
        <item x="47"/>
        <item x="361"/>
        <item x="203"/>
        <item x="97"/>
        <item x="403"/>
        <item x="59"/>
        <item x="476"/>
        <item x="497"/>
        <item x="344"/>
        <item x="481"/>
        <item x="109"/>
        <item x="184"/>
        <item x="354"/>
        <item x="487"/>
        <item x="338"/>
        <item x="62"/>
        <item x="153"/>
        <item x="376"/>
        <item x="22"/>
        <item x="488"/>
        <item x="249"/>
        <item x="185"/>
        <item x="340"/>
        <item x="164"/>
        <item x="437"/>
        <item x="44"/>
        <item x="98"/>
        <item x="45"/>
        <item x="70"/>
        <item x="421"/>
        <item x="95"/>
        <item x="103"/>
        <item x="378"/>
        <item x="453"/>
        <item x="290"/>
        <item x="156"/>
        <item x="36"/>
        <item x="444"/>
        <item x="252"/>
        <item x="366"/>
        <item x="418"/>
        <item x="119"/>
        <item x="122"/>
        <item x="107"/>
        <item x="172"/>
        <item x="406"/>
        <item x="140"/>
        <item x="333"/>
        <item x="274"/>
        <item x="471"/>
        <item x="426"/>
        <item x="197"/>
        <item x="231"/>
        <item x="17"/>
        <item x="194"/>
        <item x="349"/>
        <item x="466"/>
        <item x="408"/>
        <item x="94"/>
        <item x="255"/>
        <item x="24"/>
        <item x="138"/>
        <item x="277"/>
        <item x="316"/>
        <item x="346"/>
        <item x="201"/>
        <item x="219"/>
        <item x="464"/>
        <item x="454"/>
        <item x="216"/>
        <item x="113"/>
        <item x="32"/>
        <item x="68"/>
        <item x="440"/>
        <item x="240"/>
        <item x="129"/>
        <item x="56"/>
        <item x="104"/>
        <item x="317"/>
        <item x="395"/>
        <item x="369"/>
        <item x="257"/>
        <item x="224"/>
        <item x="40"/>
        <item x="469"/>
        <item x="60"/>
        <item x="452"/>
        <item x="71"/>
        <item x="63"/>
        <item x="370"/>
        <item x="301"/>
        <item x="499"/>
        <item x="270"/>
        <item x="152"/>
        <item x="76"/>
        <item x="241"/>
        <item x="299"/>
        <item x="368"/>
        <item x="385"/>
        <item x="226"/>
        <item x="353"/>
        <item x="81"/>
        <item x="284"/>
        <item x="74"/>
        <item x="55"/>
        <item x="105"/>
        <item x="415"/>
        <item x="100"/>
        <item x="10"/>
        <item x="264"/>
        <item x="427"/>
        <item x="417"/>
        <item x="147"/>
        <item x="419"/>
        <item x="160"/>
        <item x="393"/>
        <item x="411"/>
        <item x="48"/>
        <item x="407"/>
        <item x="124"/>
        <item x="178"/>
        <item x="243"/>
        <item x="155"/>
        <item x="77"/>
        <item x="234"/>
        <item x="206"/>
        <item x="130"/>
        <item x="83"/>
        <item x="470"/>
        <item x="310"/>
        <item x="371"/>
        <item x="386"/>
        <item x="334"/>
        <item x="266"/>
        <item x="306"/>
        <item x="394"/>
        <item x="491"/>
        <item x="38"/>
        <item x="495"/>
        <item x="41"/>
        <item x="258"/>
        <item x="128"/>
        <item x="496"/>
        <item x="372"/>
        <item x="84"/>
        <item x="195"/>
        <item x="21"/>
        <item x="106"/>
        <item x="214"/>
        <item x="443"/>
        <item x="420"/>
        <item x="413"/>
        <item x="141"/>
        <item x="174"/>
        <item x="247"/>
        <item x="462"/>
        <item x="4"/>
        <item x="396"/>
        <item x="486"/>
        <item x="162"/>
        <item x="221"/>
        <item x="392"/>
        <item x="300"/>
        <item x="101"/>
        <item x="292"/>
        <item x="112"/>
        <item x="404"/>
        <item x="39"/>
        <item x="423"/>
        <item x="136"/>
        <item x="235"/>
        <item x="356"/>
        <item x="137"/>
        <item x="293"/>
        <item x="410"/>
        <item x="287"/>
        <item x="87"/>
        <item x="400"/>
        <item x="199"/>
        <item x="67"/>
        <item x="398"/>
        <item x="414"/>
        <item x="359"/>
        <item x="432"/>
        <item x="458"/>
        <item x="120"/>
        <item x="58"/>
        <item x="430"/>
        <item x="85"/>
        <item x="51"/>
        <item x="337"/>
        <item x="322"/>
        <item x="256"/>
        <item x="242"/>
        <item x="271"/>
        <item x="326"/>
        <item x="133"/>
        <item x="198"/>
        <item x="237"/>
        <item x="144"/>
        <item x="50"/>
        <item x="267"/>
        <item x="189"/>
        <item x="176"/>
        <item x="438"/>
        <item x="0"/>
        <item x="424"/>
        <item x="16"/>
        <item x="236"/>
        <item x="27"/>
        <item x="14"/>
        <item x="150"/>
        <item x="192"/>
        <item x="118"/>
        <item x="188"/>
        <item x="250"/>
        <item x="465"/>
        <item x="217"/>
        <item x="364"/>
        <item x="273"/>
        <item x="412"/>
        <item x="57"/>
        <item x="360"/>
        <item x="335"/>
        <item x="212"/>
        <item x="363"/>
        <item x="382"/>
        <item x="260"/>
        <item x="7"/>
        <item x="132"/>
        <item x="374"/>
        <item x="80"/>
        <item x="131"/>
        <item x="493"/>
        <item x="336"/>
        <item x="358"/>
        <item x="309"/>
        <item x="228"/>
        <item x="442"/>
        <item x="325"/>
        <item x="283"/>
        <item x="110"/>
        <item x="114"/>
        <item x="72"/>
        <item x="33"/>
        <item x="170"/>
        <item x="323"/>
        <item x="96"/>
        <item x="272"/>
        <item x="20"/>
        <item x="230"/>
        <item x="159"/>
        <item x="342"/>
        <item x="166"/>
        <item x="262"/>
        <item x="457"/>
        <item x="472"/>
        <item x="167"/>
        <item x="479"/>
        <item x="229"/>
        <item x="291"/>
        <item x="492"/>
        <item x="15"/>
        <item x="207"/>
        <item x="18"/>
        <item x="151"/>
        <item x="233"/>
        <item x="434"/>
        <item x="149"/>
        <item x="341"/>
        <item x="69"/>
        <item x="180"/>
        <item x="431"/>
        <item x="6"/>
        <item x="314"/>
        <item x="347"/>
        <item x="402"/>
        <item x="350"/>
        <item x="485"/>
        <item x="158"/>
        <item x="238"/>
        <item x="34"/>
        <item x="289"/>
        <item x="117"/>
        <item x="435"/>
        <item x="303"/>
        <item x="90"/>
        <item x="64"/>
        <item x="307"/>
        <item x="318"/>
        <item x="2"/>
        <item x="461"/>
        <item x="276"/>
        <item x="447"/>
        <item x="93"/>
        <item x="111"/>
        <item x="319"/>
        <item x="35"/>
        <item x="211"/>
        <item x="134"/>
        <item x="54"/>
        <item x="381"/>
        <item x="475"/>
        <item x="196"/>
        <item x="75"/>
        <item x="210"/>
        <item x="232"/>
        <item x="280"/>
        <item x="460"/>
        <item x="205"/>
        <item x="253"/>
        <item x="463"/>
        <item x="186"/>
        <item x="320"/>
        <item x="218"/>
        <item x="225"/>
        <item x="429"/>
        <item x="401"/>
        <item x="281"/>
        <item x="116"/>
        <item x="248"/>
        <item x="294"/>
        <item x="387"/>
        <item x="380"/>
        <item x="73"/>
        <item x="445"/>
        <item x="259"/>
        <item x="441"/>
        <item x="92"/>
        <item x="220"/>
        <item x="339"/>
        <item x="28"/>
        <item x="263"/>
        <item x="254"/>
        <item x="348"/>
        <item x="123"/>
        <item x="484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axis="axisRow" compact="0" outline="0" showAll="0">
      <items count="5">
        <item sd="0" x="1"/>
        <item sd="0" x="0"/>
        <item sd="0" x="2"/>
        <item sd="0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numFmtId="9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6">
        <item sd="0" x="0"/>
        <item sd="0" x="1"/>
        <item sd="0" x="2"/>
        <item sd="0" x="3"/>
        <item sd="0" x="4"/>
        <item t="default"/>
      </items>
    </pivotField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2">
    <field x="7"/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účet z Trzba" fld="13" baseField="0" baseItem="0" numFmtId="167"/>
    <dataField name="Súčet z Zisk" fld="15" baseField="0" baseItem="0" numFmtId="167"/>
    <dataField name="Marza_pr%" fld="23" baseField="1" baseItem="1" numFmtId="9"/>
  </dataFields>
  <formats count="12"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19" type="button" dataOnly="0" labelOnly="1" outline="0"/>
    </format>
    <format dxfId="87">
      <pivotArea dataOnly="0" labelOnly="1" grandRow="1" outline="0" fieldPosition="0"/>
    </format>
    <format dxfId="86">
      <pivotArea dataOnly="0" labelOnly="1" outline="0" axis="axisValues" fieldPosition="0"/>
    </format>
    <format dxfId="85">
      <pivotArea dataOnly="0" labelOnly="1" grandRow="1" outline="0" fieldPosition="0"/>
    </format>
    <format dxfId="84">
      <pivotArea grandRow="1" outline="0" collapsedLevelsAreSubtotals="1" fieldPosition="0"/>
    </format>
    <format dxfId="83">
      <pivotArea collapsedLevelsAreSubtotals="1" fieldPosition="0">
        <references count="1">
          <reference field="7" count="0"/>
        </references>
      </pivotArea>
    </format>
    <format dxfId="82">
      <pivotArea outline="0" fieldPosition="0">
        <references count="1">
          <reference field="7" count="3" selected="0" defaultSubtotal="1">
            <x v="0"/>
            <x v="1"/>
            <x v="2"/>
          </reference>
        </references>
      </pivotArea>
    </format>
    <format dxfId="81">
      <pivotArea outline="0" fieldPosition="0">
        <references count="2">
          <reference field="1" count="114" selected="0">
            <x v="0"/>
            <x v="8"/>
            <x v="12"/>
            <x v="18"/>
            <x v="19"/>
            <x v="27"/>
            <x v="35"/>
            <x v="36"/>
            <x v="44"/>
            <x v="47"/>
            <x v="53"/>
            <x v="55"/>
            <x v="63"/>
            <x v="67"/>
            <x v="68"/>
            <x v="71"/>
            <x v="74"/>
            <x v="79"/>
            <x v="82"/>
            <x v="83"/>
            <x v="88"/>
            <x v="91"/>
            <x v="93"/>
            <x v="95"/>
            <x v="96"/>
            <x v="99"/>
            <x v="103"/>
            <x v="105"/>
            <x v="117"/>
            <x v="120"/>
            <x v="122"/>
            <x v="134"/>
            <x v="136"/>
            <x v="140"/>
            <x v="142"/>
            <x v="145"/>
            <x v="149"/>
            <x v="161"/>
            <x v="164"/>
            <x v="177"/>
            <x v="179"/>
            <x v="180"/>
            <x v="186"/>
            <x v="190"/>
            <x v="192"/>
            <x v="202"/>
            <x v="204"/>
            <x v="210"/>
            <x v="211"/>
            <x v="214"/>
            <x v="224"/>
            <x v="226"/>
            <x v="227"/>
            <x v="228"/>
            <x v="229"/>
            <x v="230"/>
            <x v="241"/>
            <x v="242"/>
            <x v="243"/>
            <x v="247"/>
            <x v="256"/>
            <x v="260"/>
            <x v="263"/>
            <x v="265"/>
            <x v="267"/>
            <x v="268"/>
            <x v="269"/>
            <x v="274"/>
            <x v="281"/>
            <x v="282"/>
            <x v="286"/>
            <x v="289"/>
            <x v="290"/>
            <x v="292"/>
            <x v="293"/>
            <x v="295"/>
            <x v="307"/>
            <x v="308"/>
            <x v="314"/>
            <x v="315"/>
            <x v="316"/>
            <x v="317"/>
            <x v="323"/>
            <x v="324"/>
            <x v="325"/>
            <x v="327"/>
            <x v="328"/>
            <x v="329"/>
            <x v="332"/>
            <x v="333"/>
            <x v="338"/>
            <x v="347"/>
            <x v="354"/>
            <x v="357"/>
            <x v="369"/>
            <x v="374"/>
            <x v="389"/>
            <x v="393"/>
            <x v="398"/>
            <x v="399"/>
            <x v="414"/>
            <x v="415"/>
            <x v="417"/>
            <x v="426"/>
            <x v="429"/>
            <x v="431"/>
            <x v="433"/>
            <x v="438"/>
            <x v="459"/>
            <x v="464"/>
            <x v="468"/>
            <x v="484"/>
            <x v="491"/>
            <x v="494"/>
          </reference>
          <reference field="7" count="1" selected="0">
            <x v="3"/>
          </reference>
        </references>
      </pivotArea>
    </format>
    <format dxfId="80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79">
      <pivotArea outline="0" fieldPosition="0">
        <references count="1">
          <reference field="4294967294" count="1" selected="0">
            <x v="2"/>
          </reference>
        </references>
      </pivotArea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102079-B262-4927-9411-7C14542421AF}" name="Porovnanie_krajov_kanalov_trzby" cacheId="0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54">
  <location ref="H38:I54" firstHeaderRow="1" firstDataRow="1" firstDataCol="1"/>
  <pivotFields count="25">
    <pivotField numFmtId="14" showAll="0">
      <items count="388">
        <item x="114"/>
        <item x="41"/>
        <item x="275"/>
        <item x="197"/>
        <item x="273"/>
        <item x="274"/>
        <item x="316"/>
        <item x="13"/>
        <item x="168"/>
        <item x="74"/>
        <item x="23"/>
        <item x="260"/>
        <item x="77"/>
        <item x="25"/>
        <item x="291"/>
        <item x="73"/>
        <item x="374"/>
        <item x="93"/>
        <item x="322"/>
        <item x="306"/>
        <item x="164"/>
        <item x="162"/>
        <item x="146"/>
        <item x="154"/>
        <item x="253"/>
        <item x="153"/>
        <item x="86"/>
        <item x="254"/>
        <item x="240"/>
        <item x="64"/>
        <item x="182"/>
        <item x="1"/>
        <item x="83"/>
        <item x="228"/>
        <item x="139"/>
        <item x="186"/>
        <item x="326"/>
        <item x="36"/>
        <item x="155"/>
        <item x="277"/>
        <item x="354"/>
        <item x="270"/>
        <item x="157"/>
        <item x="9"/>
        <item x="263"/>
        <item x="293"/>
        <item x="142"/>
        <item x="131"/>
        <item x="201"/>
        <item x="127"/>
        <item x="265"/>
        <item x="358"/>
        <item x="372"/>
        <item x="185"/>
        <item x="173"/>
        <item x="106"/>
        <item x="216"/>
        <item x="81"/>
        <item x="26"/>
        <item x="130"/>
        <item x="63"/>
        <item x="286"/>
        <item x="180"/>
        <item x="299"/>
        <item x="355"/>
        <item x="30"/>
        <item x="380"/>
        <item x="334"/>
        <item x="159"/>
        <item x="264"/>
        <item x="59"/>
        <item x="278"/>
        <item x="241"/>
        <item x="134"/>
        <item x="367"/>
        <item x="8"/>
        <item x="317"/>
        <item x="170"/>
        <item x="312"/>
        <item x="215"/>
        <item x="101"/>
        <item x="171"/>
        <item x="370"/>
        <item x="341"/>
        <item x="123"/>
        <item x="266"/>
        <item x="48"/>
        <item x="42"/>
        <item x="190"/>
        <item x="5"/>
        <item x="346"/>
        <item x="51"/>
        <item x="84"/>
        <item x="3"/>
        <item x="375"/>
        <item x="29"/>
        <item x="115"/>
        <item x="276"/>
        <item x="381"/>
        <item x="359"/>
        <item x="233"/>
        <item x="368"/>
        <item x="152"/>
        <item x="19"/>
        <item x="221"/>
        <item x="11"/>
        <item x="244"/>
        <item x="248"/>
        <item x="160"/>
        <item x="352"/>
        <item x="303"/>
        <item x="149"/>
        <item x="308"/>
        <item x="12"/>
        <item x="132"/>
        <item x="116"/>
        <item x="45"/>
        <item x="295"/>
        <item x="163"/>
        <item x="258"/>
        <item x="95"/>
        <item x="231"/>
        <item x="338"/>
        <item x="196"/>
        <item x="46"/>
        <item x="298"/>
        <item x="92"/>
        <item x="57"/>
        <item x="369"/>
        <item x="385"/>
        <item x="285"/>
        <item x="373"/>
        <item x="102"/>
        <item x="165"/>
        <item x="379"/>
        <item x="60"/>
        <item x="138"/>
        <item x="22"/>
        <item x="219"/>
        <item x="166"/>
        <item x="282"/>
        <item x="148"/>
        <item x="43"/>
        <item x="44"/>
        <item x="337"/>
        <item x="90"/>
        <item x="96"/>
        <item x="309"/>
        <item x="357"/>
        <item x="250"/>
        <item x="141"/>
        <item x="35"/>
        <item x="302"/>
        <item x="110"/>
        <item x="111"/>
        <item x="100"/>
        <item x="128"/>
        <item x="366"/>
        <item x="342"/>
        <item x="177"/>
        <item x="204"/>
        <item x="17"/>
        <item x="174"/>
        <item x="289"/>
        <item x="364"/>
        <item x="328"/>
        <item x="89"/>
        <item x="24"/>
        <item x="126"/>
        <item x="239"/>
        <item x="287"/>
        <item x="181"/>
        <item x="194"/>
        <item x="191"/>
        <item x="31"/>
        <item x="66"/>
        <item x="348"/>
        <item x="211"/>
        <item x="118"/>
        <item x="54"/>
        <item x="97"/>
        <item x="267"/>
        <item x="320"/>
        <item x="304"/>
        <item x="224"/>
        <item x="198"/>
        <item x="39"/>
        <item x="58"/>
        <item x="356"/>
        <item x="68"/>
        <item x="61"/>
        <item x="305"/>
        <item x="257"/>
        <item x="386"/>
        <item x="234"/>
        <item x="137"/>
        <item x="71"/>
        <item x="212"/>
        <item x="255"/>
        <item x="313"/>
        <item x="200"/>
        <item x="292"/>
        <item x="76"/>
        <item x="246"/>
        <item x="53"/>
        <item x="98"/>
        <item x="333"/>
        <item x="10"/>
        <item x="230"/>
        <item x="335"/>
        <item x="133"/>
        <item x="336"/>
        <item x="145"/>
        <item x="319"/>
        <item x="330"/>
        <item x="47"/>
        <item x="327"/>
        <item x="113"/>
        <item x="214"/>
        <item x="140"/>
        <item x="72"/>
        <item x="206"/>
        <item x="184"/>
        <item x="119"/>
        <item x="78"/>
        <item x="365"/>
        <item x="262"/>
        <item x="314"/>
        <item x="279"/>
        <item x="232"/>
        <item x="382"/>
        <item x="37"/>
        <item x="384"/>
        <item x="40"/>
        <item x="225"/>
        <item x="117"/>
        <item x="79"/>
        <item x="175"/>
        <item x="21"/>
        <item x="99"/>
        <item x="189"/>
        <item x="331"/>
        <item x="129"/>
        <item x="156"/>
        <item x="217"/>
        <item x="362"/>
        <item x="4"/>
        <item x="378"/>
        <item x="147"/>
        <item x="195"/>
        <item x="318"/>
        <item x="256"/>
        <item x="94"/>
        <item x="251"/>
        <item x="105"/>
        <item x="325"/>
        <item x="38"/>
        <item x="339"/>
        <item x="124"/>
        <item x="207"/>
        <item x="294"/>
        <item x="125"/>
        <item x="329"/>
        <item x="247"/>
        <item x="82"/>
        <item x="323"/>
        <item x="179"/>
        <item x="65"/>
        <item x="321"/>
        <item x="332"/>
        <item x="296"/>
        <item x="345"/>
        <item x="360"/>
        <item x="56"/>
        <item x="343"/>
        <item x="80"/>
        <item x="50"/>
        <item x="213"/>
        <item x="235"/>
        <item x="272"/>
        <item x="121"/>
        <item x="178"/>
        <item x="209"/>
        <item x="49"/>
        <item x="169"/>
        <item x="158"/>
        <item x="0"/>
        <item x="340"/>
        <item x="16"/>
        <item x="208"/>
        <item x="27"/>
        <item x="14"/>
        <item x="172"/>
        <item x="109"/>
        <item x="220"/>
        <item x="363"/>
        <item x="192"/>
        <item x="301"/>
        <item x="237"/>
        <item x="55"/>
        <item x="297"/>
        <item x="280"/>
        <item x="188"/>
        <item x="300"/>
        <item x="227"/>
        <item x="7"/>
        <item x="307"/>
        <item x="75"/>
        <item x="120"/>
        <item x="281"/>
        <item x="261"/>
        <item x="202"/>
        <item x="350"/>
        <item x="271"/>
        <item x="245"/>
        <item x="103"/>
        <item x="32"/>
        <item x="91"/>
        <item x="236"/>
        <item x="20"/>
        <item x="144"/>
        <item x="284"/>
        <item x="150"/>
        <item x="229"/>
        <item x="151"/>
        <item x="371"/>
        <item x="203"/>
        <item x="383"/>
        <item x="15"/>
        <item x="18"/>
        <item x="136"/>
        <item x="135"/>
        <item x="283"/>
        <item x="67"/>
        <item x="161"/>
        <item x="344"/>
        <item x="6"/>
        <item x="288"/>
        <item x="290"/>
        <item x="377"/>
        <item x="143"/>
        <item x="210"/>
        <item x="33"/>
        <item x="249"/>
        <item x="108"/>
        <item x="347"/>
        <item x="85"/>
        <item x="62"/>
        <item x="259"/>
        <item x="2"/>
        <item x="238"/>
        <item x="353"/>
        <item x="88"/>
        <item x="104"/>
        <item x="268"/>
        <item x="34"/>
        <item x="122"/>
        <item x="52"/>
        <item x="311"/>
        <item x="176"/>
        <item x="70"/>
        <item x="187"/>
        <item x="205"/>
        <item x="242"/>
        <item x="361"/>
        <item x="183"/>
        <item x="222"/>
        <item x="167"/>
        <item x="269"/>
        <item x="193"/>
        <item x="199"/>
        <item x="324"/>
        <item x="243"/>
        <item x="107"/>
        <item x="218"/>
        <item x="252"/>
        <item x="315"/>
        <item x="310"/>
        <item x="69"/>
        <item x="351"/>
        <item x="226"/>
        <item x="349"/>
        <item x="87"/>
        <item x="28"/>
        <item x="223"/>
        <item x="112"/>
        <item x="376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axis="axisRow" showAll="0" sortType="ascending">
      <items count="4">
        <item x="2"/>
        <item x="0"/>
        <item x="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 sortType="ascending"/>
    <pivotField showAll="0"/>
    <pivotField showAll="0"/>
    <pivotField showAll="0"/>
    <pivotField showAll="0"/>
    <pivotField dataField="1" showAll="0"/>
    <pivotField showAll="0"/>
    <pivotField showAll="0"/>
    <pivotField numFmtId="9" showAll="0"/>
    <pivotField showAll="0">
      <items count="4">
        <item x="1"/>
        <item x="0"/>
        <item x="2"/>
        <item t="default"/>
      </items>
    </pivotField>
    <pivotField showAll="0">
      <items count="13">
        <item x="8"/>
        <item x="4"/>
        <item x="1"/>
        <item x="6"/>
        <item x="11"/>
        <item x="10"/>
        <item x="3"/>
        <item x="2"/>
        <item x="7"/>
        <item x="0"/>
        <item x="9"/>
        <item x="5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4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účet z Trzba" fld="13" baseField="0" baseItem="0"/>
  </dataFields>
  <formats count="7">
    <format dxfId="97">
      <pivotArea type="all" dataOnly="0" outline="0" fieldPosition="0"/>
    </format>
    <format dxfId="96">
      <pivotArea outline="0" collapsedLevelsAreSubtotals="1" fieldPosition="0"/>
    </format>
    <format dxfId="95">
      <pivotArea field="19" type="button" dataOnly="0" labelOnly="1" outline="0"/>
    </format>
    <format dxfId="94">
      <pivotArea dataOnly="0" labelOnly="1" grandRow="1" outline="0" fieldPosition="0"/>
    </format>
    <format dxfId="93">
      <pivotArea dataOnly="0" labelOnly="1" outline="0" axis="axisValues" fieldPosition="0"/>
    </format>
    <format dxfId="92">
      <pivotArea dataOnly="0" labelOnly="1" grandRow="1" outline="0" fieldPosition="0"/>
    </format>
    <format dxfId="91">
      <pivotArea grandRow="1" outline="0" collapsedLevelsAreSubtotals="1" fieldPosition="0"/>
    </format>
  </formats>
  <chartFormats count="1">
    <chartFormat chart="5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009ACF-3601-4858-A1AC-767B0CF00EA7}" name="Tryba_kanal_katgoria" cacheId="0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compact="0" compactData="0" multipleFieldFilters="0" chartFormat="38">
  <location ref="H25:L31" firstHeaderRow="1" firstDataRow="2" firstDataCol="1"/>
  <pivotFields count="25">
    <pivotField compact="0" numFmtId="14" outline="0" showAll="0">
      <items count="388">
        <item x="114"/>
        <item x="41"/>
        <item x="275"/>
        <item x="197"/>
        <item x="273"/>
        <item x="274"/>
        <item x="316"/>
        <item x="13"/>
        <item x="168"/>
        <item x="74"/>
        <item x="23"/>
        <item x="260"/>
        <item x="77"/>
        <item x="25"/>
        <item x="291"/>
        <item x="73"/>
        <item x="374"/>
        <item x="93"/>
        <item x="322"/>
        <item x="306"/>
        <item x="164"/>
        <item x="162"/>
        <item x="146"/>
        <item x="154"/>
        <item x="253"/>
        <item x="153"/>
        <item x="86"/>
        <item x="254"/>
        <item x="240"/>
        <item x="64"/>
        <item x="182"/>
        <item x="1"/>
        <item x="83"/>
        <item x="228"/>
        <item x="139"/>
        <item x="186"/>
        <item x="326"/>
        <item x="36"/>
        <item x="155"/>
        <item x="277"/>
        <item x="354"/>
        <item x="270"/>
        <item x="157"/>
        <item x="9"/>
        <item x="263"/>
        <item x="293"/>
        <item x="142"/>
        <item x="131"/>
        <item x="201"/>
        <item x="127"/>
        <item x="265"/>
        <item x="358"/>
        <item x="372"/>
        <item x="185"/>
        <item x="173"/>
        <item x="106"/>
        <item x="216"/>
        <item x="81"/>
        <item x="26"/>
        <item x="130"/>
        <item x="63"/>
        <item x="286"/>
        <item x="180"/>
        <item x="299"/>
        <item x="355"/>
        <item x="30"/>
        <item x="380"/>
        <item x="334"/>
        <item x="159"/>
        <item x="264"/>
        <item x="59"/>
        <item x="278"/>
        <item x="241"/>
        <item x="134"/>
        <item x="367"/>
        <item x="8"/>
        <item x="317"/>
        <item x="170"/>
        <item x="312"/>
        <item x="215"/>
        <item x="101"/>
        <item x="171"/>
        <item x="370"/>
        <item x="341"/>
        <item x="123"/>
        <item x="266"/>
        <item x="48"/>
        <item x="42"/>
        <item x="190"/>
        <item x="5"/>
        <item x="346"/>
        <item x="51"/>
        <item x="84"/>
        <item x="3"/>
        <item x="375"/>
        <item x="29"/>
        <item x="115"/>
        <item x="276"/>
        <item x="381"/>
        <item x="359"/>
        <item x="233"/>
        <item x="368"/>
        <item x="152"/>
        <item x="19"/>
        <item x="221"/>
        <item x="11"/>
        <item x="244"/>
        <item x="248"/>
        <item x="160"/>
        <item x="352"/>
        <item x="303"/>
        <item x="149"/>
        <item x="308"/>
        <item x="12"/>
        <item x="132"/>
        <item x="116"/>
        <item x="45"/>
        <item x="295"/>
        <item x="163"/>
        <item x="258"/>
        <item x="95"/>
        <item x="231"/>
        <item x="338"/>
        <item x="196"/>
        <item x="46"/>
        <item x="298"/>
        <item x="92"/>
        <item x="57"/>
        <item x="369"/>
        <item x="385"/>
        <item x="285"/>
        <item x="373"/>
        <item x="102"/>
        <item x="165"/>
        <item x="379"/>
        <item x="60"/>
        <item x="138"/>
        <item x="22"/>
        <item x="219"/>
        <item x="166"/>
        <item x="282"/>
        <item x="148"/>
        <item x="43"/>
        <item x="44"/>
        <item x="337"/>
        <item x="90"/>
        <item x="96"/>
        <item x="309"/>
        <item x="357"/>
        <item x="250"/>
        <item x="141"/>
        <item x="35"/>
        <item x="302"/>
        <item x="110"/>
        <item x="111"/>
        <item x="100"/>
        <item x="128"/>
        <item x="366"/>
        <item x="342"/>
        <item x="177"/>
        <item x="204"/>
        <item x="17"/>
        <item x="174"/>
        <item x="289"/>
        <item x="364"/>
        <item x="328"/>
        <item x="89"/>
        <item x="24"/>
        <item x="126"/>
        <item x="239"/>
        <item x="287"/>
        <item x="181"/>
        <item x="194"/>
        <item x="191"/>
        <item x="31"/>
        <item x="66"/>
        <item x="348"/>
        <item x="211"/>
        <item x="118"/>
        <item x="54"/>
        <item x="97"/>
        <item x="267"/>
        <item x="320"/>
        <item x="304"/>
        <item x="224"/>
        <item x="198"/>
        <item x="39"/>
        <item x="58"/>
        <item x="356"/>
        <item x="68"/>
        <item x="61"/>
        <item x="305"/>
        <item x="257"/>
        <item x="386"/>
        <item x="234"/>
        <item x="137"/>
        <item x="71"/>
        <item x="212"/>
        <item x="255"/>
        <item x="313"/>
        <item x="200"/>
        <item x="292"/>
        <item x="76"/>
        <item x="246"/>
        <item x="53"/>
        <item x="98"/>
        <item x="333"/>
        <item x="10"/>
        <item x="230"/>
        <item x="335"/>
        <item x="133"/>
        <item x="336"/>
        <item x="145"/>
        <item x="319"/>
        <item x="330"/>
        <item x="47"/>
        <item x="327"/>
        <item x="113"/>
        <item x="214"/>
        <item x="140"/>
        <item x="72"/>
        <item x="206"/>
        <item x="184"/>
        <item x="119"/>
        <item x="78"/>
        <item x="365"/>
        <item x="262"/>
        <item x="314"/>
        <item x="279"/>
        <item x="232"/>
        <item x="382"/>
        <item x="37"/>
        <item x="384"/>
        <item x="40"/>
        <item x="225"/>
        <item x="117"/>
        <item x="79"/>
        <item x="175"/>
        <item x="21"/>
        <item x="99"/>
        <item x="189"/>
        <item x="331"/>
        <item x="129"/>
        <item x="156"/>
        <item x="217"/>
        <item x="362"/>
        <item x="4"/>
        <item x="378"/>
        <item x="147"/>
        <item x="195"/>
        <item x="318"/>
        <item x="256"/>
        <item x="94"/>
        <item x="251"/>
        <item x="105"/>
        <item x="325"/>
        <item x="38"/>
        <item x="339"/>
        <item x="124"/>
        <item x="207"/>
        <item x="294"/>
        <item x="125"/>
        <item x="329"/>
        <item x="247"/>
        <item x="82"/>
        <item x="323"/>
        <item x="179"/>
        <item x="65"/>
        <item x="321"/>
        <item x="332"/>
        <item x="296"/>
        <item x="345"/>
        <item x="360"/>
        <item x="56"/>
        <item x="343"/>
        <item x="80"/>
        <item x="50"/>
        <item x="213"/>
        <item x="235"/>
        <item x="272"/>
        <item x="121"/>
        <item x="178"/>
        <item x="209"/>
        <item x="49"/>
        <item x="169"/>
        <item x="158"/>
        <item x="0"/>
        <item x="340"/>
        <item x="16"/>
        <item x="208"/>
        <item x="27"/>
        <item x="14"/>
        <item x="172"/>
        <item x="109"/>
        <item x="220"/>
        <item x="363"/>
        <item x="192"/>
        <item x="301"/>
        <item x="237"/>
        <item x="55"/>
        <item x="297"/>
        <item x="280"/>
        <item x="188"/>
        <item x="300"/>
        <item x="227"/>
        <item x="7"/>
        <item x="307"/>
        <item x="75"/>
        <item x="120"/>
        <item x="281"/>
        <item x="261"/>
        <item x="202"/>
        <item x="350"/>
        <item x="271"/>
        <item x="245"/>
        <item x="103"/>
        <item x="32"/>
        <item x="91"/>
        <item x="236"/>
        <item x="20"/>
        <item x="144"/>
        <item x="284"/>
        <item x="150"/>
        <item x="229"/>
        <item x="151"/>
        <item x="371"/>
        <item x="203"/>
        <item x="383"/>
        <item x="15"/>
        <item x="18"/>
        <item x="136"/>
        <item x="135"/>
        <item x="283"/>
        <item x="67"/>
        <item x="161"/>
        <item x="344"/>
        <item x="6"/>
        <item x="288"/>
        <item x="290"/>
        <item x="377"/>
        <item x="143"/>
        <item x="210"/>
        <item x="33"/>
        <item x="249"/>
        <item x="108"/>
        <item x="347"/>
        <item x="85"/>
        <item x="62"/>
        <item x="259"/>
        <item x="2"/>
        <item x="238"/>
        <item x="353"/>
        <item x="88"/>
        <item x="104"/>
        <item x="268"/>
        <item x="34"/>
        <item x="122"/>
        <item x="52"/>
        <item x="311"/>
        <item x="176"/>
        <item x="70"/>
        <item x="187"/>
        <item x="205"/>
        <item x="242"/>
        <item x="361"/>
        <item x="183"/>
        <item x="222"/>
        <item x="167"/>
        <item x="269"/>
        <item x="193"/>
        <item x="199"/>
        <item x="324"/>
        <item x="243"/>
        <item x="107"/>
        <item x="218"/>
        <item x="252"/>
        <item x="315"/>
        <item x="310"/>
        <item x="69"/>
        <item x="351"/>
        <item x="226"/>
        <item x="349"/>
        <item x="87"/>
        <item x="28"/>
        <item x="223"/>
        <item x="112"/>
        <item x="376"/>
        <item t="default"/>
      </items>
    </pivotField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axis="axisCol" compact="0" outline="0" showAll="0">
      <items count="4">
        <item x="2"/>
        <item x="0"/>
        <item x="1"/>
        <item t="default"/>
      </items>
    </pivotField>
    <pivotField axis="axisRow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9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>
      <items count="13">
        <item x="8"/>
        <item x="4"/>
        <item x="1"/>
        <item x="6"/>
        <item x="11"/>
        <item x="10"/>
        <item x="3"/>
        <item x="2"/>
        <item x="7"/>
        <item x="0"/>
        <item x="9"/>
        <item x="5"/>
        <item t="default"/>
      </items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6">
        <item sd="0" x="0"/>
        <item sd="0" x="1"/>
        <item sd="0" x="2"/>
        <item sd="0" x="3"/>
        <item sd="0" x="4"/>
        <item t="default"/>
      </items>
    </pivotField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účet z Trzba" fld="13" baseField="0" baseItem="0"/>
  </dataFields>
  <formats count="8">
    <format dxfId="105">
      <pivotArea type="all" dataOnly="0" outline="0" fieldPosition="0"/>
    </format>
    <format dxfId="104">
      <pivotArea outline="0" collapsedLevelsAreSubtotals="1" fieldPosition="0"/>
    </format>
    <format dxfId="103">
      <pivotArea field="19" type="button" dataOnly="0" labelOnly="1" outline="0"/>
    </format>
    <format dxfId="102">
      <pivotArea dataOnly="0" labelOnly="1" grandRow="1" outline="0" fieldPosition="0"/>
    </format>
    <format dxfId="101">
      <pivotArea dataOnly="0" labelOnly="1" outline="0" axis="axisValues" fieldPosition="0"/>
    </format>
    <format dxfId="100">
      <pivotArea dataOnly="0" labelOnly="1" grandRow="1" outline="0" fieldPosition="0"/>
    </format>
    <format dxfId="99">
      <pivotArea grandRow="1" outline="0" collapsedLevelsAreSubtotals="1" fieldPosition="0"/>
    </format>
    <format dxfId="98">
      <pivotArea outline="0" fieldPosition="0">
        <references count="1">
          <reference field="7" count="0" selected="0"/>
        </references>
      </pivotArea>
    </format>
  </formats>
  <chartFormats count="4">
    <chartFormat chart="37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7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7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Rýchly_filter_Mesiace__Datum1" xr10:uid="{3C0CCE16-BE19-47E7-8A16-130B15E678E4}" sourceName="Mesiace (Datum)">
  <pivotTables>
    <pivotTable tabId="6" name="Trzba_segment"/>
    <pivotTable tabId="6" name="Trzba_podla_kanala"/>
    <pivotTable tabId="12" name="Marza%"/>
    <pivotTable tabId="12" name="Naklady"/>
    <pivotTable tabId="12" name="Trzba"/>
    <pivotTable tabId="12" name="Zisk"/>
    <pivotTable tabId="6" name="Tryba_kanal_katgoria"/>
    <pivotTable tabId="6" name="Top 5 produktov_podla_kanala_trzby"/>
    <pivotTable tabId="6" name="Porovnanie_krajov_kanalov_trzby"/>
    <pivotTable tabId="6" name="Top_3_produktov_podla_kategorie"/>
    <pivotTable tabId="10" name="Kontingenčná tabuľka3"/>
    <pivotTable tabId="10" name="Kontingenčná tabuľka4"/>
    <pivotTable tabId="10" name="Marza%"/>
    <pivotTable tabId="10" name="Trzba"/>
    <pivotTable tabId="11" name="Kontingenčná tabuľka3"/>
    <pivotTable tabId="11" name="Kontingenčná tabuľka4"/>
    <pivotTable tabId="11" name="Marza%"/>
    <pivotTable tabId="11" name="Trzba"/>
    <pivotTable tabId="5" name="Marza%_predaj_region"/>
    <pivotTable tabId="5" name="Naklady_predaj_region"/>
    <pivotTable tabId="5" name="Trzba_predaj_region"/>
    <pivotTable tabId="5" name="Ziska_predaj_region"/>
    <pivotTable tabId="6" name="Kontingenčná tabuľka3"/>
    <pivotTable tabId="6" name="Kpi_obejdnavka"/>
    <pivotTable tabId="6" name="Top_10_produktov_zisk_trzby"/>
    <pivotTable tabId="6" name="Trzba_kategorie"/>
    <pivotTable tabId="6" name="Trzba_podla_krajov"/>
    <pivotTable tabId="6" name="Kontingenčná tabuľka1"/>
  </pivotTables>
  <data>
    <tabular pivotCacheId="1464432605">
      <items count="14">
        <i x="1" s="1"/>
        <i x="2" s="1"/>
        <i x="3" s="1"/>
        <i x="4" s="1" nd="1"/>
        <i x="5" s="1" nd="1"/>
        <i x="6" s="1" nd="1"/>
        <i x="7" s="1" nd="1"/>
        <i x="8" s="1" nd="1"/>
        <i x="9" s="1" nd="1"/>
        <i x="10" s="1" nd="1"/>
        <i x="11" s="1" nd="1"/>
        <i x="12" s="1" nd="1"/>
        <i x="0" s="1" nd="1"/>
        <i x="13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Rýchly_filter_Rok11" xr10:uid="{F1C73903-059C-45F7-9953-725097DE1BFF}" sourceName="Rok">
  <pivotTables>
    <pivotTable tabId="11" name="Trzba"/>
    <pivotTable tabId="11" name="Kontingenčná tabuľka3"/>
    <pivotTable tabId="11" name="Kontingenčná tabuľka4"/>
    <pivotTable tabId="11" name="Marza%"/>
    <pivotTable tabId="6" name="Top_3_produktov_podla_kategorie"/>
    <pivotTable tabId="6" name="Porovnanie_krajov_kanalov_trzby"/>
    <pivotTable tabId="12" name="Zisk"/>
    <pivotTable tabId="12" name="Trzba"/>
    <pivotTable tabId="12" name="Naklady"/>
    <pivotTable tabId="12" name="Marza%"/>
    <pivotTable tabId="10" name="Marza%"/>
    <pivotTable tabId="10" name="Kontingenčná tabuľka4"/>
    <pivotTable tabId="10" name="Kontingenčná tabuľka3"/>
    <pivotTable tabId="10" name="Trzba"/>
    <pivotTable tabId="5" name="Marza%_predaj_region"/>
    <pivotTable tabId="5" name="Naklady_predaj_region"/>
    <pivotTable tabId="5" name="Trzba_predaj_region"/>
    <pivotTable tabId="5" name="Ziska_predaj_region"/>
    <pivotTable tabId="6" name="Kontingenčná tabuľka3"/>
    <pivotTable tabId="6" name="Kpi_obejdnavka"/>
    <pivotTable tabId="6" name="Top 5 produktov_podla_kanala_trzby"/>
    <pivotTable tabId="6" name="Top_10_produktov_zisk_trzby"/>
    <pivotTable tabId="6" name="Tryba_kanal_katgoria"/>
    <pivotTable tabId="6" name="Trzba_kategorie"/>
    <pivotTable tabId="6" name="Trzba_podla_kanala"/>
    <pivotTable tabId="6" name="Trzba_podla_krajov"/>
    <pivotTable tabId="6" name="Trzba_segment"/>
    <pivotTable tabId="6" name="Kontingenčná tabuľka1"/>
  </pivotTables>
  <data>
    <tabular pivotCacheId="1464432605">
      <items count="3">
        <i x="1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Rýchly_filter_Kategorie11" xr10:uid="{CC50298F-3BE2-4102-B14F-BBCBFC6A7C05}" sourceName="Kategorie">
  <pivotTables>
    <pivotTable tabId="11" name="Kontingenčná tabuľka3"/>
    <pivotTable tabId="11" name="Kontingenčná tabuľka4"/>
    <pivotTable tabId="11" name="Marza%"/>
    <pivotTable tabId="11" name="Trzba"/>
    <pivotTable tabId="12" name="Marza%"/>
    <pivotTable tabId="12" name="Naklady"/>
    <pivotTable tabId="12" name="Trzba"/>
    <pivotTable tabId="12" name="Zisk"/>
    <pivotTable tabId="10" name="Trzba"/>
    <pivotTable tabId="10" name="Marza%"/>
    <pivotTable tabId="10" name="Kontingenčná tabuľka4"/>
    <pivotTable tabId="10" name="Kontingenčná tabuľka3"/>
    <pivotTable tabId="6" name="Top_3_produktov_podla_kategorie"/>
    <pivotTable tabId="6" name="Porovnanie_krajov_kanalov_trzby"/>
    <pivotTable tabId="6" name="Trzba_podla_krajov"/>
    <pivotTable tabId="5" name="Ziska_predaj_region"/>
    <pivotTable tabId="5" name="Trzba_predaj_region"/>
    <pivotTable tabId="5" name="Naklady_predaj_region"/>
    <pivotTable tabId="5" name="Marza%_predaj_region"/>
    <pivotTable tabId="6" name="Kontingenčná tabuľka3"/>
    <pivotTable tabId="6" name="Kpi_obejdnavka"/>
    <pivotTable tabId="6" name="Top 5 produktov_podla_kanala_trzby"/>
    <pivotTable tabId="6" name="Top_10_produktov_zisk_trzby"/>
    <pivotTable tabId="6" name="Tryba_kanal_katgoria"/>
    <pivotTable tabId="6" name="Trzba_kategorie"/>
    <pivotTable tabId="6" name="Trzba_podla_kanala"/>
    <pivotTable tabId="6" name="Trzba_segment"/>
    <pivotTable tabId="6" name="Kontingenčná tabuľka1"/>
  </pivotTables>
  <data>
    <tabular pivotCacheId="1464432605">
      <items count="4">
        <i x="1" s="1"/>
        <i x="0" s="1"/>
        <i x="2" s="1"/>
        <i x="3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Rýchly_filter_Segment11" xr10:uid="{E65841BF-D774-4D33-911E-893E380D4C2A}" sourceName="Segment">
  <pivotTables>
    <pivotTable tabId="11" name="Kontingenčná tabuľka3"/>
    <pivotTable tabId="11" name="Kontingenčná tabuľka4"/>
    <pivotTable tabId="11" name="Marza%"/>
    <pivotTable tabId="11" name="Trzba"/>
    <pivotTable tabId="12" name="Marza%"/>
    <pivotTable tabId="12" name="Naklady"/>
    <pivotTable tabId="12" name="Trzba"/>
    <pivotTable tabId="12" name="Zisk"/>
    <pivotTable tabId="10" name="Trzba"/>
    <pivotTable tabId="10" name="Marza%"/>
    <pivotTable tabId="10" name="Kontingenčná tabuľka4"/>
    <pivotTable tabId="10" name="Kontingenčná tabuľka3"/>
    <pivotTable tabId="6" name="Top_3_produktov_podla_kategorie"/>
    <pivotTable tabId="6" name="Porovnanie_krajov_kanalov_trzby"/>
    <pivotTable tabId="6" name="Trzba_podla_krajov"/>
    <pivotTable tabId="5" name="Ziska_predaj_region"/>
    <pivotTable tabId="5" name="Trzba_predaj_region"/>
    <pivotTable tabId="5" name="Naklady_predaj_region"/>
    <pivotTable tabId="5" name="Marza%_predaj_region"/>
    <pivotTable tabId="6" name="Kontingenčná tabuľka3"/>
    <pivotTable tabId="6" name="Kpi_obejdnavka"/>
    <pivotTable tabId="6" name="Top 5 produktov_podla_kanala_trzby"/>
    <pivotTable tabId="6" name="Top_10_produktov_zisk_trzby"/>
    <pivotTable tabId="6" name="Tryba_kanal_katgoria"/>
    <pivotTable tabId="6" name="Trzba_kategorie"/>
    <pivotTable tabId="6" name="Trzba_podla_kanala"/>
    <pivotTable tabId="6" name="Trzba_segment"/>
    <pivotTable tabId="6" name="Kontingenčná tabuľka1"/>
  </pivotTables>
  <data>
    <tabular pivotCacheId="1464432605">
      <items count="2">
        <i x="0" s="1"/>
        <i x="1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Rýchly_filter_Mesiace1" xr10:uid="{1DDC41C3-78FF-45E6-BC0B-FF70F14B44ED}" sourceName="Mesiace">
  <pivotTables>
    <pivotTable tabId="6" name="Trzba_podla_krajov"/>
    <pivotTable tabId="5" name="Marza%_predaj_region"/>
    <pivotTable tabId="5" name="Trzba_predaj_region"/>
    <pivotTable tabId="5" name="Naklady_predaj_region"/>
    <pivotTable tabId="5" name="Ziska_predaj_region"/>
    <pivotTable tabId="6" name="Porovnanie_krajov_kanalov_trzby"/>
    <pivotTable tabId="6" name="Tryba_kanal_katgoria"/>
    <pivotTable tabId="6" name="Top 5 produktov_podla_kanala_trzby"/>
    <pivotTable tabId="6" name="Trzba_segment"/>
    <pivotTable tabId="12" name="Zisk"/>
    <pivotTable tabId="12" name="Trzba"/>
    <pivotTable tabId="12" name="Naklady"/>
    <pivotTable tabId="12" name="Marza%"/>
    <pivotTable tabId="6" name="Trzba_podla_kanala"/>
    <pivotTable tabId="6" name="Top_3_produktov_podla_kategorie"/>
    <pivotTable tabId="6" name="Kontingenčná tabuľka1"/>
  </pivotTables>
  <data>
    <tabular pivotCacheId="1464432605">
      <items count="12">
        <i x="8" s="1"/>
        <i x="4" s="1"/>
        <i x="1" s="1"/>
        <i x="6" s="1"/>
        <i x="11" s="1"/>
        <i x="10" s="1"/>
        <i x="3" s="1"/>
        <i x="2" s="1"/>
        <i x="7" s="1"/>
        <i x="0" s="1"/>
        <i x="9" s="1"/>
        <i x="5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Rýchly_filter_Region" xr10:uid="{4D523E79-D260-46B3-95BF-6E8952C6E84F}" sourceName="Region">
  <pivotTables>
    <pivotTable tabId="6" name="Trzba_segment"/>
    <pivotTable tabId="12" name="Marza%"/>
    <pivotTable tabId="12" name="Naklady"/>
    <pivotTable tabId="12" name="Trzba"/>
    <pivotTable tabId="12" name="Zisk"/>
    <pivotTable tabId="10" name="Kontingenčná tabuľka3"/>
    <pivotTable tabId="10" name="Kontingenčná tabuľka4"/>
    <pivotTable tabId="10" name="Marza%"/>
    <pivotTable tabId="10" name="Trzba"/>
    <pivotTable tabId="11" name="Kontingenčná tabuľka3"/>
    <pivotTable tabId="11" name="Kontingenčná tabuľka4"/>
    <pivotTable tabId="11" name="Marza%"/>
    <pivotTable tabId="11" name="Trzba"/>
    <pivotTable tabId="5" name="Marza%_predaj_region"/>
    <pivotTable tabId="5" name="Naklady_predaj_region"/>
    <pivotTable tabId="5" name="Trzba_predaj_region"/>
    <pivotTable tabId="5" name="Ziska_predaj_region"/>
    <pivotTable tabId="6" name="Kontingenčná tabuľka3"/>
    <pivotTable tabId="6" name="Kpi_obejdnavka"/>
    <pivotTable tabId="6" name="Porovnanie_krajov_kanalov_trzby"/>
    <pivotTable tabId="6" name="Top 5 produktov_podla_kanala_trzby"/>
    <pivotTable tabId="6" name="Tryba_kanal_katgoria"/>
    <pivotTable tabId="6" name="Trzba_kategorie"/>
    <pivotTable tabId="6" name="Trzba_podla_kanala"/>
    <pivotTable tabId="6" name="Trzba_podla_krajov"/>
    <pivotTable tabId="6" name="Top_3_produktov_podla_kategorie"/>
    <pivotTable tabId="6" name="Top_10_produktov_zisk_trzby"/>
    <pivotTable tabId="6" name="Kontingenčná tabuľka1"/>
  </pivotTables>
  <data>
    <tabular pivotCacheId="1464432605">
      <items count="4">
        <i x="2" s="1"/>
        <i x="1" s="1"/>
        <i x="0" s="1"/>
        <i x="3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Rýchly_filter_Trieda" xr10:uid="{91EDD43A-BAFB-4102-B045-2A6DD3A262FD}" sourceName="Trieda">
  <pivotTables>
    <pivotTable tabId="6" name="Produkty_abc_trzby"/>
    <pivotTable tabId="6" name="Kontingenčná tabuľka6"/>
  </pivotTables>
  <data>
    <tabular pivotCacheId="52156248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ok 3" xr10:uid="{4F308DD5-B03F-4E8C-B171-DB5B52930BB7}" cache="Rýchly_filter_Rok11" caption="Rok" columnCount="3" style="SlicerStyleLight6" rowHeight="234950"/>
  <slicer name="Kategorie 3" xr10:uid="{9FBA5088-1A7D-4608-B82D-9D1ACB5AF79F}" cache="Rýchly_filter_Kategorie11" caption="Kategorie" style="SlicerStyleLight6" rowHeight="234950"/>
  <slicer name="Segment 3" xr10:uid="{CAAD16FD-144A-46A4-8B69-55B16B75EAC4}" cache="Rýchly_filter_Segment11" caption="Segment" style="SlicerStyleLight6" rowHeight="234950"/>
  <slicer name="Mesiace" xr10:uid="{EB6A02FB-F334-4B16-86B8-B2FE54F71D6F}" cache="Rýchly_filter_Mesiace1" caption="Mesiace" startItem="6" style="SlicerStyleLight6" rowHeight="234950"/>
  <slicer name="Region" xr10:uid="{1CE0A2AC-D825-4131-BD1A-B77ED2C5A613}" cache="Rýchly_filter_Region" caption="Region" style="SlicerStyleLight6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ok" xr10:uid="{67BA9FE1-1FAE-41B0-9C69-EE90628715B4}" cache="Rýchly_filter_Rok11" caption="Rok" columnCount="3" style="SlicerStyleLight6" rowHeight="234950"/>
  <slicer name="Kategorie" xr10:uid="{A773E433-5AED-4EA9-9F4C-87E26CA665AB}" cache="Rýchly_filter_Kategorie11" caption="Kategorie" style="SlicerStyleLight6" rowHeight="234950"/>
  <slicer name="Segment" xr10:uid="{8140AEB7-EF62-4F5C-B4A2-6FB80E8369CD}" cache="Rýchly_filter_Segment11" caption="Segment" style="SlicerStyleLight6" rowHeight="234950"/>
  <slicer name="Mesiace 1" xr10:uid="{A5D5A8AD-0963-45BC-8DBC-87F984453888}" cache="Rýchly_filter_Mesiace1" caption="Mesiace" startItem="5" style="SlicerStyleLight6" rowHeight="234950"/>
  <slicer name="Region 1" xr10:uid="{E7F68CCA-17E6-411B-A9DC-C5B7FFA52C4C}" cache="Rýchly_filter_Region" caption="Region" style="SlicerStyleLight6" rowHeight="2349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iace (Datum) 1" xr10:uid="{22012109-B8D6-482A-993D-73AE06BE562E}" cache="Rýchly_filter_Mesiace__Datum1" caption="Mesiace " style="SlicerStyleLight6" rowHeight="234950"/>
  <slicer name="Rok 1" xr10:uid="{46813478-628F-4A53-9705-13D9216986FB}" cache="Rýchly_filter_Rok11" caption="Rok" columnCount="3" style="SlicerStyleLight6" rowHeight="234950"/>
  <slicer name="Kategorie 1" xr10:uid="{0906FE88-302C-4BEE-905E-6B01BDF1A44D}" cache="Rýchly_filter_Kategorie11" caption="Kategorie" style="SlicerStyleLight6" rowHeight="234950"/>
  <slicer name="Segment 1" xr10:uid="{ACF531F1-6C4C-4112-8313-93D9652B4CE7}" cache="Rýchly_filter_Segment11" caption="Segment" style="SlicerStyleLight6" rowHeight="234950"/>
  <slicer name="Region 2" xr10:uid="{6016EC7A-DC9F-4B3C-98A2-9B0602BD711A}" cache="Rýchly_filter_Region" caption="Region" style="SlicerStyleLight6" rowHeight="23495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iace (Datum) 2" xr10:uid="{29719F80-7CD9-4AC5-AFF0-6B106E957027}" cache="Rýchly_filter_Mesiace__Datum1" caption="Mesiace " style="SlicerStyleLight6" rowHeight="234950"/>
  <slicer name="Rok 2" xr10:uid="{1C87D549-207B-4A3F-9DC6-1EC67F19AC30}" cache="Rýchly_filter_Rok11" caption="Rok" columnCount="3" style="SlicerStyleLight6" rowHeight="234950"/>
  <slicer name="Kategorie 2" xr10:uid="{E9895378-4CAB-4BA3-AB6D-6A9C542E276C}" cache="Rýchly_filter_Kategorie11" caption="Kategorie" style="SlicerStyleLight6" rowHeight="234950"/>
  <slicer name="Segment 2" xr10:uid="{B826481C-F327-40EF-BEC3-FF0FEE4A7064}" cache="Rýchly_filter_Segment11" caption="Segment" style="SlicerStyleLight6" rowHeight="234950"/>
  <slicer name="Region 3" xr10:uid="{A98DCC41-F2C4-4650-A46F-879115FF20A2}" cache="Rýchly_filter_Region" caption="Region" style="SlicerStyleLight6" rowHeight="234950"/>
  <slicer name="Trieda 1" xr10:uid="{DCAE45B4-3FA0-4D0F-A08C-2F204C10358F}" cache="Rýchly_filter_Trieda" caption="Trieda" style="SlicerStyleLight6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B5A573-55D8-45A7-965E-00A7E46C7EEB}" name="Tabuľka1" displayName="Tabuľka1" ref="A1:D33" totalsRowShown="0">
  <autoFilter ref="A1:D33" xr:uid="{A7B5A573-55D8-45A7-965E-00A7E46C7EEB}"/>
  <tableColumns count="4">
    <tableColumn id="1" xr3:uid="{52C8FE95-A9BF-4995-B777-3676E4B28F2B}" name="Produkt" dataDxfId="119"/>
    <tableColumn id="2" xr3:uid="{62B6D274-227D-48FC-B5FC-DE1102C10A21}" name="Trzba" dataDxfId="118"/>
    <tableColumn id="3" xr3:uid="{6D8DB352-E3DE-4395-B5E6-B087BC9B1E28}" name="KP" dataDxfId="117">
      <calculatedColumnFormula>SUM($B$2:B2)/SUM($B$2:B33)</calculatedColumnFormula>
    </tableColumn>
    <tableColumn id="4" xr3:uid="{B26D292C-E099-428F-AE4A-BCE06FB534BA}" name="Trieda">
      <calculatedColumnFormula>VLOOKUP(C2,$H$2:$I$4,2,TRUE)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5F85D4-B213-49CF-A245-3D3724FB3F65}" name="Tabuľka5" displayName="Tabuľka5" ref="A1:D33" totalsRowShown="0" headerRowDxfId="116" headerRowBorderDxfId="115" tableBorderDxfId="114">
  <autoFilter ref="A1:D33" xr:uid="{AD5F85D4-B213-49CF-A245-3D3724FB3F65}"/>
  <tableColumns count="4">
    <tableColumn id="1" xr3:uid="{9057B117-94CC-4354-95B0-F22AB9EB6BDE}" name="Produkt" dataDxfId="113"/>
    <tableColumn id="2" xr3:uid="{6A942282-4354-4792-BA48-083E131AF83B}" name="Zisk" dataDxfId="112"/>
    <tableColumn id="3" xr3:uid="{09F5FA91-AEBF-4D58-939F-6473EB3E03A4}" name="KP" dataDxfId="111">
      <calculatedColumnFormula>SUM($B$2:B2)/SUM($B$2:$B$33)</calculatedColumnFormula>
    </tableColumn>
    <tableColumn id="4" xr3:uid="{71D294B1-4FE9-4377-9C63-6F7005C9288A}" name="Trieda">
      <calculatedColumnFormula>VLOOKUP(C2,$I$2:$J$4,2,TRUE)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4A26A3-2FCF-430D-B71F-297A45AFB252}" name="Tabuľka4" displayName="Tabuľka4" ref="A3:S503" totalsRowShown="0">
  <sortState xmlns:xlrd2="http://schemas.microsoft.com/office/spreadsheetml/2017/richdata2" ref="A4:S503">
    <sortCondition descending="1" ref="N3:N503"/>
  </sortState>
  <tableColumns count="19">
    <tableColumn id="1" xr3:uid="{9451AC7E-B96D-4DC9-9837-FB8F7B1F3E25}" name="Datum" dataDxfId="110" totalsRowDxfId="109"/>
    <tableColumn id="2" xr3:uid="{1F20EA35-9D73-4FFB-8FC7-ADDB360F15D9}" name="ObjednavkaID"/>
    <tableColumn id="3" xr3:uid="{E9FED051-9A67-4902-A4AA-92F58A89AA5E}" name="Zakaznik"/>
    <tableColumn id="4" xr3:uid="{0DD87D18-3EAA-4AF3-932B-387F62696058}" name="Segment"/>
    <tableColumn id="5" xr3:uid="{048CF1C3-CAA5-4B12-9772-BFA2A2DACD7E}" name="Region"/>
    <tableColumn id="19" xr3:uid="{ED6E76B0-907C-438E-835A-D0175B64DE2E}" name="Stat"/>
    <tableColumn id="6" xr3:uid="{149A004D-5D65-4D2E-B32B-2BC615C5A6B6}" name="Kanal"/>
    <tableColumn id="7" xr3:uid="{E0F4A4EA-4F5E-4E6A-80D3-365754115D10}" name="Kategorie"/>
    <tableColumn id="8" xr3:uid="{14853267-516E-4707-AF67-34A81897AA19}" name="Produkt" dataDxfId="108"/>
    <tableColumn id="9" xr3:uid="{BB1D2C3F-CB36-4F1D-968E-7A77B3A896E9}" name="Obchodnik"/>
    <tableColumn id="10" xr3:uid="{25AB2B94-92FF-4073-9D25-5CCC523AEFE8}" name="Mnozstvi"/>
    <tableColumn id="11" xr3:uid="{B6EC8F31-98E8-438E-A28D-080A1D914183}" name="JednCena"/>
    <tableColumn id="12" xr3:uid="{565C4A9A-76A9-47F8-BD30-267E141E35E4}" name="SlevaPct"/>
    <tableColumn id="13" xr3:uid="{E6F6D85B-1610-4E77-A273-2903BBF29773}" name="Trzba" dataDxfId="107"/>
    <tableColumn id="14" xr3:uid="{054BD7ED-E4FA-45F4-B446-008DA1EA731F}" name="Naklad"/>
    <tableColumn id="15" xr3:uid="{348DB32D-A971-417C-A720-67A1F008A647}" name="Zisk"/>
    <tableColumn id="17" xr3:uid="{0A260987-F378-4B16-9F1E-EEF7084D9BA3}" name="Marža" totalsRowDxfId="106" dataCellStyle="Percentá" totalsRowCellStyle="Percentá">
      <calculatedColumnFormula>Tabuľka4[[#This Row],[Zisk]]/Tabuľka4[[#This Row],[Trzba]]</calculatedColumnFormula>
    </tableColumn>
    <tableColumn id="16" xr3:uid="{18E7228F-519D-4721-B0C3-A11D86BA416D}" name="Rok"/>
    <tableColumn id="18" xr3:uid="{809A6141-D8A7-4073-9200-C0EBF6BBAA7E}" name="Mesiace">
      <calculatedColumnFormula>TEXT(Tabuľka4[[#This Row],[Datum]],"MMMM")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microsoft.com/office/2007/relationships/slicer" Target="../slicers/slicer2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microsoft.com/office/2007/relationships/slicer" Target="../slicers/slicer3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1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6" Type="http://schemas.microsoft.com/office/2007/relationships/slicer" Target="../slicers/slicer4.xml"/><Relationship Id="rId5" Type="http://schemas.openxmlformats.org/officeDocument/2006/relationships/drawing" Target="../drawings/drawing4.xml"/><Relationship Id="rId4" Type="http://schemas.openxmlformats.org/officeDocument/2006/relationships/pivotTable" Target="../pivotTables/pivotTable1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4.xml"/><Relationship Id="rId13" Type="http://schemas.openxmlformats.org/officeDocument/2006/relationships/pivotTable" Target="../pivotTables/pivotTable29.xml"/><Relationship Id="rId3" Type="http://schemas.openxmlformats.org/officeDocument/2006/relationships/pivotTable" Target="../pivotTables/pivotTable19.xml"/><Relationship Id="rId7" Type="http://schemas.openxmlformats.org/officeDocument/2006/relationships/pivotTable" Target="../pivotTables/pivotTable23.xml"/><Relationship Id="rId12" Type="http://schemas.openxmlformats.org/officeDocument/2006/relationships/pivotTable" Target="../pivotTables/pivotTable28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Relationship Id="rId6" Type="http://schemas.openxmlformats.org/officeDocument/2006/relationships/pivotTable" Target="../pivotTables/pivotTable22.xml"/><Relationship Id="rId11" Type="http://schemas.openxmlformats.org/officeDocument/2006/relationships/pivotTable" Target="../pivotTables/pivotTable27.xml"/><Relationship Id="rId5" Type="http://schemas.openxmlformats.org/officeDocument/2006/relationships/pivotTable" Target="../pivotTables/pivotTable21.xml"/><Relationship Id="rId15" Type="http://schemas.openxmlformats.org/officeDocument/2006/relationships/pivotTable" Target="../pivotTables/pivotTable31.xml"/><Relationship Id="rId10" Type="http://schemas.openxmlformats.org/officeDocument/2006/relationships/pivotTable" Target="../pivotTables/pivotTable26.xml"/><Relationship Id="rId4" Type="http://schemas.openxmlformats.org/officeDocument/2006/relationships/pivotTable" Target="../pivotTables/pivotTable20.xml"/><Relationship Id="rId9" Type="http://schemas.openxmlformats.org/officeDocument/2006/relationships/pivotTable" Target="../pivotTables/pivotTable25.xml"/><Relationship Id="rId14" Type="http://schemas.openxmlformats.org/officeDocument/2006/relationships/pivotTable" Target="../pivotTables/pivot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7A413-B72D-4F4A-A182-5FE9899EB48E}">
  <dimension ref="A1:R43"/>
  <sheetViews>
    <sheetView workbookViewId="0">
      <selection activeCell="B17" sqref="B17"/>
    </sheetView>
  </sheetViews>
  <sheetFormatPr defaultRowHeight="14.4" x14ac:dyDescent="0.3"/>
  <cols>
    <col min="1" max="1" width="28.77734375" customWidth="1"/>
    <col min="2" max="2" width="6.77734375" customWidth="1"/>
    <col min="4" max="4" width="16.77734375" bestFit="1" customWidth="1"/>
    <col min="5" max="5" width="3.77734375" customWidth="1"/>
    <col min="6" max="6" width="16.77734375" bestFit="1" customWidth="1"/>
    <col min="7" max="7" width="4.109375" customWidth="1"/>
    <col min="8" max="8" width="16.77734375" bestFit="1" customWidth="1"/>
    <col min="9" max="9" width="4.5546875" customWidth="1"/>
    <col min="10" max="10" width="19" customWidth="1"/>
    <col min="11" max="11" width="14" customWidth="1"/>
  </cols>
  <sheetData>
    <row r="1" spans="1:18" ht="14.4" customHeight="1" thickBot="1" x14ac:dyDescent="0.35">
      <c r="A1" s="7" t="s">
        <v>832</v>
      </c>
      <c r="B1" s="17"/>
      <c r="C1" s="38" t="s">
        <v>830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"/>
      <c r="P1" s="3"/>
      <c r="Q1" s="3"/>
      <c r="R1" s="3"/>
    </row>
    <row r="2" spans="1:18" ht="14.4" customHeight="1" thickTop="1" x14ac:dyDescent="0.3">
      <c r="A2" s="8">
        <f ca="1">TODAY()</f>
        <v>46314</v>
      </c>
      <c r="B2" s="17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3"/>
      <c r="P2" s="3"/>
      <c r="Q2" s="3"/>
      <c r="R2" s="3"/>
    </row>
    <row r="3" spans="1:18" x14ac:dyDescent="0.3">
      <c r="A3" s="3"/>
      <c r="B3" s="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 x14ac:dyDescent="0.3">
      <c r="A4" s="3"/>
      <c r="B4" s="3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spans="1:18" ht="16.2" thickBot="1" x14ac:dyDescent="0.35">
      <c r="A5" s="3"/>
      <c r="B5" s="3"/>
      <c r="C5" s="10"/>
      <c r="D5" s="6" t="s">
        <v>842</v>
      </c>
      <c r="E5" s="10"/>
      <c r="F5" s="6" t="s">
        <v>843</v>
      </c>
      <c r="G5" s="10"/>
      <c r="H5" s="6" t="s">
        <v>844</v>
      </c>
      <c r="I5" s="10"/>
      <c r="J5" s="21" t="s">
        <v>841</v>
      </c>
      <c r="K5" s="10"/>
      <c r="L5" s="10"/>
      <c r="M5" s="10"/>
      <c r="N5" s="10"/>
      <c r="O5" s="10"/>
      <c r="P5" s="10"/>
      <c r="Q5" s="10"/>
      <c r="R5" s="10"/>
    </row>
    <row r="6" spans="1:18" ht="16.2" thickTop="1" x14ac:dyDescent="0.3">
      <c r="A6" s="3"/>
      <c r="B6" s="3"/>
      <c r="C6" s="10"/>
      <c r="D6" s="14">
        <v>4225346</v>
      </c>
      <c r="E6" s="10"/>
      <c r="F6" s="14">
        <v>1229237.9699999986</v>
      </c>
      <c r="G6" s="10"/>
      <c r="H6" s="14">
        <v>2996108.0299999956</v>
      </c>
      <c r="I6" s="10"/>
      <c r="J6" s="20">
        <v>0.29092007376437307</v>
      </c>
      <c r="K6" s="10"/>
      <c r="L6" s="10"/>
      <c r="M6" s="10"/>
      <c r="N6" s="10"/>
      <c r="O6" s="10"/>
      <c r="P6" s="10"/>
      <c r="Q6" s="10"/>
      <c r="R6" s="10"/>
    </row>
    <row r="7" spans="1:18" x14ac:dyDescent="0.3">
      <c r="A7" s="3"/>
      <c r="B7" s="3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8" x14ac:dyDescent="0.3">
      <c r="A8" s="3"/>
      <c r="B8" s="3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1:18" x14ac:dyDescent="0.3">
      <c r="A9" s="3"/>
      <c r="B9" s="3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spans="1:18" x14ac:dyDescent="0.3">
      <c r="A10" s="3"/>
      <c r="B10" s="3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</row>
    <row r="11" spans="1:18" x14ac:dyDescent="0.3">
      <c r="A11" s="3"/>
      <c r="B11" s="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spans="1:18" x14ac:dyDescent="0.3">
      <c r="A12" s="3"/>
      <c r="B12" s="3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</row>
    <row r="13" spans="1:18" x14ac:dyDescent="0.3">
      <c r="A13" s="3"/>
      <c r="B13" s="3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spans="1:18" x14ac:dyDescent="0.3">
      <c r="A14" s="3"/>
      <c r="B14" s="3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 spans="1:18" x14ac:dyDescent="0.3">
      <c r="A15" s="3"/>
      <c r="B15" s="3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spans="1:18" x14ac:dyDescent="0.3">
      <c r="A16" s="3"/>
      <c r="B16" s="3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spans="1:18" x14ac:dyDescent="0.3">
      <c r="A17" s="3"/>
      <c r="B17" s="3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</row>
    <row r="18" spans="1:18" x14ac:dyDescent="0.3">
      <c r="A18" s="3"/>
      <c r="B18" s="3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spans="1:18" x14ac:dyDescent="0.3">
      <c r="A19" s="3"/>
      <c r="B19" s="3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</row>
    <row r="20" spans="1:18" x14ac:dyDescent="0.3">
      <c r="A20" s="3"/>
      <c r="B20" s="3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spans="1:18" x14ac:dyDescent="0.3">
      <c r="A21" s="3"/>
      <c r="B21" s="3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 spans="1:18" x14ac:dyDescent="0.3">
      <c r="A22" s="3"/>
      <c r="B22" s="3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18" x14ac:dyDescent="0.3">
      <c r="A23" s="3"/>
      <c r="B23" s="3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</row>
    <row r="24" spans="1:18" x14ac:dyDescent="0.3">
      <c r="A24" s="3"/>
      <c r="B24" s="3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5" spans="1:18" x14ac:dyDescent="0.3">
      <c r="A25" s="3"/>
      <c r="B25" s="3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 spans="1:18" x14ac:dyDescent="0.3">
      <c r="A26" s="3"/>
      <c r="B26" s="3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 spans="1:18" x14ac:dyDescent="0.3">
      <c r="A27" s="3"/>
      <c r="B27" s="3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</row>
    <row r="28" spans="1:18" x14ac:dyDescent="0.3">
      <c r="A28" s="3"/>
      <c r="B28" s="3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  <row r="29" spans="1:18" x14ac:dyDescent="0.3">
      <c r="A29" s="3"/>
      <c r="B29" s="3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</row>
    <row r="30" spans="1:18" x14ac:dyDescent="0.3">
      <c r="A30" s="3"/>
      <c r="B30" s="3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</row>
    <row r="31" spans="1:18" x14ac:dyDescent="0.3">
      <c r="A31" s="3"/>
      <c r="B31" s="3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</row>
    <row r="32" spans="1:18" x14ac:dyDescent="0.3">
      <c r="A32" s="3"/>
      <c r="B32" s="3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</row>
    <row r="33" spans="1:18" x14ac:dyDescent="0.3">
      <c r="A33" s="3"/>
      <c r="B33" s="3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</row>
    <row r="34" spans="1:18" x14ac:dyDescent="0.3">
      <c r="A34" s="3"/>
      <c r="B34" s="3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ht="15.6" x14ac:dyDescent="0.3">
      <c r="A35" s="15"/>
      <c r="B35" s="3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</row>
    <row r="36" spans="1:18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</row>
    <row r="37" spans="1:18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</row>
    <row r="38" spans="1:18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</row>
    <row r="39" spans="1:18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</row>
    <row r="40" spans="1:18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</row>
    <row r="41" spans="1:18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</row>
    <row r="42" spans="1:18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</row>
    <row r="43" spans="1:18" x14ac:dyDescent="0.3"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</row>
  </sheetData>
  <mergeCells count="1">
    <mergeCell ref="C1:N1"/>
  </mergeCells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44928-8937-4011-A25C-079AA3FCE972}">
  <dimension ref="A1:R43"/>
  <sheetViews>
    <sheetView workbookViewId="0">
      <selection activeCell="A14" sqref="A14"/>
    </sheetView>
  </sheetViews>
  <sheetFormatPr defaultRowHeight="14.4" x14ac:dyDescent="0.3"/>
  <cols>
    <col min="1" max="1" width="27" customWidth="1"/>
    <col min="2" max="2" width="7.21875" customWidth="1"/>
    <col min="4" max="4" width="16.77734375" bestFit="1" customWidth="1"/>
    <col min="5" max="5" width="3.77734375" customWidth="1"/>
    <col min="6" max="6" width="16.77734375" bestFit="1" customWidth="1"/>
    <col min="7" max="7" width="4.109375" customWidth="1"/>
    <col min="8" max="8" width="16.77734375" bestFit="1" customWidth="1"/>
    <col min="9" max="9" width="4.5546875" customWidth="1"/>
    <col min="10" max="10" width="19" customWidth="1"/>
    <col min="11" max="11" width="14" customWidth="1"/>
  </cols>
  <sheetData>
    <row r="1" spans="1:18" ht="14.4" customHeight="1" thickBot="1" x14ac:dyDescent="0.35">
      <c r="A1" s="7" t="s">
        <v>832</v>
      </c>
      <c r="B1" s="17"/>
      <c r="C1" s="38" t="s">
        <v>830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"/>
      <c r="P1" s="3"/>
      <c r="Q1" s="3"/>
      <c r="R1" s="3"/>
    </row>
    <row r="2" spans="1:18" ht="14.4" customHeight="1" thickTop="1" x14ac:dyDescent="0.3">
      <c r="A2" s="8">
        <f ca="1">TODAY()</f>
        <v>46314</v>
      </c>
      <c r="B2" s="17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3"/>
      <c r="P2" s="3"/>
      <c r="Q2" s="3"/>
      <c r="R2" s="3"/>
    </row>
    <row r="3" spans="1:18" x14ac:dyDescent="0.3">
      <c r="A3" s="3"/>
      <c r="B3" s="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 x14ac:dyDescent="0.3">
      <c r="A4" s="3"/>
      <c r="B4" s="3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spans="1:18" ht="16.2" thickBot="1" x14ac:dyDescent="0.35">
      <c r="A5" s="3"/>
      <c r="B5" s="3"/>
      <c r="C5" s="10"/>
      <c r="D5" s="6" t="s">
        <v>842</v>
      </c>
      <c r="E5" s="10"/>
      <c r="F5" s="6" t="s">
        <v>843</v>
      </c>
      <c r="G5" s="10"/>
      <c r="H5" s="6" t="s">
        <v>844</v>
      </c>
      <c r="I5" s="10"/>
      <c r="J5" s="21" t="s">
        <v>841</v>
      </c>
      <c r="K5" s="10"/>
      <c r="L5" s="10"/>
      <c r="M5" s="10"/>
      <c r="N5" s="10"/>
      <c r="O5" s="10"/>
      <c r="P5" s="10"/>
      <c r="Q5" s="10"/>
      <c r="R5" s="10"/>
    </row>
    <row r="6" spans="1:18" ht="16.2" thickTop="1" x14ac:dyDescent="0.3">
      <c r="A6" s="3"/>
      <c r="B6" s="3"/>
      <c r="C6" s="10"/>
      <c r="D6" s="14">
        <v>4225346</v>
      </c>
      <c r="E6" s="10"/>
      <c r="F6" s="14">
        <v>1229237.9699999986</v>
      </c>
      <c r="G6" s="10"/>
      <c r="H6" s="14">
        <v>2996108.0299999956</v>
      </c>
      <c r="I6" s="10"/>
      <c r="J6" s="20">
        <v>0.29092007376437307</v>
      </c>
      <c r="K6" s="10"/>
      <c r="L6" s="10"/>
      <c r="M6" s="10"/>
      <c r="N6" s="10"/>
      <c r="O6" s="10"/>
      <c r="P6" s="10"/>
      <c r="Q6" s="10"/>
      <c r="R6" s="10"/>
    </row>
    <row r="7" spans="1:18" x14ac:dyDescent="0.3">
      <c r="A7" s="3"/>
      <c r="B7" s="3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8" x14ac:dyDescent="0.3">
      <c r="A8" s="3"/>
      <c r="B8" s="3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1:18" x14ac:dyDescent="0.3">
      <c r="A9" s="3"/>
      <c r="B9" s="3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spans="1:18" x14ac:dyDescent="0.3">
      <c r="A10" s="3"/>
      <c r="B10" s="3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</row>
    <row r="11" spans="1:18" x14ac:dyDescent="0.3">
      <c r="A11" s="3"/>
      <c r="B11" s="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spans="1:18" x14ac:dyDescent="0.3">
      <c r="A12" s="3"/>
      <c r="B12" s="3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</row>
    <row r="13" spans="1:18" x14ac:dyDescent="0.3">
      <c r="A13" s="3"/>
      <c r="B13" s="3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spans="1:18" x14ac:dyDescent="0.3">
      <c r="A14" s="3"/>
      <c r="B14" s="3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 spans="1:18" x14ac:dyDescent="0.3">
      <c r="A15" s="3"/>
      <c r="B15" s="3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spans="1:18" x14ac:dyDescent="0.3">
      <c r="A16" s="3"/>
      <c r="B16" s="3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spans="1:18" x14ac:dyDescent="0.3">
      <c r="A17" s="3"/>
      <c r="B17" s="3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</row>
    <row r="18" spans="1:18" x14ac:dyDescent="0.3">
      <c r="A18" s="3"/>
      <c r="B18" s="3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spans="1:18" x14ac:dyDescent="0.3">
      <c r="A19" s="3"/>
      <c r="B19" s="3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</row>
    <row r="20" spans="1:18" x14ac:dyDescent="0.3">
      <c r="A20" s="3"/>
      <c r="B20" s="3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spans="1:18" x14ac:dyDescent="0.3">
      <c r="A21" s="3"/>
      <c r="B21" s="3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 spans="1:18" x14ac:dyDescent="0.3">
      <c r="A22" s="3"/>
      <c r="B22" s="3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18" x14ac:dyDescent="0.3">
      <c r="A23" s="3"/>
      <c r="B23" s="3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</row>
    <row r="24" spans="1:18" x14ac:dyDescent="0.3">
      <c r="A24" s="3"/>
      <c r="B24" s="3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5" spans="1:18" x14ac:dyDescent="0.3">
      <c r="A25" s="3"/>
      <c r="B25" s="3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 spans="1:18" x14ac:dyDescent="0.3">
      <c r="A26" s="3"/>
      <c r="B26" s="3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 spans="1:18" x14ac:dyDescent="0.3">
      <c r="A27" s="3"/>
      <c r="B27" s="3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</row>
    <row r="28" spans="1:18" x14ac:dyDescent="0.3">
      <c r="A28" s="3"/>
      <c r="B28" s="3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  <row r="29" spans="1:18" x14ac:dyDescent="0.3">
      <c r="A29" s="3"/>
      <c r="B29" s="3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</row>
    <row r="30" spans="1:18" x14ac:dyDescent="0.3">
      <c r="A30" s="3"/>
      <c r="B30" s="3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</row>
    <row r="31" spans="1:18" x14ac:dyDescent="0.3">
      <c r="A31" s="3"/>
      <c r="B31" s="3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</row>
    <row r="32" spans="1:18" x14ac:dyDescent="0.3">
      <c r="A32" s="3"/>
      <c r="B32" s="3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</row>
    <row r="33" spans="1:18" x14ac:dyDescent="0.3">
      <c r="A33" s="3"/>
      <c r="B33" s="3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</row>
    <row r="34" spans="1:18" x14ac:dyDescent="0.3">
      <c r="A34" s="3"/>
      <c r="B34" s="3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ht="15.6" x14ac:dyDescent="0.3">
      <c r="A35" s="15"/>
      <c r="B35" s="3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</row>
    <row r="36" spans="1:18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</row>
    <row r="37" spans="1:18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</row>
    <row r="38" spans="1:18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</row>
    <row r="39" spans="1:18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</row>
    <row r="40" spans="1:18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</row>
    <row r="41" spans="1:18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</row>
    <row r="42" spans="1:18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</row>
    <row r="43" spans="1:18" x14ac:dyDescent="0.3"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</row>
  </sheetData>
  <mergeCells count="1">
    <mergeCell ref="C1:N1"/>
  </mergeCells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42DE5-0AA3-4E8A-9764-6EBF15087C4B}">
  <dimension ref="A1:R43"/>
  <sheetViews>
    <sheetView topLeftCell="A7" workbookViewId="0">
      <selection activeCell="T13" sqref="T13"/>
    </sheetView>
  </sheetViews>
  <sheetFormatPr defaultRowHeight="14.4" x14ac:dyDescent="0.3"/>
  <cols>
    <col min="1" max="1" width="32.44140625" customWidth="1"/>
    <col min="2" max="2" width="1.88671875" customWidth="1"/>
    <col min="4" max="4" width="16.77734375" bestFit="1" customWidth="1"/>
    <col min="5" max="5" width="3.77734375" customWidth="1"/>
    <col min="6" max="6" width="16.77734375" bestFit="1" customWidth="1"/>
    <col min="7" max="7" width="4.109375" customWidth="1"/>
    <col min="8" max="8" width="16.77734375" bestFit="1" customWidth="1"/>
    <col min="9" max="9" width="4.5546875" customWidth="1"/>
    <col min="10" max="10" width="19" customWidth="1"/>
    <col min="11" max="11" width="14" customWidth="1"/>
  </cols>
  <sheetData>
    <row r="1" spans="1:18" ht="14.4" customHeight="1" thickBot="1" x14ac:dyDescent="0.35">
      <c r="A1" s="7" t="s">
        <v>832</v>
      </c>
      <c r="B1" s="17"/>
      <c r="C1" s="38" t="s">
        <v>830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"/>
      <c r="P1" s="3"/>
      <c r="Q1" s="3"/>
      <c r="R1" s="3"/>
    </row>
    <row r="2" spans="1:18" ht="14.4" customHeight="1" thickTop="1" x14ac:dyDescent="0.3">
      <c r="A2" s="8">
        <f ca="1">TODAY()</f>
        <v>46314</v>
      </c>
      <c r="B2" s="17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3"/>
      <c r="P2" s="3"/>
      <c r="Q2" s="3"/>
      <c r="R2" s="3"/>
    </row>
    <row r="3" spans="1:18" x14ac:dyDescent="0.3">
      <c r="A3" s="3"/>
      <c r="B3" s="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 x14ac:dyDescent="0.3">
      <c r="A4" s="3"/>
      <c r="B4" s="3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spans="1:18" ht="16.2" thickBot="1" x14ac:dyDescent="0.35">
      <c r="A5" s="3"/>
      <c r="B5" s="3"/>
      <c r="C5" s="10"/>
      <c r="D5" s="6" t="s">
        <v>842</v>
      </c>
      <c r="E5" s="10"/>
      <c r="F5" s="6" t="s">
        <v>843</v>
      </c>
      <c r="G5" s="10"/>
      <c r="H5" s="6" t="s">
        <v>844</v>
      </c>
      <c r="I5" s="10"/>
      <c r="J5" s="21" t="s">
        <v>841</v>
      </c>
      <c r="K5" s="10"/>
      <c r="L5" s="10"/>
      <c r="M5" s="10"/>
      <c r="N5" s="10"/>
      <c r="O5" s="10"/>
      <c r="P5" s="10"/>
      <c r="Q5" s="10"/>
      <c r="R5" s="10"/>
    </row>
    <row r="6" spans="1:18" ht="16.2" thickTop="1" x14ac:dyDescent="0.3">
      <c r="A6" s="3"/>
      <c r="B6" s="3"/>
      <c r="C6" s="10"/>
      <c r="D6" s="14">
        <v>4225346</v>
      </c>
      <c r="E6" s="10"/>
      <c r="F6" s="14">
        <v>1229237.9699999986</v>
      </c>
      <c r="G6" s="10"/>
      <c r="H6" s="14">
        <v>2996108.0299999956</v>
      </c>
      <c r="I6" s="10"/>
      <c r="J6" s="20">
        <v>0.29092007376437307</v>
      </c>
      <c r="K6" s="10"/>
      <c r="L6" s="10"/>
      <c r="M6" s="10"/>
      <c r="N6" s="10"/>
      <c r="O6" s="10"/>
      <c r="P6" s="10"/>
      <c r="Q6" s="10"/>
      <c r="R6" s="10"/>
    </row>
    <row r="7" spans="1:18" x14ac:dyDescent="0.3">
      <c r="A7" s="3"/>
      <c r="B7" s="3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8" x14ac:dyDescent="0.3">
      <c r="A8" s="3"/>
      <c r="B8" s="3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1:18" x14ac:dyDescent="0.3">
      <c r="A9" s="3"/>
      <c r="B9" s="3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spans="1:18" x14ac:dyDescent="0.3">
      <c r="A10" s="3"/>
      <c r="B10" s="3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</row>
    <row r="11" spans="1:18" x14ac:dyDescent="0.3">
      <c r="A11" s="3"/>
      <c r="B11" s="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spans="1:18" x14ac:dyDescent="0.3">
      <c r="A12" s="3"/>
      <c r="B12" s="3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</row>
    <row r="13" spans="1:18" x14ac:dyDescent="0.3">
      <c r="A13" s="3"/>
      <c r="B13" s="3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spans="1:18" x14ac:dyDescent="0.3">
      <c r="A14" s="3"/>
      <c r="B14" s="3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 spans="1:18" x14ac:dyDescent="0.3">
      <c r="A15" s="3"/>
      <c r="B15" s="3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spans="1:18" x14ac:dyDescent="0.3">
      <c r="A16" s="3"/>
      <c r="B16" s="3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spans="1:18" x14ac:dyDescent="0.3">
      <c r="A17" s="3"/>
      <c r="B17" s="3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</row>
    <row r="18" spans="1:18" x14ac:dyDescent="0.3">
      <c r="A18" s="3"/>
      <c r="B18" s="3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spans="1:18" x14ac:dyDescent="0.3">
      <c r="A19" s="3"/>
      <c r="B19" s="3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</row>
    <row r="20" spans="1:18" x14ac:dyDescent="0.3">
      <c r="A20" s="3"/>
      <c r="B20" s="3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spans="1:18" x14ac:dyDescent="0.3">
      <c r="A21" s="3"/>
      <c r="B21" s="3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 spans="1:18" x14ac:dyDescent="0.3">
      <c r="A22" s="3"/>
      <c r="B22" s="3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18" x14ac:dyDescent="0.3">
      <c r="A23" s="3"/>
      <c r="B23" s="3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</row>
    <row r="24" spans="1:18" x14ac:dyDescent="0.3">
      <c r="A24" s="3"/>
      <c r="B24" s="3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5" spans="1:18" x14ac:dyDescent="0.3">
      <c r="A25" s="3"/>
      <c r="B25" s="3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 spans="1:18" x14ac:dyDescent="0.3">
      <c r="A26" s="3"/>
      <c r="B26" s="3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 spans="1:18" x14ac:dyDescent="0.3">
      <c r="A27" s="3"/>
      <c r="B27" s="3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</row>
    <row r="28" spans="1:18" x14ac:dyDescent="0.3">
      <c r="A28" s="3"/>
      <c r="B28" s="3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  <row r="29" spans="1:18" x14ac:dyDescent="0.3">
      <c r="A29" s="3"/>
      <c r="B29" s="3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</row>
    <row r="30" spans="1:18" x14ac:dyDescent="0.3">
      <c r="A30" s="3"/>
      <c r="B30" s="3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</row>
    <row r="31" spans="1:18" x14ac:dyDescent="0.3">
      <c r="A31" s="3"/>
      <c r="B31" s="3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</row>
    <row r="32" spans="1:18" x14ac:dyDescent="0.3">
      <c r="A32" s="3"/>
      <c r="B32" s="3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</row>
    <row r="33" spans="1:18" x14ac:dyDescent="0.3">
      <c r="A33" s="3"/>
      <c r="B33" s="3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</row>
    <row r="34" spans="1:18" x14ac:dyDescent="0.3">
      <c r="A34" s="3"/>
      <c r="B34" s="3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ht="15.6" x14ac:dyDescent="0.3">
      <c r="A35" s="15"/>
      <c r="B35" s="3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</row>
    <row r="36" spans="1:18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</row>
    <row r="37" spans="1:18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</row>
    <row r="38" spans="1:18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</row>
    <row r="39" spans="1:18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</row>
    <row r="40" spans="1:18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</row>
    <row r="41" spans="1:18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</row>
    <row r="42" spans="1:18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</row>
    <row r="43" spans="1:18" x14ac:dyDescent="0.3"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</row>
  </sheetData>
  <mergeCells count="1">
    <mergeCell ref="C1:N1"/>
  </mergeCells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DF382-4539-42A7-BF46-6CAF1B1F6F07}">
  <dimension ref="A1:T57"/>
  <sheetViews>
    <sheetView workbookViewId="0">
      <selection activeCell="R4" sqref="R4"/>
    </sheetView>
  </sheetViews>
  <sheetFormatPr defaultRowHeight="14.4" x14ac:dyDescent="0.3"/>
  <cols>
    <col min="1" max="1" width="27.44140625" customWidth="1"/>
    <col min="2" max="2" width="6.33203125" customWidth="1"/>
    <col min="4" max="4" width="16.77734375" bestFit="1" customWidth="1"/>
    <col min="5" max="5" width="3.77734375" customWidth="1"/>
    <col min="6" max="6" width="16.77734375" bestFit="1" customWidth="1"/>
    <col min="7" max="7" width="4.109375" customWidth="1"/>
    <col min="8" max="8" width="16.77734375" bestFit="1" customWidth="1"/>
    <col min="9" max="9" width="4.5546875" customWidth="1"/>
    <col min="10" max="10" width="19" customWidth="1"/>
    <col min="11" max="11" width="14" customWidth="1"/>
  </cols>
  <sheetData>
    <row r="1" spans="1:20" ht="14.4" customHeight="1" thickBot="1" x14ac:dyDescent="0.35">
      <c r="A1" s="7" t="s">
        <v>832</v>
      </c>
      <c r="B1" s="17"/>
      <c r="C1" s="38" t="s">
        <v>830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"/>
      <c r="P1" s="3"/>
      <c r="Q1" s="3"/>
      <c r="R1" s="43"/>
      <c r="S1" s="43"/>
      <c r="T1" s="43"/>
    </row>
    <row r="2" spans="1:20" ht="14.4" customHeight="1" thickTop="1" x14ac:dyDescent="0.3">
      <c r="A2" s="8">
        <f ca="1">TODAY()</f>
        <v>46314</v>
      </c>
      <c r="B2" s="17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3"/>
      <c r="P2" s="3"/>
      <c r="Q2" s="3"/>
      <c r="R2" s="43"/>
      <c r="S2" s="43"/>
      <c r="T2" s="44"/>
    </row>
    <row r="3" spans="1:20" x14ac:dyDescent="0.3">
      <c r="A3" s="3"/>
      <c r="B3" s="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20" x14ac:dyDescent="0.3">
      <c r="A4" s="3"/>
      <c r="B4" s="3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1:20" ht="16.2" thickBot="1" x14ac:dyDescent="0.35">
      <c r="A5" s="3"/>
      <c r="B5" s="3"/>
      <c r="C5" s="10"/>
      <c r="D5" s="6" t="s">
        <v>842</v>
      </c>
      <c r="E5" s="10"/>
      <c r="F5" s="6" t="s">
        <v>843</v>
      </c>
      <c r="G5" s="10"/>
      <c r="H5" s="6" t="s">
        <v>844</v>
      </c>
      <c r="I5" s="10"/>
      <c r="J5" s="21" t="s">
        <v>841</v>
      </c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0" ht="16.2" thickTop="1" x14ac:dyDescent="0.3">
      <c r="A6" s="3"/>
      <c r="B6" s="3"/>
      <c r="C6" s="10"/>
      <c r="D6" s="14">
        <v>4225346</v>
      </c>
      <c r="E6" s="10"/>
      <c r="F6" s="14">
        <v>1229237.9699999986</v>
      </c>
      <c r="G6" s="10"/>
      <c r="H6" s="14">
        <v>2996108.0299999956</v>
      </c>
      <c r="I6" s="10"/>
      <c r="J6" s="20">
        <v>0.29092007376437307</v>
      </c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1:20" x14ac:dyDescent="0.3">
      <c r="A7" s="3"/>
      <c r="B7" s="3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spans="1:20" x14ac:dyDescent="0.3">
      <c r="A8" s="3"/>
      <c r="B8" s="3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spans="1:20" x14ac:dyDescent="0.3">
      <c r="A9" s="3"/>
      <c r="B9" s="3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0" x14ac:dyDescent="0.3">
      <c r="A10" s="3"/>
      <c r="B10" s="3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1:20" x14ac:dyDescent="0.3">
      <c r="A11" s="3"/>
      <c r="B11" s="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0" x14ac:dyDescent="0.3">
      <c r="A12" s="3"/>
      <c r="B12" s="3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1:20" x14ac:dyDescent="0.3">
      <c r="A13" s="3"/>
      <c r="B13" s="3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x14ac:dyDescent="0.3">
      <c r="A14" s="3"/>
      <c r="B14" s="3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x14ac:dyDescent="0.3">
      <c r="A15" s="3"/>
      <c r="B15" s="3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x14ac:dyDescent="0.3">
      <c r="A16" s="3"/>
      <c r="B16" s="3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 x14ac:dyDescent="0.3">
      <c r="A17" s="3"/>
      <c r="B17" s="3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 x14ac:dyDescent="0.3">
      <c r="A18" s="3"/>
      <c r="B18" s="3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spans="1:20" x14ac:dyDescent="0.3">
      <c r="A19" s="3"/>
      <c r="B19" s="3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 x14ac:dyDescent="0.3">
      <c r="A20" s="3"/>
      <c r="B20" s="3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 x14ac:dyDescent="0.3">
      <c r="A21" s="3"/>
      <c r="B21" s="3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0" x14ac:dyDescent="0.3">
      <c r="A22" s="3"/>
      <c r="B22" s="3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spans="1:20" x14ac:dyDescent="0.3">
      <c r="A23" s="3"/>
      <c r="B23" s="3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1:20" x14ac:dyDescent="0.3">
      <c r="A24" s="3"/>
      <c r="B24" s="3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 x14ac:dyDescent="0.3">
      <c r="A25" s="3"/>
      <c r="B25" s="3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1:20" x14ac:dyDescent="0.3">
      <c r="A26" s="3"/>
      <c r="B26" s="3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0" x14ac:dyDescent="0.3">
      <c r="A27" s="3"/>
      <c r="B27" s="3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 spans="1:20" x14ac:dyDescent="0.3">
      <c r="A28" s="3"/>
      <c r="B28" s="3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spans="1:20" x14ac:dyDescent="0.3">
      <c r="A29" s="3"/>
      <c r="B29" s="3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spans="1:20" x14ac:dyDescent="0.3">
      <c r="A30" s="3"/>
      <c r="B30" s="3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20" x14ac:dyDescent="0.3">
      <c r="A31" s="3"/>
      <c r="B31" s="3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spans="1:20" x14ac:dyDescent="0.3">
      <c r="A32" s="3"/>
      <c r="B32" s="3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spans="1:20" x14ac:dyDescent="0.3">
      <c r="A33" s="3"/>
      <c r="B33" s="3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spans="1:20" x14ac:dyDescent="0.3">
      <c r="A34" s="3"/>
      <c r="B34" s="3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 spans="1:20" ht="15.6" x14ac:dyDescent="0.3">
      <c r="A35" s="15"/>
      <c r="B35" s="3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spans="1:20" ht="15.6" x14ac:dyDescent="0.3">
      <c r="A36" s="15"/>
      <c r="B36" s="3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 spans="1:20" ht="15.6" x14ac:dyDescent="0.3">
      <c r="A37" s="15"/>
      <c r="B37" s="3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spans="1:20" ht="15.6" x14ac:dyDescent="0.3">
      <c r="A38" s="15"/>
      <c r="B38" s="3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 spans="1:20" ht="15.6" x14ac:dyDescent="0.3">
      <c r="A39" s="15"/>
      <c r="B39" s="3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20" ht="15.6" x14ac:dyDescent="0.3">
      <c r="A40" s="15"/>
      <c r="B40" s="3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spans="1:20" ht="15.6" x14ac:dyDescent="0.3">
      <c r="A41" s="15"/>
      <c r="B41" s="3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spans="1:20" ht="15.6" x14ac:dyDescent="0.3">
      <c r="A42" s="15"/>
      <c r="B42" s="3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 spans="1:20" ht="15.6" x14ac:dyDescent="0.3">
      <c r="A43" s="15"/>
      <c r="B43" s="3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 spans="1:20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spans="1:20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 spans="1:20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spans="1:20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spans="1:20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 spans="1:20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 spans="1:20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spans="1:20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spans="1:20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spans="1:20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 spans="1:20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spans="1:20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spans="1:20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spans="1:20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</sheetData>
  <mergeCells count="1">
    <mergeCell ref="C1:N1"/>
  </mergeCells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436F2-4F04-41E8-A17E-8189A9BD2B9A}">
  <dimension ref="A1:I33"/>
  <sheetViews>
    <sheetView workbookViewId="0">
      <selection activeCell="B4" sqref="B4"/>
    </sheetView>
  </sheetViews>
  <sheetFormatPr defaultRowHeight="14.4" x14ac:dyDescent="0.3"/>
  <cols>
    <col min="1" max="1" width="21.33203125" customWidth="1"/>
    <col min="2" max="2" width="21.6640625" customWidth="1"/>
    <col min="4" max="4" width="14.5546875" customWidth="1"/>
    <col min="8" max="8" width="15.77734375" customWidth="1"/>
  </cols>
  <sheetData>
    <row r="1" spans="1:9" x14ac:dyDescent="0.3">
      <c r="A1" t="s">
        <v>9</v>
      </c>
      <c r="B1" t="s">
        <v>14</v>
      </c>
      <c r="C1" t="s">
        <v>870</v>
      </c>
      <c r="D1" t="s">
        <v>865</v>
      </c>
      <c r="H1" s="31" t="s">
        <v>869</v>
      </c>
      <c r="I1" s="31" t="s">
        <v>865</v>
      </c>
    </row>
    <row r="2" spans="1:9" x14ac:dyDescent="0.3">
      <c r="A2" s="26" t="s">
        <v>511</v>
      </c>
      <c r="B2" s="25">
        <v>1383022</v>
      </c>
      <c r="C2" s="27">
        <f>SUM($B$2:B2)/SUM($B$2:B33)</f>
        <v>0.32731568018335067</v>
      </c>
      <c r="D2" t="str">
        <f>VLOOKUP(C2,$H$2:$I$4,2,TRUE)</f>
        <v>A</v>
      </c>
      <c r="H2" s="28">
        <v>0</v>
      </c>
      <c r="I2" s="24" t="s">
        <v>868</v>
      </c>
    </row>
    <row r="3" spans="1:9" x14ac:dyDescent="0.3">
      <c r="A3" s="26" t="s">
        <v>709</v>
      </c>
      <c r="B3" s="25">
        <v>433125</v>
      </c>
      <c r="C3" s="27">
        <f>SUM($B$2:B3)/SUM($B$2:B34)</f>
        <v>0.42982207847594017</v>
      </c>
      <c r="D3" t="str">
        <f t="shared" ref="D3:D33" si="0">VLOOKUP(C3,$H$2:$I$4,2,TRUE)</f>
        <v>A</v>
      </c>
      <c r="H3" s="28">
        <v>0.8</v>
      </c>
      <c r="I3" s="24" t="s">
        <v>867</v>
      </c>
    </row>
    <row r="4" spans="1:9" x14ac:dyDescent="0.3">
      <c r="A4" s="26" t="s">
        <v>202</v>
      </c>
      <c r="B4" s="25">
        <v>299094</v>
      </c>
      <c r="C4" s="27">
        <f>SUM($B$2:B4)/SUM($B$2:B35)</f>
        <v>0.50060776087922743</v>
      </c>
      <c r="D4" t="str">
        <f t="shared" si="0"/>
        <v>A</v>
      </c>
      <c r="H4" s="28">
        <v>0.95</v>
      </c>
      <c r="I4" s="24" t="s">
        <v>866</v>
      </c>
    </row>
    <row r="5" spans="1:9" x14ac:dyDescent="0.3">
      <c r="A5" s="26" t="s">
        <v>87</v>
      </c>
      <c r="B5" s="25">
        <v>290959</v>
      </c>
      <c r="C5" s="27">
        <f>SUM($B$2:B5)/SUM($B$2:B36)</f>
        <v>0.56946815716393406</v>
      </c>
      <c r="D5" t="str">
        <f t="shared" si="0"/>
        <v>A</v>
      </c>
    </row>
    <row r="6" spans="1:9" x14ac:dyDescent="0.3">
      <c r="A6" s="26" t="s">
        <v>558</v>
      </c>
      <c r="B6" s="25">
        <v>275421</v>
      </c>
      <c r="C6" s="27">
        <f>SUM($B$2:B6)/SUM($B$2:B37)</f>
        <v>0.6346512214621004</v>
      </c>
      <c r="D6" t="str">
        <f t="shared" si="0"/>
        <v>A</v>
      </c>
    </row>
    <row r="7" spans="1:9" x14ac:dyDescent="0.3">
      <c r="A7" s="26" t="s">
        <v>24</v>
      </c>
      <c r="B7" s="25">
        <v>220081</v>
      </c>
      <c r="C7" s="27">
        <f>SUM($B$2:B7)/SUM($B$2:B38)</f>
        <v>0.68673713347971976</v>
      </c>
      <c r="D7" t="str">
        <f t="shared" si="0"/>
        <v>A</v>
      </c>
    </row>
    <row r="8" spans="1:9" x14ac:dyDescent="0.3">
      <c r="A8" s="26" t="s">
        <v>772</v>
      </c>
      <c r="B8" s="25">
        <v>173537</v>
      </c>
      <c r="C8" s="27">
        <f>SUM($B$2:B8)/SUM($B$2:B39)</f>
        <v>0.72780761622835144</v>
      </c>
      <c r="D8" t="str">
        <f t="shared" si="0"/>
        <v>A</v>
      </c>
    </row>
    <row r="9" spans="1:9" x14ac:dyDescent="0.3">
      <c r="A9" s="26" t="s">
        <v>333</v>
      </c>
      <c r="B9" s="25">
        <v>143338</v>
      </c>
      <c r="C9" s="27">
        <f>SUM($B$2:B9)/SUM($B$2:B40)</f>
        <v>0.76173099197083505</v>
      </c>
      <c r="D9" t="str">
        <f t="shared" si="0"/>
        <v>A</v>
      </c>
    </row>
    <row r="10" spans="1:9" x14ac:dyDescent="0.3">
      <c r="A10" s="26" t="s">
        <v>791</v>
      </c>
      <c r="B10" s="25">
        <v>119216</v>
      </c>
      <c r="C10" s="27">
        <f>SUM($B$2:B10)/SUM($B$2:B41)</f>
        <v>0.78994548612113658</v>
      </c>
      <c r="D10" t="str">
        <f t="shared" si="0"/>
        <v>A</v>
      </c>
    </row>
    <row r="11" spans="1:9" x14ac:dyDescent="0.3">
      <c r="A11" s="26" t="s">
        <v>154</v>
      </c>
      <c r="B11" s="25">
        <v>109564</v>
      </c>
      <c r="C11" s="27">
        <f>SUM($B$2:B11)/SUM($B$2:B42)</f>
        <v>0.81587567030013641</v>
      </c>
      <c r="D11" t="str">
        <f t="shared" si="0"/>
        <v>B</v>
      </c>
    </row>
    <row r="12" spans="1:9" x14ac:dyDescent="0.3">
      <c r="A12" s="26" t="s">
        <v>675</v>
      </c>
      <c r="B12" s="25">
        <v>85313</v>
      </c>
      <c r="C12" s="27">
        <f>SUM($B$2:B12)/SUM($B$2:B43)</f>
        <v>0.83606644284278731</v>
      </c>
      <c r="D12" t="str">
        <f t="shared" si="0"/>
        <v>B</v>
      </c>
    </row>
    <row r="13" spans="1:9" x14ac:dyDescent="0.3">
      <c r="A13" s="26" t="s">
        <v>688</v>
      </c>
      <c r="B13" s="25">
        <v>73303</v>
      </c>
      <c r="C13" s="27">
        <f>SUM($B$2:B13)/SUM($B$2:B44)</f>
        <v>0.8534148446068085</v>
      </c>
      <c r="D13" t="str">
        <f t="shared" si="0"/>
        <v>B</v>
      </c>
    </row>
    <row r="14" spans="1:9" x14ac:dyDescent="0.3">
      <c r="A14" s="26" t="s">
        <v>367</v>
      </c>
      <c r="B14" s="25">
        <v>71244</v>
      </c>
      <c r="C14" s="27">
        <f>SUM($B$2:B14)/SUM($B$2:B45)</f>
        <v>0.87027594899920624</v>
      </c>
      <c r="D14" t="str">
        <f t="shared" si="0"/>
        <v>B</v>
      </c>
    </row>
    <row r="15" spans="1:9" x14ac:dyDescent="0.3">
      <c r="A15" s="26" t="s">
        <v>229</v>
      </c>
      <c r="B15" s="25">
        <v>66621</v>
      </c>
      <c r="C15" s="27">
        <f>SUM($B$2:B15)/SUM($B$2:B46)</f>
        <v>0.88604294180878918</v>
      </c>
      <c r="D15" t="str">
        <f t="shared" si="0"/>
        <v>B</v>
      </c>
    </row>
    <row r="16" spans="1:9" x14ac:dyDescent="0.3">
      <c r="A16" s="26" t="s">
        <v>120</v>
      </c>
      <c r="B16" s="25">
        <v>64103</v>
      </c>
      <c r="C16" s="27">
        <f>SUM($B$2:B16)/SUM($B$2:B47)</f>
        <v>0.90121400708959687</v>
      </c>
      <c r="D16" t="str">
        <f t="shared" si="0"/>
        <v>B</v>
      </c>
    </row>
    <row r="17" spans="1:4" x14ac:dyDescent="0.3">
      <c r="A17" s="26" t="s">
        <v>586</v>
      </c>
      <c r="B17" s="25">
        <v>50917</v>
      </c>
      <c r="C17" s="27">
        <f>SUM($B$2:B17)/SUM($B$2:B48)</f>
        <v>0.91326438118913811</v>
      </c>
      <c r="D17" t="str">
        <f t="shared" si="0"/>
        <v>B</v>
      </c>
    </row>
    <row r="18" spans="1:4" x14ac:dyDescent="0.3">
      <c r="A18" s="26" t="s">
        <v>483</v>
      </c>
      <c r="B18" s="25">
        <v>50840</v>
      </c>
      <c r="C18" s="27">
        <f>SUM($B$2:B18)/SUM($B$2:B49)</f>
        <v>0.92529653192898287</v>
      </c>
      <c r="D18" t="str">
        <f t="shared" si="0"/>
        <v>B</v>
      </c>
    </row>
    <row r="19" spans="1:4" x14ac:dyDescent="0.3">
      <c r="A19" s="26" t="s">
        <v>310</v>
      </c>
      <c r="B19" s="25">
        <v>50194</v>
      </c>
      <c r="C19" s="27">
        <f>SUM($B$2:B19)/SUM($B$2:B50)</f>
        <v>0.93717579578098453</v>
      </c>
      <c r="D19" t="str">
        <f t="shared" si="0"/>
        <v>B</v>
      </c>
    </row>
    <row r="20" spans="1:4" x14ac:dyDescent="0.3">
      <c r="A20" s="26" t="s">
        <v>738</v>
      </c>
      <c r="B20" s="25">
        <v>45821</v>
      </c>
      <c r="C20" s="27">
        <f>SUM($B$2:B20)/SUM($B$2:B51)</f>
        <v>0.94802011480243276</v>
      </c>
      <c r="D20" t="str">
        <f t="shared" si="0"/>
        <v>B</v>
      </c>
    </row>
    <row r="21" spans="1:4" x14ac:dyDescent="0.3">
      <c r="A21" s="26" t="s">
        <v>424</v>
      </c>
      <c r="B21" s="25">
        <v>43358</v>
      </c>
      <c r="C21" s="27">
        <f>SUM($B$2:B21)/SUM($B$2:B52)</f>
        <v>0.95828152298060321</v>
      </c>
      <c r="D21" t="str">
        <f t="shared" si="0"/>
        <v>C</v>
      </c>
    </row>
    <row r="22" spans="1:4" x14ac:dyDescent="0.3">
      <c r="A22" s="26" t="s">
        <v>271</v>
      </c>
      <c r="B22" s="25">
        <v>38138</v>
      </c>
      <c r="C22" s="27">
        <f>SUM($B$2:B22)/SUM($B$2:B53)</f>
        <v>0.96730752937155917</v>
      </c>
      <c r="D22" t="str">
        <f t="shared" si="0"/>
        <v>C</v>
      </c>
    </row>
    <row r="23" spans="1:4" x14ac:dyDescent="0.3">
      <c r="A23" s="26" t="s">
        <v>537</v>
      </c>
      <c r="B23" s="25">
        <v>36527</v>
      </c>
      <c r="C23" s="27">
        <f>SUM($B$2:B23)/SUM($B$2:B54)</f>
        <v>0.97595226521094369</v>
      </c>
      <c r="D23" t="str">
        <f t="shared" si="0"/>
        <v>C</v>
      </c>
    </row>
    <row r="24" spans="1:4" x14ac:dyDescent="0.3">
      <c r="A24" s="26" t="s">
        <v>72</v>
      </c>
      <c r="B24" s="25">
        <v>30272</v>
      </c>
      <c r="C24" s="27">
        <f>SUM($B$2:B24)/SUM($B$2:B55)</f>
        <v>0.98311664890875206</v>
      </c>
      <c r="D24" t="str">
        <f t="shared" si="0"/>
        <v>C</v>
      </c>
    </row>
    <row r="25" spans="1:4" x14ac:dyDescent="0.3">
      <c r="A25" s="26" t="s">
        <v>632</v>
      </c>
      <c r="B25" s="25">
        <v>19173</v>
      </c>
      <c r="C25" s="27">
        <f>SUM($B$2:B25)/SUM($B$2:B56)</f>
        <v>0.9876542654731707</v>
      </c>
      <c r="D25" t="str">
        <f t="shared" si="0"/>
        <v>C</v>
      </c>
    </row>
    <row r="26" spans="1:4" x14ac:dyDescent="0.3">
      <c r="A26" s="26" t="s">
        <v>815</v>
      </c>
      <c r="B26" s="25">
        <v>16478</v>
      </c>
      <c r="C26" s="27">
        <f>SUM($B$2:B26)/SUM($B$2:B57)</f>
        <v>0.99155406444821326</v>
      </c>
      <c r="D26" t="str">
        <f t="shared" si="0"/>
        <v>C</v>
      </c>
    </row>
    <row r="27" spans="1:4" x14ac:dyDescent="0.3">
      <c r="A27" s="26" t="s">
        <v>663</v>
      </c>
      <c r="B27" s="25">
        <v>11908</v>
      </c>
      <c r="C27" s="27">
        <f>SUM($B$2:B27)/SUM($B$2:B58)</f>
        <v>0.99437229519192039</v>
      </c>
      <c r="D27" t="str">
        <f t="shared" si="0"/>
        <v>C</v>
      </c>
    </row>
    <row r="28" spans="1:4" x14ac:dyDescent="0.3">
      <c r="A28" s="26" t="s">
        <v>604</v>
      </c>
      <c r="B28" s="25">
        <v>7675</v>
      </c>
      <c r="C28" s="27">
        <f>SUM($B$2:B28)/SUM($B$2:B59)</f>
        <v>0.99618871448634028</v>
      </c>
      <c r="D28" t="str">
        <f t="shared" si="0"/>
        <v>C</v>
      </c>
    </row>
    <row r="29" spans="1:4" x14ac:dyDescent="0.3">
      <c r="A29" s="26" t="s">
        <v>189</v>
      </c>
      <c r="B29" s="25">
        <v>4875</v>
      </c>
      <c r="C29" s="27">
        <f>SUM($B$2:B29)/SUM($B$2:B60)</f>
        <v>0.99734246615543443</v>
      </c>
      <c r="D29" t="str">
        <f t="shared" si="0"/>
        <v>C</v>
      </c>
    </row>
    <row r="30" spans="1:4" x14ac:dyDescent="0.3">
      <c r="A30" s="26" t="s">
        <v>469</v>
      </c>
      <c r="B30" s="25">
        <v>4443</v>
      </c>
      <c r="C30" s="27">
        <f>SUM($B$2:B30)/SUM($B$2:B61)</f>
        <v>0.99839397767662108</v>
      </c>
      <c r="D30" t="str">
        <f t="shared" si="0"/>
        <v>C</v>
      </c>
    </row>
    <row r="31" spans="1:4" x14ac:dyDescent="0.3">
      <c r="A31" s="26" t="s">
        <v>405</v>
      </c>
      <c r="B31" s="25">
        <v>3385</v>
      </c>
      <c r="C31" s="27">
        <f>SUM($B$2:B31)/SUM($B$2:B62)</f>
        <v>0.99919509550223817</v>
      </c>
      <c r="D31" t="str">
        <f t="shared" si="0"/>
        <v>C</v>
      </c>
    </row>
    <row r="32" spans="1:4" x14ac:dyDescent="0.3">
      <c r="A32" s="26" t="s">
        <v>248</v>
      </c>
      <c r="B32" s="25">
        <v>1852</v>
      </c>
      <c r="C32" s="27">
        <f>SUM($B$2:B32)/SUM($B$2:B63)</f>
        <v>0.9996334028029894</v>
      </c>
      <c r="D32" t="str">
        <f t="shared" si="0"/>
        <v>C</v>
      </c>
    </row>
    <row r="33" spans="1:4" x14ac:dyDescent="0.3">
      <c r="A33" s="26" t="s">
        <v>447</v>
      </c>
      <c r="B33" s="25">
        <v>1549</v>
      </c>
      <c r="C33" s="27">
        <f>SUM($B$2:B33)/SUM($B$2:B64)</f>
        <v>1</v>
      </c>
      <c r="D33" t="str">
        <f t="shared" si="0"/>
        <v>C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D1A30-FC97-4BED-8D5A-33634E9BB40A}">
  <dimension ref="A1:J33"/>
  <sheetViews>
    <sheetView workbookViewId="0">
      <selection activeCell="B4" sqref="B4"/>
    </sheetView>
  </sheetViews>
  <sheetFormatPr defaultRowHeight="14.4" x14ac:dyDescent="0.3"/>
  <cols>
    <col min="1" max="1" width="26.5546875" customWidth="1"/>
    <col min="2" max="2" width="23.33203125" customWidth="1"/>
    <col min="4" max="4" width="13.5546875" bestFit="1" customWidth="1"/>
    <col min="8" max="8" width="6.109375" customWidth="1"/>
  </cols>
  <sheetData>
    <row r="1" spans="1:10" x14ac:dyDescent="0.3">
      <c r="A1" s="33" t="s">
        <v>9</v>
      </c>
      <c r="B1" s="34" t="s">
        <v>16</v>
      </c>
      <c r="C1" s="34" t="s">
        <v>870</v>
      </c>
      <c r="D1" s="35" t="s">
        <v>865</v>
      </c>
      <c r="I1" s="32" t="s">
        <v>871</v>
      </c>
      <c r="J1" s="32" t="s">
        <v>865</v>
      </c>
    </row>
    <row r="2" spans="1:10" x14ac:dyDescent="0.3">
      <c r="A2" s="26" t="s">
        <v>511</v>
      </c>
      <c r="B2" s="30">
        <v>338961.91</v>
      </c>
      <c r="C2" s="27">
        <f>SUM($B$2:B2)/SUM($B$2:$B$33)</f>
        <v>0.2757496255993459</v>
      </c>
      <c r="D2" t="str">
        <f>VLOOKUP(C2,$I$2:$J$4,2,TRUE)</f>
        <v>A</v>
      </c>
      <c r="I2" s="28">
        <v>0</v>
      </c>
      <c r="J2" s="24" t="s">
        <v>868</v>
      </c>
    </row>
    <row r="3" spans="1:10" x14ac:dyDescent="0.3">
      <c r="A3" s="26" t="s">
        <v>709</v>
      </c>
      <c r="B3" s="30">
        <v>135942.22000000003</v>
      </c>
      <c r="C3" s="27">
        <f>SUM($B$2:B3)/SUM($B$2:$B$33)</f>
        <v>0.38634027063124321</v>
      </c>
      <c r="D3" t="str">
        <f t="shared" ref="D3:D33" si="0">VLOOKUP(C3,$I$2:$J$4,2,TRUE)</f>
        <v>A</v>
      </c>
      <c r="I3" s="28">
        <v>0.8</v>
      </c>
      <c r="J3" s="24" t="s">
        <v>867</v>
      </c>
    </row>
    <row r="4" spans="1:10" x14ac:dyDescent="0.3">
      <c r="A4" s="26" t="s">
        <v>202</v>
      </c>
      <c r="B4" s="30">
        <v>94047.12999999999</v>
      </c>
      <c r="C4" s="27">
        <f>SUM($B$2:B4)/SUM($B$2:$B$33)</f>
        <v>0.46284875173519091</v>
      </c>
      <c r="D4" t="str">
        <f t="shared" si="0"/>
        <v>A</v>
      </c>
      <c r="I4" s="28">
        <v>0.95</v>
      </c>
      <c r="J4" s="24" t="s">
        <v>866</v>
      </c>
    </row>
    <row r="5" spans="1:10" x14ac:dyDescent="0.3">
      <c r="A5" s="26" t="s">
        <v>87</v>
      </c>
      <c r="B5" s="30">
        <v>93692.069999999978</v>
      </c>
      <c r="C5" s="27">
        <f>SUM($B$2:B5)/SUM($B$2:$B$33)</f>
        <v>0.53906838722204453</v>
      </c>
      <c r="D5" t="str">
        <f t="shared" si="0"/>
        <v>A</v>
      </c>
    </row>
    <row r="6" spans="1:10" x14ac:dyDescent="0.3">
      <c r="A6" s="26" t="s">
        <v>24</v>
      </c>
      <c r="B6" s="30">
        <v>72549.329999999987</v>
      </c>
      <c r="C6" s="27">
        <f>SUM($B$2:B6)/SUM($B$2:$B$33)</f>
        <v>0.59808814724458925</v>
      </c>
      <c r="D6" t="str">
        <f t="shared" si="0"/>
        <v>A</v>
      </c>
    </row>
    <row r="7" spans="1:10" x14ac:dyDescent="0.3">
      <c r="A7" s="26" t="s">
        <v>558</v>
      </c>
      <c r="B7" s="30">
        <v>69444.34</v>
      </c>
      <c r="C7" s="27">
        <f>SUM($B$2:B7)/SUM($B$2:$B$33)</f>
        <v>0.65458196023671467</v>
      </c>
      <c r="D7" t="str">
        <f t="shared" si="0"/>
        <v>A</v>
      </c>
    </row>
    <row r="8" spans="1:10" x14ac:dyDescent="0.3">
      <c r="A8" s="26" t="s">
        <v>772</v>
      </c>
      <c r="B8" s="30">
        <v>59490.469999999994</v>
      </c>
      <c r="C8" s="27">
        <f>SUM($B$2:B8)/SUM($B$2:$B$33)</f>
        <v>0.70297817923733663</v>
      </c>
      <c r="D8" t="str">
        <f t="shared" si="0"/>
        <v>A</v>
      </c>
    </row>
    <row r="9" spans="1:10" x14ac:dyDescent="0.3">
      <c r="A9" s="26" t="s">
        <v>791</v>
      </c>
      <c r="B9" s="30">
        <v>48276.200000000004</v>
      </c>
      <c r="C9" s="27">
        <f>SUM($B$2:B9)/SUM($B$2:$B$33)</f>
        <v>0.7422514535570357</v>
      </c>
      <c r="D9" t="str">
        <f t="shared" si="0"/>
        <v>A</v>
      </c>
    </row>
    <row r="10" spans="1:10" x14ac:dyDescent="0.3">
      <c r="A10" s="26" t="s">
        <v>154</v>
      </c>
      <c r="B10" s="30">
        <v>41631.060000000005</v>
      </c>
      <c r="C10" s="27">
        <f>SUM($B$2:B10)/SUM($B$2:$B$33)</f>
        <v>0.77611882587714065</v>
      </c>
      <c r="D10" t="str">
        <f t="shared" si="0"/>
        <v>A</v>
      </c>
    </row>
    <row r="11" spans="1:10" x14ac:dyDescent="0.3">
      <c r="A11" s="26" t="s">
        <v>333</v>
      </c>
      <c r="B11" s="30">
        <v>35598.590000000004</v>
      </c>
      <c r="C11" s="27">
        <f>SUM($B$2:B11)/SUM($B$2:$B$33)</f>
        <v>0.8050787106747116</v>
      </c>
      <c r="D11" t="str">
        <f t="shared" si="0"/>
        <v>B</v>
      </c>
    </row>
    <row r="12" spans="1:10" x14ac:dyDescent="0.3">
      <c r="A12" s="26" t="s">
        <v>688</v>
      </c>
      <c r="B12" s="30">
        <v>28983.08</v>
      </c>
      <c r="C12" s="27">
        <f>SUM($B$2:B12)/SUM($B$2:$B$33)</f>
        <v>0.82865679783711843</v>
      </c>
      <c r="D12" t="str">
        <f t="shared" si="0"/>
        <v>B</v>
      </c>
    </row>
    <row r="13" spans="1:10" x14ac:dyDescent="0.3">
      <c r="A13" s="26" t="s">
        <v>675</v>
      </c>
      <c r="B13" s="30">
        <v>23937.09</v>
      </c>
      <c r="C13" s="27">
        <f>SUM($B$2:B13)/SUM($B$2:$B$33)</f>
        <v>0.84812991092359424</v>
      </c>
      <c r="D13" t="str">
        <f t="shared" si="0"/>
        <v>B</v>
      </c>
    </row>
    <row r="14" spans="1:10" x14ac:dyDescent="0.3">
      <c r="A14" s="26" t="s">
        <v>120</v>
      </c>
      <c r="B14" s="30">
        <v>19538.489999999998</v>
      </c>
      <c r="C14" s="27">
        <f>SUM($B$2:B14)/SUM($B$2:$B$33)</f>
        <v>0.86402470955237398</v>
      </c>
      <c r="D14" t="str">
        <f t="shared" si="0"/>
        <v>B</v>
      </c>
    </row>
    <row r="15" spans="1:10" x14ac:dyDescent="0.3">
      <c r="A15" s="26" t="s">
        <v>367</v>
      </c>
      <c r="B15" s="30">
        <v>18207.289999999994</v>
      </c>
      <c r="C15" s="27">
        <f>SUM($B$2:B15)/SUM($B$2:$B$33)</f>
        <v>0.87883656083288719</v>
      </c>
      <c r="D15" t="str">
        <f t="shared" si="0"/>
        <v>B</v>
      </c>
    </row>
    <row r="16" spans="1:10" x14ac:dyDescent="0.3">
      <c r="A16" s="26" t="s">
        <v>310</v>
      </c>
      <c r="B16" s="30">
        <v>16903.36</v>
      </c>
      <c r="C16" s="27">
        <f>SUM($B$2:B16)/SUM($B$2:$B$33)</f>
        <v>0.89258764924093581</v>
      </c>
      <c r="D16" t="str">
        <f t="shared" si="0"/>
        <v>B</v>
      </c>
    </row>
    <row r="17" spans="1:4" x14ac:dyDescent="0.3">
      <c r="A17" s="26" t="s">
        <v>424</v>
      </c>
      <c r="B17" s="30">
        <v>16211.33</v>
      </c>
      <c r="C17" s="27">
        <f>SUM($B$2:B17)/SUM($B$2:$B$33)</f>
        <v>0.905775762849239</v>
      </c>
      <c r="D17" t="str">
        <f t="shared" si="0"/>
        <v>B</v>
      </c>
    </row>
    <row r="18" spans="1:4" x14ac:dyDescent="0.3">
      <c r="A18" s="26" t="s">
        <v>483</v>
      </c>
      <c r="B18" s="30">
        <v>15818.1</v>
      </c>
      <c r="C18" s="27">
        <f>SUM($B$2:B18)/SUM($B$2:$B$33)</f>
        <v>0.91864397908242301</v>
      </c>
      <c r="D18" t="str">
        <f t="shared" si="0"/>
        <v>B</v>
      </c>
    </row>
    <row r="19" spans="1:4" x14ac:dyDescent="0.3">
      <c r="A19" s="26" t="s">
        <v>586</v>
      </c>
      <c r="B19" s="30">
        <v>15735.97</v>
      </c>
      <c r="C19" s="27">
        <f>SUM($B$2:B19)/SUM($B$2:$B$33)</f>
        <v>0.93144538156431989</v>
      </c>
      <c r="D19" t="str">
        <f t="shared" si="0"/>
        <v>B</v>
      </c>
    </row>
    <row r="20" spans="1:4" x14ac:dyDescent="0.3">
      <c r="A20" s="26" t="s">
        <v>229</v>
      </c>
      <c r="B20" s="30">
        <v>15383.409999999998</v>
      </c>
      <c r="C20" s="27">
        <f>SUM($B$2:B20)/SUM($B$2:$B$33)</f>
        <v>0.94395997220944938</v>
      </c>
      <c r="D20" t="str">
        <f t="shared" si="0"/>
        <v>B</v>
      </c>
    </row>
    <row r="21" spans="1:4" x14ac:dyDescent="0.3">
      <c r="A21" s="26" t="s">
        <v>738</v>
      </c>
      <c r="B21" s="30">
        <v>14026.05</v>
      </c>
      <c r="C21" s="27">
        <f>SUM($B$2:B21)/SUM($B$2:$B$33)</f>
        <v>0.95537033402897575</v>
      </c>
      <c r="D21" t="str">
        <f t="shared" si="0"/>
        <v>C</v>
      </c>
    </row>
    <row r="22" spans="1:4" x14ac:dyDescent="0.3">
      <c r="A22" s="26" t="s">
        <v>271</v>
      </c>
      <c r="B22" s="30">
        <v>13266.949999999999</v>
      </c>
      <c r="C22" s="27">
        <f>SUM($B$2:B22)/SUM($B$2:$B$33)</f>
        <v>0.9661631587901568</v>
      </c>
      <c r="D22" t="str">
        <f t="shared" si="0"/>
        <v>C</v>
      </c>
    </row>
    <row r="23" spans="1:4" x14ac:dyDescent="0.3">
      <c r="A23" s="26" t="s">
        <v>72</v>
      </c>
      <c r="B23" s="30">
        <v>8413.239999999998</v>
      </c>
      <c r="C23" s="27">
        <f>SUM($B$2:B23)/SUM($B$2:$B$33)</f>
        <v>0.97300743158788039</v>
      </c>
      <c r="D23" t="str">
        <f t="shared" si="0"/>
        <v>C</v>
      </c>
    </row>
    <row r="24" spans="1:4" x14ac:dyDescent="0.3">
      <c r="A24" s="26" t="s">
        <v>537</v>
      </c>
      <c r="B24" s="30">
        <v>7882.5199999999986</v>
      </c>
      <c r="C24" s="27">
        <f>SUM($B$2:B24)/SUM($B$2:$B$33)</f>
        <v>0.9794199572276473</v>
      </c>
      <c r="D24" t="str">
        <f t="shared" si="0"/>
        <v>C</v>
      </c>
    </row>
    <row r="25" spans="1:4" x14ac:dyDescent="0.3">
      <c r="A25" s="26" t="s">
        <v>632</v>
      </c>
      <c r="B25" s="30">
        <v>6604.68</v>
      </c>
      <c r="C25" s="27">
        <f>SUM($B$2:B25)/SUM($B$2:$B$33)</f>
        <v>0.98479294452643695</v>
      </c>
      <c r="D25" t="str">
        <f t="shared" si="0"/>
        <v>C</v>
      </c>
    </row>
    <row r="26" spans="1:4" x14ac:dyDescent="0.3">
      <c r="A26" s="26" t="s">
        <v>815</v>
      </c>
      <c r="B26" s="30">
        <v>5716.7100000000009</v>
      </c>
      <c r="C26" s="27">
        <f>SUM($B$2:B26)/SUM($B$2:$B$33)</f>
        <v>0.98944355745860979</v>
      </c>
      <c r="D26" t="str">
        <f t="shared" si="0"/>
        <v>C</v>
      </c>
    </row>
    <row r="27" spans="1:4" x14ac:dyDescent="0.3">
      <c r="A27" s="26" t="s">
        <v>663</v>
      </c>
      <c r="B27" s="30">
        <v>4760.8499999999995</v>
      </c>
      <c r="C27" s="27">
        <f>SUM($B$2:B27)/SUM($B$2:$B$33)</f>
        <v>0.99331656668561907</v>
      </c>
      <c r="D27" t="str">
        <f t="shared" si="0"/>
        <v>C</v>
      </c>
    </row>
    <row r="28" spans="1:4" x14ac:dyDescent="0.3">
      <c r="A28" s="26" t="s">
        <v>604</v>
      </c>
      <c r="B28" s="30">
        <v>2532.9899999999998</v>
      </c>
      <c r="C28" s="27">
        <f>SUM($B$2:B28)/SUM($B$2:$B$33)</f>
        <v>0.99537718477732995</v>
      </c>
      <c r="D28" t="str">
        <f t="shared" si="0"/>
        <v>C</v>
      </c>
    </row>
    <row r="29" spans="1:4" x14ac:dyDescent="0.3">
      <c r="A29" s="26" t="s">
        <v>189</v>
      </c>
      <c r="B29" s="30">
        <v>1890.7900000000002</v>
      </c>
      <c r="C29" s="27">
        <f>SUM($B$2:B29)/SUM($B$2:$B$33)</f>
        <v>0.99691536537876391</v>
      </c>
      <c r="D29" t="str">
        <f t="shared" si="0"/>
        <v>C</v>
      </c>
    </row>
    <row r="30" spans="1:4" x14ac:dyDescent="0.3">
      <c r="A30" s="26" t="s">
        <v>469</v>
      </c>
      <c r="B30" s="30">
        <v>1613.64</v>
      </c>
      <c r="C30" s="27">
        <f>SUM($B$2:B30)/SUM($B$2:$B$33)</f>
        <v>0.99822808109319949</v>
      </c>
      <c r="D30" t="str">
        <f t="shared" si="0"/>
        <v>C</v>
      </c>
    </row>
    <row r="31" spans="1:4" x14ac:dyDescent="0.3">
      <c r="A31" s="26" t="s">
        <v>405</v>
      </c>
      <c r="B31" s="30">
        <v>1134.3</v>
      </c>
      <c r="C31" s="27">
        <f>SUM($B$2:B31)/SUM($B$2:$B$33)</f>
        <v>0.99915084790294917</v>
      </c>
      <c r="D31" t="str">
        <f t="shared" si="0"/>
        <v>C</v>
      </c>
    </row>
    <row r="32" spans="1:4" x14ac:dyDescent="0.3">
      <c r="A32" s="26" t="s">
        <v>447</v>
      </c>
      <c r="B32" s="30">
        <v>777.72000000000014</v>
      </c>
      <c r="C32" s="27">
        <f>SUM($B$2:B32)/SUM($B$2:$B$33)</f>
        <v>0.99978353255716623</v>
      </c>
      <c r="D32" t="str">
        <f t="shared" si="0"/>
        <v>C</v>
      </c>
    </row>
    <row r="33" spans="1:4" x14ac:dyDescent="0.3">
      <c r="A33" s="26" t="s">
        <v>248</v>
      </c>
      <c r="B33" s="30">
        <v>266.08999999999997</v>
      </c>
      <c r="C33" s="27">
        <f>SUM($B$2:B33)/SUM($B$2:$B$33)</f>
        <v>1</v>
      </c>
      <c r="D33" t="str">
        <f t="shared" si="0"/>
        <v>C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DCECF-5AED-4B5F-9DCB-82B21A69FE0D}">
  <dimension ref="A1:S503"/>
  <sheetViews>
    <sheetView workbookViewId="0">
      <selection activeCell="D10" sqref="D10"/>
    </sheetView>
  </sheetViews>
  <sheetFormatPr defaultRowHeight="14.4" x14ac:dyDescent="0.3"/>
  <cols>
    <col min="1" max="1" width="18" customWidth="1"/>
    <col min="2" max="2" width="19.33203125" customWidth="1"/>
    <col min="3" max="3" width="23" customWidth="1"/>
    <col min="5" max="6" width="14.77734375" customWidth="1"/>
    <col min="7" max="7" width="17.33203125" customWidth="1"/>
    <col min="8" max="8" width="18" customWidth="1"/>
    <col min="9" max="9" width="27.6640625" customWidth="1"/>
    <col min="11" max="11" width="12.6640625" customWidth="1"/>
    <col min="12" max="12" width="12.44140625" customWidth="1"/>
    <col min="13" max="13" width="11.88671875" customWidth="1"/>
    <col min="14" max="14" width="22.21875" customWidth="1"/>
    <col min="15" max="15" width="14.33203125" customWidth="1"/>
    <col min="16" max="16" width="12.109375" customWidth="1"/>
    <col min="19" max="19" width="10.109375" bestFit="1" customWidth="1"/>
  </cols>
  <sheetData>
    <row r="1" spans="1:19" x14ac:dyDescent="0.3">
      <c r="A1" s="1" t="s">
        <v>1</v>
      </c>
    </row>
    <row r="3" spans="1:19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862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831</v>
      </c>
      <c r="R3" t="s">
        <v>17</v>
      </c>
      <c r="S3" t="s">
        <v>846</v>
      </c>
    </row>
    <row r="4" spans="1:19" x14ac:dyDescent="0.3">
      <c r="A4" s="2">
        <v>45960</v>
      </c>
      <c r="B4" t="s">
        <v>526</v>
      </c>
      <c r="C4" t="s">
        <v>96</v>
      </c>
      <c r="D4" t="s">
        <v>49</v>
      </c>
      <c r="E4" t="s">
        <v>68</v>
      </c>
      <c r="F4" t="s">
        <v>863</v>
      </c>
      <c r="G4" t="s">
        <v>43</v>
      </c>
      <c r="H4" t="s">
        <v>71</v>
      </c>
      <c r="I4" s="29" t="s">
        <v>511</v>
      </c>
      <c r="J4" t="s">
        <v>33</v>
      </c>
      <c r="K4">
        <v>13</v>
      </c>
      <c r="L4">
        <v>21145</v>
      </c>
      <c r="M4">
        <v>0</v>
      </c>
      <c r="N4" s="25">
        <v>274885</v>
      </c>
      <c r="O4">
        <v>224812.07</v>
      </c>
      <c r="P4">
        <v>50072.929999999993</v>
      </c>
      <c r="Q4" s="19">
        <f>Tabuľka4[[#This Row],[Zisk]]/Tabuľka4[[#This Row],[Trzba]]</f>
        <v>0.18215955763319203</v>
      </c>
      <c r="R4">
        <v>2025</v>
      </c>
      <c r="S4" t="str">
        <f>TEXT(Tabuľka4[[#This Row],[Datum]],"MMMM")</f>
        <v>október</v>
      </c>
    </row>
    <row r="5" spans="1:19" x14ac:dyDescent="0.3">
      <c r="A5" s="2">
        <v>45382</v>
      </c>
      <c r="B5" t="s">
        <v>512</v>
      </c>
      <c r="C5" t="s">
        <v>235</v>
      </c>
      <c r="D5" t="s">
        <v>49</v>
      </c>
      <c r="E5" t="s">
        <v>68</v>
      </c>
      <c r="F5" t="s">
        <v>863</v>
      </c>
      <c r="G5" t="s">
        <v>58</v>
      </c>
      <c r="H5" t="s">
        <v>71</v>
      </c>
      <c r="I5" s="29" t="s">
        <v>511</v>
      </c>
      <c r="J5" t="s">
        <v>38</v>
      </c>
      <c r="K5">
        <v>10</v>
      </c>
      <c r="L5">
        <v>21466</v>
      </c>
      <c r="M5">
        <v>0.11</v>
      </c>
      <c r="N5" s="25">
        <v>214660</v>
      </c>
      <c r="O5">
        <v>156407.17000000001</v>
      </c>
      <c r="P5">
        <v>58252.829999999987</v>
      </c>
      <c r="Q5" s="19">
        <f>Tabuľka4[[#This Row],[Zisk]]/Tabuľka4[[#This Row],[Trzba]]</f>
        <v>0.27137254262554733</v>
      </c>
      <c r="R5">
        <v>2024</v>
      </c>
      <c r="S5" t="str">
        <f>TEXT(Tabuľka4[[#This Row],[Datum]],"MMMM")</f>
        <v>marec</v>
      </c>
    </row>
    <row r="6" spans="1:19" x14ac:dyDescent="0.3">
      <c r="A6" s="2">
        <v>46099</v>
      </c>
      <c r="B6" t="s">
        <v>534</v>
      </c>
      <c r="C6" t="s">
        <v>124</v>
      </c>
      <c r="D6" t="s">
        <v>49</v>
      </c>
      <c r="E6" t="s">
        <v>21</v>
      </c>
      <c r="F6" t="s">
        <v>863</v>
      </c>
      <c r="G6" t="s">
        <v>58</v>
      </c>
      <c r="H6" t="s">
        <v>71</v>
      </c>
      <c r="I6" s="29" t="s">
        <v>511</v>
      </c>
      <c r="J6" t="s">
        <v>63</v>
      </c>
      <c r="K6">
        <v>6</v>
      </c>
      <c r="L6">
        <v>18017</v>
      </c>
      <c r="M6">
        <v>0.04</v>
      </c>
      <c r="N6" s="25">
        <v>108102</v>
      </c>
      <c r="O6">
        <v>94651.07</v>
      </c>
      <c r="P6">
        <v>13450.929999999993</v>
      </c>
      <c r="Q6" s="19">
        <f>Tabuľka4[[#This Row],[Zisk]]/Tabuľka4[[#This Row],[Trzba]]</f>
        <v>0.12442813268949689</v>
      </c>
      <c r="R6">
        <v>2026</v>
      </c>
      <c r="S6" t="str">
        <f>TEXT(Tabuľka4[[#This Row],[Datum]],"MMMM")</f>
        <v>marec</v>
      </c>
    </row>
    <row r="7" spans="1:19" x14ac:dyDescent="0.3">
      <c r="A7" s="2">
        <v>45533</v>
      </c>
      <c r="B7" t="s">
        <v>519</v>
      </c>
      <c r="C7" t="s">
        <v>185</v>
      </c>
      <c r="D7" t="s">
        <v>49</v>
      </c>
      <c r="E7" t="s">
        <v>68</v>
      </c>
      <c r="F7" t="s">
        <v>863</v>
      </c>
      <c r="G7" t="s">
        <v>58</v>
      </c>
      <c r="H7" t="s">
        <v>71</v>
      </c>
      <c r="I7" s="29" t="s">
        <v>511</v>
      </c>
      <c r="J7" t="s">
        <v>30</v>
      </c>
      <c r="K7">
        <v>5</v>
      </c>
      <c r="L7">
        <v>18861</v>
      </c>
      <c r="M7">
        <v>0.03</v>
      </c>
      <c r="N7" s="25">
        <v>94305</v>
      </c>
      <c r="O7">
        <v>74521.55</v>
      </c>
      <c r="P7">
        <v>19783.449999999997</v>
      </c>
      <c r="Q7" s="19">
        <f>Tabuľka4[[#This Row],[Zisk]]/Tabuľka4[[#This Row],[Trzba]]</f>
        <v>0.20978155983245847</v>
      </c>
      <c r="R7">
        <v>2024</v>
      </c>
      <c r="S7" t="str">
        <f>TEXT(Tabuľka4[[#This Row],[Datum]],"MMMM")</f>
        <v>august</v>
      </c>
    </row>
    <row r="8" spans="1:19" x14ac:dyDescent="0.3">
      <c r="A8" s="2">
        <v>45852</v>
      </c>
      <c r="B8" t="s">
        <v>524</v>
      </c>
      <c r="C8" t="s">
        <v>525</v>
      </c>
      <c r="D8" t="s">
        <v>20</v>
      </c>
      <c r="E8" t="s">
        <v>21</v>
      </c>
      <c r="F8" t="s">
        <v>863</v>
      </c>
      <c r="G8" t="s">
        <v>22</v>
      </c>
      <c r="H8" t="s">
        <v>71</v>
      </c>
      <c r="I8" s="29" t="s">
        <v>511</v>
      </c>
      <c r="J8" t="s">
        <v>46</v>
      </c>
      <c r="K8">
        <v>4</v>
      </c>
      <c r="L8">
        <v>22519</v>
      </c>
      <c r="M8">
        <v>0.08</v>
      </c>
      <c r="N8" s="25">
        <v>90076</v>
      </c>
      <c r="O8">
        <v>70600.31</v>
      </c>
      <c r="P8">
        <v>19475.690000000002</v>
      </c>
      <c r="Q8" s="19">
        <f>Tabuľka4[[#This Row],[Zisk]]/Tabuľka4[[#This Row],[Trzba]]</f>
        <v>0.21621397486566901</v>
      </c>
      <c r="R8">
        <v>2025</v>
      </c>
      <c r="S8" t="str">
        <f>TEXT(Tabuľka4[[#This Row],[Datum]],"MMMM")</f>
        <v>júl</v>
      </c>
    </row>
    <row r="9" spans="1:19" x14ac:dyDescent="0.3">
      <c r="A9" s="2">
        <v>45528</v>
      </c>
      <c r="B9" t="s">
        <v>517</v>
      </c>
      <c r="C9" t="s">
        <v>518</v>
      </c>
      <c r="D9" t="s">
        <v>20</v>
      </c>
      <c r="E9" t="s">
        <v>21</v>
      </c>
      <c r="F9" t="s">
        <v>863</v>
      </c>
      <c r="G9" t="s">
        <v>43</v>
      </c>
      <c r="H9" t="s">
        <v>71</v>
      </c>
      <c r="I9" s="29" t="s">
        <v>511</v>
      </c>
      <c r="J9" t="s">
        <v>30</v>
      </c>
      <c r="K9">
        <v>4</v>
      </c>
      <c r="L9">
        <v>20583</v>
      </c>
      <c r="M9">
        <v>0.13</v>
      </c>
      <c r="N9" s="25">
        <v>82332</v>
      </c>
      <c r="O9">
        <v>59734.31</v>
      </c>
      <c r="P9">
        <v>22597.690000000002</v>
      </c>
      <c r="Q9" s="19">
        <f>Tabuľka4[[#This Row],[Zisk]]/Tabuľka4[[#This Row],[Trzba]]</f>
        <v>0.27447031530874999</v>
      </c>
      <c r="R9">
        <v>2024</v>
      </c>
      <c r="S9" t="str">
        <f>TEXT(Tabuľka4[[#This Row],[Datum]],"MMMM")</f>
        <v>august</v>
      </c>
    </row>
    <row r="10" spans="1:19" x14ac:dyDescent="0.3">
      <c r="A10" s="2">
        <v>46064</v>
      </c>
      <c r="B10" t="s">
        <v>533</v>
      </c>
      <c r="C10" t="s">
        <v>266</v>
      </c>
      <c r="D10" t="s">
        <v>20</v>
      </c>
      <c r="E10" t="s">
        <v>0</v>
      </c>
      <c r="F10" t="s">
        <v>863</v>
      </c>
      <c r="G10" t="s">
        <v>22</v>
      </c>
      <c r="H10" t="s">
        <v>71</v>
      </c>
      <c r="I10" s="29" t="s">
        <v>511</v>
      </c>
      <c r="J10" t="s">
        <v>63</v>
      </c>
      <c r="K10">
        <v>3</v>
      </c>
      <c r="L10">
        <v>24798</v>
      </c>
      <c r="M10">
        <v>0.17</v>
      </c>
      <c r="N10" s="25">
        <v>74394</v>
      </c>
      <c r="O10">
        <v>47857.27</v>
      </c>
      <c r="P10">
        <v>26536.730000000003</v>
      </c>
      <c r="Q10" s="19">
        <f>Tabuľka4[[#This Row],[Zisk]]/Tabuľka4[[#This Row],[Trzba]]</f>
        <v>0.35670524504664358</v>
      </c>
      <c r="R10">
        <v>2026</v>
      </c>
      <c r="S10" t="str">
        <f>TEXT(Tabuľka4[[#This Row],[Datum]],"MMMM")</f>
        <v>február</v>
      </c>
    </row>
    <row r="11" spans="1:19" x14ac:dyDescent="0.3">
      <c r="A11" s="2">
        <v>46001</v>
      </c>
      <c r="B11" t="s">
        <v>528</v>
      </c>
      <c r="C11" t="s">
        <v>187</v>
      </c>
      <c r="D11" t="s">
        <v>20</v>
      </c>
      <c r="E11" t="s">
        <v>0</v>
      </c>
      <c r="F11" t="s">
        <v>863</v>
      </c>
      <c r="G11" t="s">
        <v>43</v>
      </c>
      <c r="H11" t="s">
        <v>71</v>
      </c>
      <c r="I11" s="29" t="s">
        <v>511</v>
      </c>
      <c r="J11" t="s">
        <v>30</v>
      </c>
      <c r="K11">
        <v>3</v>
      </c>
      <c r="L11">
        <v>23697</v>
      </c>
      <c r="M11">
        <v>7.0000000000000007E-2</v>
      </c>
      <c r="N11" s="25">
        <v>71091</v>
      </c>
      <c r="O11">
        <v>52858.67</v>
      </c>
      <c r="P11">
        <v>18232.330000000002</v>
      </c>
      <c r="Q11" s="19">
        <f>Tabuľka4[[#This Row],[Zisk]]/Tabuľka4[[#This Row],[Trzba]]</f>
        <v>0.25646467204006135</v>
      </c>
      <c r="R11">
        <v>2025</v>
      </c>
      <c r="S11" t="str">
        <f>TEXT(Tabuľka4[[#This Row],[Datum]],"MMMM")</f>
        <v>december</v>
      </c>
    </row>
    <row r="12" spans="1:19" x14ac:dyDescent="0.3">
      <c r="A12" s="2">
        <v>45488</v>
      </c>
      <c r="B12" t="s">
        <v>715</v>
      </c>
      <c r="C12" t="s">
        <v>74</v>
      </c>
      <c r="D12" t="s">
        <v>49</v>
      </c>
      <c r="E12" t="s">
        <v>68</v>
      </c>
      <c r="F12" t="s">
        <v>863</v>
      </c>
      <c r="G12" t="s">
        <v>58</v>
      </c>
      <c r="H12" t="s">
        <v>86</v>
      </c>
      <c r="I12" s="29" t="s">
        <v>709</v>
      </c>
      <c r="J12" t="s">
        <v>38</v>
      </c>
      <c r="K12">
        <v>11</v>
      </c>
      <c r="L12">
        <v>6031</v>
      </c>
      <c r="M12">
        <v>7.0000000000000007E-2</v>
      </c>
      <c r="N12" s="25">
        <v>66341</v>
      </c>
      <c r="O12">
        <v>49583.16</v>
      </c>
      <c r="P12">
        <v>16757.839999999997</v>
      </c>
      <c r="Q12" s="19">
        <f>Tabuľka4[[#This Row],[Zisk]]/Tabuľka4[[#This Row],[Trzba]]</f>
        <v>0.25260155861382849</v>
      </c>
      <c r="R12">
        <v>2024</v>
      </c>
      <c r="S12" t="str">
        <f>TEXT(Tabuľka4[[#This Row],[Datum]],"MMMM")</f>
        <v>júl</v>
      </c>
    </row>
    <row r="13" spans="1:19" x14ac:dyDescent="0.3">
      <c r="A13" s="2">
        <v>45402</v>
      </c>
      <c r="B13" t="s">
        <v>513</v>
      </c>
      <c r="C13" t="s">
        <v>514</v>
      </c>
      <c r="D13" t="s">
        <v>20</v>
      </c>
      <c r="E13" t="s">
        <v>68</v>
      </c>
      <c r="F13" t="s">
        <v>863</v>
      </c>
      <c r="G13" t="s">
        <v>22</v>
      </c>
      <c r="H13" t="s">
        <v>71</v>
      </c>
      <c r="I13" s="29" t="s">
        <v>511</v>
      </c>
      <c r="J13" t="s">
        <v>30</v>
      </c>
      <c r="K13">
        <v>3</v>
      </c>
      <c r="L13">
        <v>21767</v>
      </c>
      <c r="M13">
        <v>0.09</v>
      </c>
      <c r="N13" s="25">
        <v>65301</v>
      </c>
      <c r="O13">
        <v>44715.24</v>
      </c>
      <c r="P13">
        <v>20585.760000000002</v>
      </c>
      <c r="Q13" s="19">
        <f>Tabuľka4[[#This Row],[Zisk]]/Tabuľka4[[#This Row],[Trzba]]</f>
        <v>0.31524417696513074</v>
      </c>
      <c r="R13">
        <v>2024</v>
      </c>
      <c r="S13" t="str">
        <f>TEXT(Tabuľka4[[#This Row],[Datum]],"MMMM")</f>
        <v>apríl</v>
      </c>
    </row>
    <row r="14" spans="1:19" x14ac:dyDescent="0.3">
      <c r="A14" s="2">
        <v>45764</v>
      </c>
      <c r="B14" t="s">
        <v>220</v>
      </c>
      <c r="C14" t="s">
        <v>185</v>
      </c>
      <c r="D14" t="s">
        <v>49</v>
      </c>
      <c r="E14" t="s">
        <v>21</v>
      </c>
      <c r="F14" t="s">
        <v>863</v>
      </c>
      <c r="G14" t="s">
        <v>58</v>
      </c>
      <c r="H14" t="s">
        <v>23</v>
      </c>
      <c r="I14" s="29" t="s">
        <v>202</v>
      </c>
      <c r="J14" t="s">
        <v>38</v>
      </c>
      <c r="K14">
        <v>7</v>
      </c>
      <c r="L14">
        <v>9017</v>
      </c>
      <c r="M14">
        <v>0</v>
      </c>
      <c r="N14" s="25">
        <v>63119</v>
      </c>
      <c r="O14">
        <v>44515.8</v>
      </c>
      <c r="P14">
        <v>18603.199999999997</v>
      </c>
      <c r="Q14" s="19">
        <f>Tabuľka4[[#This Row],[Zisk]]/Tabuľka4[[#This Row],[Trzba]]</f>
        <v>0.29473217256293666</v>
      </c>
      <c r="R14">
        <v>2025</v>
      </c>
      <c r="S14" t="str">
        <f>TEXT(Tabuľka4[[#This Row],[Datum]],"MMMM")</f>
        <v>apríl</v>
      </c>
    </row>
    <row r="15" spans="1:19" x14ac:dyDescent="0.3">
      <c r="A15" s="2">
        <v>45559</v>
      </c>
      <c r="B15" t="s">
        <v>520</v>
      </c>
      <c r="C15" t="s">
        <v>521</v>
      </c>
      <c r="D15" t="s">
        <v>20</v>
      </c>
      <c r="E15" t="s">
        <v>21</v>
      </c>
      <c r="F15" t="s">
        <v>863</v>
      </c>
      <c r="G15" t="s">
        <v>22</v>
      </c>
      <c r="H15" t="s">
        <v>71</v>
      </c>
      <c r="I15" s="29" t="s">
        <v>511</v>
      </c>
      <c r="J15" t="s">
        <v>63</v>
      </c>
      <c r="K15">
        <v>3</v>
      </c>
      <c r="L15">
        <v>20270</v>
      </c>
      <c r="M15">
        <v>0.01</v>
      </c>
      <c r="N15" s="25">
        <v>60810</v>
      </c>
      <c r="O15">
        <v>48445.61</v>
      </c>
      <c r="P15">
        <v>12364.39</v>
      </c>
      <c r="Q15" s="19">
        <f>Tabuľka4[[#This Row],[Zisk]]/Tabuľka4[[#This Row],[Trzba]]</f>
        <v>0.20332823548758427</v>
      </c>
      <c r="R15">
        <v>2024</v>
      </c>
      <c r="S15" t="str">
        <f>TEXT(Tabuľka4[[#This Row],[Datum]],"MMMM")</f>
        <v>september</v>
      </c>
    </row>
    <row r="16" spans="1:19" x14ac:dyDescent="0.3">
      <c r="A16" s="2">
        <v>45572</v>
      </c>
      <c r="B16" t="s">
        <v>719</v>
      </c>
      <c r="C16" t="s">
        <v>48</v>
      </c>
      <c r="D16" t="s">
        <v>49</v>
      </c>
      <c r="E16" t="s">
        <v>21</v>
      </c>
      <c r="F16" t="s">
        <v>863</v>
      </c>
      <c r="G16" t="s">
        <v>43</v>
      </c>
      <c r="H16" t="s">
        <v>86</v>
      </c>
      <c r="I16" s="29" t="s">
        <v>709</v>
      </c>
      <c r="J16" t="s">
        <v>63</v>
      </c>
      <c r="K16">
        <v>9</v>
      </c>
      <c r="L16">
        <v>6373</v>
      </c>
      <c r="M16">
        <v>7.0000000000000007E-2</v>
      </c>
      <c r="N16" s="25">
        <v>57357</v>
      </c>
      <c r="O16">
        <v>38599.9</v>
      </c>
      <c r="P16">
        <v>18757.099999999999</v>
      </c>
      <c r="Q16" s="19">
        <f>Tabuľka4[[#This Row],[Zisk]]/Tabuľka4[[#This Row],[Trzba]]</f>
        <v>0.32702372857715706</v>
      </c>
      <c r="R16">
        <v>2024</v>
      </c>
      <c r="S16" t="str">
        <f>TEXT(Tabuľka4[[#This Row],[Datum]],"MMMM")</f>
        <v>október</v>
      </c>
    </row>
    <row r="17" spans="1:19" x14ac:dyDescent="0.3">
      <c r="A17" s="2">
        <v>45317</v>
      </c>
      <c r="B17" t="s">
        <v>509</v>
      </c>
      <c r="C17" t="s">
        <v>510</v>
      </c>
      <c r="D17" t="s">
        <v>20</v>
      </c>
      <c r="E17" t="s">
        <v>0</v>
      </c>
      <c r="F17" t="s">
        <v>863</v>
      </c>
      <c r="G17" t="s">
        <v>22</v>
      </c>
      <c r="H17" t="s">
        <v>71</v>
      </c>
      <c r="I17" s="29" t="s">
        <v>511</v>
      </c>
      <c r="J17" t="s">
        <v>88</v>
      </c>
      <c r="K17">
        <v>3</v>
      </c>
      <c r="L17">
        <v>17877</v>
      </c>
      <c r="M17">
        <v>0.09</v>
      </c>
      <c r="N17" s="25">
        <v>53631</v>
      </c>
      <c r="O17">
        <v>43309.94</v>
      </c>
      <c r="P17">
        <v>10321.059999999998</v>
      </c>
      <c r="Q17" s="19">
        <f>Tabuľka4[[#This Row],[Zisk]]/Tabuľka4[[#This Row],[Trzba]]</f>
        <v>0.19244578695157646</v>
      </c>
      <c r="R17">
        <v>2024</v>
      </c>
      <c r="S17" t="str">
        <f>TEXT(Tabuľka4[[#This Row],[Datum]],"MMMM")</f>
        <v>január</v>
      </c>
    </row>
    <row r="18" spans="1:19" x14ac:dyDescent="0.3">
      <c r="A18" s="2">
        <v>45971</v>
      </c>
      <c r="B18" t="s">
        <v>527</v>
      </c>
      <c r="C18" t="s">
        <v>212</v>
      </c>
      <c r="D18" t="s">
        <v>20</v>
      </c>
      <c r="E18" t="s">
        <v>21</v>
      </c>
      <c r="F18" t="s">
        <v>863</v>
      </c>
      <c r="G18" t="s">
        <v>43</v>
      </c>
      <c r="H18" t="s">
        <v>71</v>
      </c>
      <c r="I18" s="29" t="s">
        <v>511</v>
      </c>
      <c r="J18" t="s">
        <v>38</v>
      </c>
      <c r="K18">
        <v>2</v>
      </c>
      <c r="L18">
        <v>25465</v>
      </c>
      <c r="M18">
        <v>0.14000000000000001</v>
      </c>
      <c r="N18" s="25">
        <v>50930</v>
      </c>
      <c r="O18">
        <v>29331.53</v>
      </c>
      <c r="P18">
        <v>21598.47</v>
      </c>
      <c r="Q18" s="19">
        <f>Tabuľka4[[#This Row],[Zisk]]/Tabuľka4[[#This Row],[Trzba]]</f>
        <v>0.42408148439033971</v>
      </c>
      <c r="R18">
        <v>2025</v>
      </c>
      <c r="S18" t="str">
        <f>TEXT(Tabuľka4[[#This Row],[Datum]],"MMMM")</f>
        <v>november</v>
      </c>
    </row>
    <row r="19" spans="1:19" x14ac:dyDescent="0.3">
      <c r="A19" s="2">
        <v>46051</v>
      </c>
      <c r="B19" t="s">
        <v>109</v>
      </c>
      <c r="C19" t="s">
        <v>74</v>
      </c>
      <c r="D19" t="s">
        <v>49</v>
      </c>
      <c r="E19" t="s">
        <v>0</v>
      </c>
      <c r="F19" t="s">
        <v>863</v>
      </c>
      <c r="G19" t="s">
        <v>58</v>
      </c>
      <c r="H19" t="s">
        <v>86</v>
      </c>
      <c r="I19" s="29" t="s">
        <v>87</v>
      </c>
      <c r="J19" t="s">
        <v>38</v>
      </c>
      <c r="K19">
        <v>9</v>
      </c>
      <c r="L19">
        <v>5388</v>
      </c>
      <c r="M19">
        <v>0.12</v>
      </c>
      <c r="N19" s="25">
        <v>48492</v>
      </c>
      <c r="O19">
        <v>32528.26</v>
      </c>
      <c r="P19">
        <v>15963.740000000002</v>
      </c>
      <c r="Q19" s="19">
        <f>Tabuľka4[[#This Row],[Zisk]]/Tabuľka4[[#This Row],[Trzba]]</f>
        <v>0.32920357997195415</v>
      </c>
      <c r="R19">
        <v>2026</v>
      </c>
      <c r="S19" t="str">
        <f>TEXT(Tabuľka4[[#This Row],[Datum]],"MMMM")</f>
        <v>január</v>
      </c>
    </row>
    <row r="20" spans="1:19" x14ac:dyDescent="0.3">
      <c r="A20" s="2">
        <v>45963</v>
      </c>
      <c r="B20" t="s">
        <v>56</v>
      </c>
      <c r="C20" t="s">
        <v>57</v>
      </c>
      <c r="D20" t="s">
        <v>49</v>
      </c>
      <c r="E20" t="s">
        <v>0</v>
      </c>
      <c r="F20" t="s">
        <v>863</v>
      </c>
      <c r="G20" t="s">
        <v>58</v>
      </c>
      <c r="H20" t="s">
        <v>23</v>
      </c>
      <c r="I20" s="29" t="s">
        <v>24</v>
      </c>
      <c r="J20" t="s">
        <v>33</v>
      </c>
      <c r="K20">
        <v>10</v>
      </c>
      <c r="L20">
        <v>4766</v>
      </c>
      <c r="M20">
        <v>0.2</v>
      </c>
      <c r="N20" s="25">
        <v>47660</v>
      </c>
      <c r="O20">
        <v>31529.97</v>
      </c>
      <c r="P20">
        <v>16130.029999999999</v>
      </c>
      <c r="Q20" s="19">
        <f>Tabuľka4[[#This Row],[Zisk]]/Tabuľka4[[#This Row],[Trzba]]</f>
        <v>0.33843957196810742</v>
      </c>
      <c r="R20">
        <v>2025</v>
      </c>
      <c r="S20" t="str">
        <f>TEXT(Tabuľka4[[#This Row],[Datum]],"MMMM")</f>
        <v>november</v>
      </c>
    </row>
    <row r="21" spans="1:19" x14ac:dyDescent="0.3">
      <c r="A21" s="2">
        <v>45657</v>
      </c>
      <c r="B21" t="s">
        <v>95</v>
      </c>
      <c r="C21" t="s">
        <v>96</v>
      </c>
      <c r="D21" t="s">
        <v>49</v>
      </c>
      <c r="E21" t="s">
        <v>0</v>
      </c>
      <c r="F21" t="s">
        <v>863</v>
      </c>
      <c r="G21" t="s">
        <v>43</v>
      </c>
      <c r="H21" t="s">
        <v>86</v>
      </c>
      <c r="I21" s="29" t="s">
        <v>87</v>
      </c>
      <c r="J21" t="s">
        <v>30</v>
      </c>
      <c r="K21">
        <v>7</v>
      </c>
      <c r="L21">
        <v>6783</v>
      </c>
      <c r="M21">
        <v>0.11</v>
      </c>
      <c r="N21" s="25">
        <v>47481</v>
      </c>
      <c r="O21">
        <v>30036.36</v>
      </c>
      <c r="P21">
        <v>17444.64</v>
      </c>
      <c r="Q21" s="19">
        <f>Tabuľka4[[#This Row],[Zisk]]/Tabuľka4[[#This Row],[Trzba]]</f>
        <v>0.36740253996335376</v>
      </c>
      <c r="R21">
        <v>2024</v>
      </c>
      <c r="S21" t="str">
        <f>TEXT(Tabuľka4[[#This Row],[Datum]],"MMMM")</f>
        <v>december</v>
      </c>
    </row>
    <row r="22" spans="1:19" x14ac:dyDescent="0.3">
      <c r="A22" s="2">
        <v>46053</v>
      </c>
      <c r="B22" t="s">
        <v>531</v>
      </c>
      <c r="C22" t="s">
        <v>532</v>
      </c>
      <c r="D22" t="s">
        <v>20</v>
      </c>
      <c r="E22" t="s">
        <v>21</v>
      </c>
      <c r="F22" t="s">
        <v>863</v>
      </c>
      <c r="G22" t="s">
        <v>22</v>
      </c>
      <c r="H22" t="s">
        <v>71</v>
      </c>
      <c r="I22" s="29" t="s">
        <v>511</v>
      </c>
      <c r="J22" t="s">
        <v>33</v>
      </c>
      <c r="K22">
        <v>2</v>
      </c>
      <c r="L22">
        <v>20916</v>
      </c>
      <c r="M22">
        <v>0.24</v>
      </c>
      <c r="N22" s="25">
        <v>41832</v>
      </c>
      <c r="O22">
        <v>24780.93</v>
      </c>
      <c r="P22">
        <v>17051.07</v>
      </c>
      <c r="Q22" s="19">
        <f>Tabuľka4[[#This Row],[Zisk]]/Tabuľka4[[#This Row],[Trzba]]</f>
        <v>0.40760829030407342</v>
      </c>
      <c r="R22">
        <v>2026</v>
      </c>
      <c r="S22" t="str">
        <f>TEXT(Tabuľka4[[#This Row],[Datum]],"MMMM")</f>
        <v>január</v>
      </c>
    </row>
    <row r="23" spans="1:19" x14ac:dyDescent="0.3">
      <c r="A23" s="2">
        <v>45556</v>
      </c>
      <c r="B23" t="s">
        <v>718</v>
      </c>
      <c r="C23" t="s">
        <v>124</v>
      </c>
      <c r="D23" t="s">
        <v>49</v>
      </c>
      <c r="E23" t="s">
        <v>21</v>
      </c>
      <c r="F23" t="s">
        <v>863</v>
      </c>
      <c r="G23" t="s">
        <v>22</v>
      </c>
      <c r="H23" t="s">
        <v>86</v>
      </c>
      <c r="I23" s="29" t="s">
        <v>709</v>
      </c>
      <c r="J23" t="s">
        <v>51</v>
      </c>
      <c r="K23">
        <v>9</v>
      </c>
      <c r="L23">
        <v>4376</v>
      </c>
      <c r="M23">
        <v>0</v>
      </c>
      <c r="N23" s="25">
        <v>39384</v>
      </c>
      <c r="O23">
        <v>30586.02</v>
      </c>
      <c r="P23">
        <v>8797.98</v>
      </c>
      <c r="Q23" s="19">
        <f>Tabuľka4[[#This Row],[Zisk]]/Tabuľka4[[#This Row],[Trzba]]</f>
        <v>0.2233897014015844</v>
      </c>
      <c r="R23">
        <v>2024</v>
      </c>
      <c r="S23" t="str">
        <f>TEXT(Tabuľka4[[#This Row],[Datum]],"MMMM")</f>
        <v>september</v>
      </c>
    </row>
    <row r="24" spans="1:19" x14ac:dyDescent="0.3">
      <c r="A24" s="2">
        <v>46025</v>
      </c>
      <c r="B24" t="s">
        <v>733</v>
      </c>
      <c r="C24" t="s">
        <v>593</v>
      </c>
      <c r="D24" t="s">
        <v>20</v>
      </c>
      <c r="E24" t="s">
        <v>21</v>
      </c>
      <c r="F24" t="s">
        <v>863</v>
      </c>
      <c r="G24" t="s">
        <v>22</v>
      </c>
      <c r="H24" t="s">
        <v>86</v>
      </c>
      <c r="I24" s="29" t="s">
        <v>709</v>
      </c>
      <c r="J24" t="s">
        <v>46</v>
      </c>
      <c r="K24">
        <v>5</v>
      </c>
      <c r="L24">
        <v>7640</v>
      </c>
      <c r="M24">
        <v>0</v>
      </c>
      <c r="N24" s="25">
        <v>38200</v>
      </c>
      <c r="O24">
        <v>27559.93</v>
      </c>
      <c r="P24">
        <v>10640.07</v>
      </c>
      <c r="Q24" s="19">
        <f>Tabuľka4[[#This Row],[Zisk]]/Tabuľka4[[#This Row],[Trzba]]</f>
        <v>0.27853586387434554</v>
      </c>
      <c r="R24">
        <v>2026</v>
      </c>
      <c r="S24" t="str">
        <f>TEXT(Tabuľka4[[#This Row],[Datum]],"MMMM")</f>
        <v>január</v>
      </c>
    </row>
    <row r="25" spans="1:19" x14ac:dyDescent="0.3">
      <c r="A25" s="2">
        <v>45833</v>
      </c>
      <c r="B25" t="s">
        <v>101</v>
      </c>
      <c r="C25" t="s">
        <v>102</v>
      </c>
      <c r="D25" t="s">
        <v>20</v>
      </c>
      <c r="E25" t="s">
        <v>68</v>
      </c>
      <c r="F25" t="s">
        <v>863</v>
      </c>
      <c r="G25" t="s">
        <v>43</v>
      </c>
      <c r="H25" t="s">
        <v>86</v>
      </c>
      <c r="I25" s="29" t="s">
        <v>87</v>
      </c>
      <c r="J25" t="s">
        <v>30</v>
      </c>
      <c r="K25">
        <v>5</v>
      </c>
      <c r="L25">
        <v>7587</v>
      </c>
      <c r="M25">
        <v>0.08</v>
      </c>
      <c r="N25" s="25">
        <v>37935</v>
      </c>
      <c r="O25">
        <v>25000.61</v>
      </c>
      <c r="P25">
        <v>12934.39</v>
      </c>
      <c r="Q25" s="19">
        <f>Tabuľka4[[#This Row],[Zisk]]/Tabuľka4[[#This Row],[Trzba]]</f>
        <v>0.34096190852774483</v>
      </c>
      <c r="R25">
        <v>2025</v>
      </c>
      <c r="S25" t="str">
        <f>TEXT(Tabuľka4[[#This Row],[Datum]],"MMMM")</f>
        <v>jún</v>
      </c>
    </row>
    <row r="26" spans="1:19" x14ac:dyDescent="0.3">
      <c r="A26" s="2">
        <v>45620</v>
      </c>
      <c r="B26" t="s">
        <v>522</v>
      </c>
      <c r="C26" t="s">
        <v>523</v>
      </c>
      <c r="D26" t="s">
        <v>20</v>
      </c>
      <c r="E26" t="s">
        <v>68</v>
      </c>
      <c r="F26" t="s">
        <v>863</v>
      </c>
      <c r="G26" t="s">
        <v>43</v>
      </c>
      <c r="H26" t="s">
        <v>71</v>
      </c>
      <c r="I26" s="29" t="s">
        <v>511</v>
      </c>
      <c r="J26" t="s">
        <v>88</v>
      </c>
      <c r="K26">
        <v>2</v>
      </c>
      <c r="L26">
        <v>18055</v>
      </c>
      <c r="M26">
        <v>0.19</v>
      </c>
      <c r="N26" s="25">
        <v>36110</v>
      </c>
      <c r="O26">
        <v>23144.38</v>
      </c>
      <c r="P26">
        <v>12965.619999999999</v>
      </c>
      <c r="Q26" s="19">
        <f>Tabuľka4[[#This Row],[Zisk]]/Tabuľka4[[#This Row],[Trzba]]</f>
        <v>0.35905898643035167</v>
      </c>
      <c r="R26">
        <v>2024</v>
      </c>
      <c r="S26" t="str">
        <f>TEXT(Tabuľka4[[#This Row],[Datum]],"MMMM")</f>
        <v>november</v>
      </c>
    </row>
    <row r="27" spans="1:19" x14ac:dyDescent="0.3">
      <c r="A27" s="2">
        <v>45323</v>
      </c>
      <c r="B27" t="s">
        <v>557</v>
      </c>
      <c r="C27" t="s">
        <v>74</v>
      </c>
      <c r="D27" t="s">
        <v>49</v>
      </c>
      <c r="E27" t="s">
        <v>68</v>
      </c>
      <c r="F27" t="s">
        <v>863</v>
      </c>
      <c r="G27" t="s">
        <v>43</v>
      </c>
      <c r="H27" t="s">
        <v>71</v>
      </c>
      <c r="I27" s="29" t="s">
        <v>558</v>
      </c>
      <c r="J27" t="s">
        <v>30</v>
      </c>
      <c r="K27">
        <v>6</v>
      </c>
      <c r="L27">
        <v>5928</v>
      </c>
      <c r="M27">
        <v>0.08</v>
      </c>
      <c r="N27" s="25">
        <v>35568</v>
      </c>
      <c r="O27">
        <v>27076.93</v>
      </c>
      <c r="P27">
        <v>8491.07</v>
      </c>
      <c r="Q27" s="19">
        <f>Tabuľka4[[#This Row],[Zisk]]/Tabuľka4[[#This Row],[Trzba]]</f>
        <v>0.23872778902384165</v>
      </c>
      <c r="R27">
        <v>2024</v>
      </c>
      <c r="S27" t="str">
        <f>TEXT(Tabuľka4[[#This Row],[Datum]],"MMMM")</f>
        <v>február</v>
      </c>
    </row>
    <row r="28" spans="1:19" x14ac:dyDescent="0.3">
      <c r="A28" s="2">
        <v>45670</v>
      </c>
      <c r="B28" t="s">
        <v>215</v>
      </c>
      <c r="C28" t="s">
        <v>96</v>
      </c>
      <c r="D28" t="s">
        <v>49</v>
      </c>
      <c r="E28" t="s">
        <v>0</v>
      </c>
      <c r="F28" t="s">
        <v>863</v>
      </c>
      <c r="G28" t="s">
        <v>22</v>
      </c>
      <c r="H28" t="s">
        <v>23</v>
      </c>
      <c r="I28" s="29" t="s">
        <v>202</v>
      </c>
      <c r="J28" t="s">
        <v>38</v>
      </c>
      <c r="K28">
        <v>6</v>
      </c>
      <c r="L28">
        <v>5765</v>
      </c>
      <c r="M28">
        <v>0.08</v>
      </c>
      <c r="N28" s="25">
        <v>34590</v>
      </c>
      <c r="O28">
        <v>23619.62</v>
      </c>
      <c r="P28">
        <v>10970.380000000001</v>
      </c>
      <c r="Q28" s="19">
        <f>Tabuľka4[[#This Row],[Zisk]]/Tabuľka4[[#This Row],[Trzba]]</f>
        <v>0.31715466897947386</v>
      </c>
      <c r="R28">
        <v>2025</v>
      </c>
      <c r="S28" t="str">
        <f>TEXT(Tabuľka4[[#This Row],[Datum]],"MMMM")</f>
        <v>január</v>
      </c>
    </row>
    <row r="29" spans="1:19" x14ac:dyDescent="0.3">
      <c r="A29" s="2">
        <v>45328</v>
      </c>
      <c r="B29" t="s">
        <v>85</v>
      </c>
      <c r="C29" t="s">
        <v>48</v>
      </c>
      <c r="D29" t="s">
        <v>49</v>
      </c>
      <c r="E29" t="s">
        <v>21</v>
      </c>
      <c r="F29" t="s">
        <v>863</v>
      </c>
      <c r="G29" t="s">
        <v>43</v>
      </c>
      <c r="H29" t="s">
        <v>86</v>
      </c>
      <c r="I29" s="29" t="s">
        <v>87</v>
      </c>
      <c r="J29" t="s">
        <v>88</v>
      </c>
      <c r="K29">
        <v>10</v>
      </c>
      <c r="L29">
        <v>3354</v>
      </c>
      <c r="M29">
        <v>0</v>
      </c>
      <c r="N29" s="25">
        <v>33540</v>
      </c>
      <c r="O29">
        <v>25346.61</v>
      </c>
      <c r="P29">
        <v>8193.39</v>
      </c>
      <c r="Q29" s="19">
        <f>Tabuľka4[[#This Row],[Zisk]]/Tabuľka4[[#This Row],[Trzba]]</f>
        <v>0.24428711985688728</v>
      </c>
      <c r="R29">
        <v>2024</v>
      </c>
      <c r="S29" t="str">
        <f>TEXT(Tabuľka4[[#This Row],[Datum]],"MMMM")</f>
        <v>február</v>
      </c>
    </row>
    <row r="30" spans="1:19" x14ac:dyDescent="0.3">
      <c r="A30" s="2">
        <v>45441</v>
      </c>
      <c r="B30" t="s">
        <v>205</v>
      </c>
      <c r="C30" t="s">
        <v>206</v>
      </c>
      <c r="D30" t="s">
        <v>20</v>
      </c>
      <c r="E30" t="s">
        <v>21</v>
      </c>
      <c r="F30" t="s">
        <v>863</v>
      </c>
      <c r="G30" t="s">
        <v>22</v>
      </c>
      <c r="H30" t="s">
        <v>23</v>
      </c>
      <c r="I30" s="29" t="s">
        <v>202</v>
      </c>
      <c r="J30" t="s">
        <v>38</v>
      </c>
      <c r="K30">
        <v>3</v>
      </c>
      <c r="L30">
        <v>10489</v>
      </c>
      <c r="M30">
        <v>0</v>
      </c>
      <c r="N30" s="25">
        <v>31467</v>
      </c>
      <c r="O30">
        <v>22436.63</v>
      </c>
      <c r="P30">
        <v>9030.369999999999</v>
      </c>
      <c r="Q30" s="19">
        <f>Tabuľka4[[#This Row],[Zisk]]/Tabuľka4[[#This Row],[Trzba]]</f>
        <v>0.2869790574252391</v>
      </c>
      <c r="R30">
        <v>2024</v>
      </c>
      <c r="S30" t="str">
        <f>TEXT(Tabuľka4[[#This Row],[Datum]],"MMMM")</f>
        <v>máj</v>
      </c>
    </row>
    <row r="31" spans="1:19" x14ac:dyDescent="0.3">
      <c r="A31" s="2">
        <v>45970</v>
      </c>
      <c r="B31" t="s">
        <v>576</v>
      </c>
      <c r="C31" t="s">
        <v>577</v>
      </c>
      <c r="D31" t="s">
        <v>20</v>
      </c>
      <c r="E31" t="s">
        <v>68</v>
      </c>
      <c r="F31" t="s">
        <v>863</v>
      </c>
      <c r="G31" t="s">
        <v>22</v>
      </c>
      <c r="H31" t="s">
        <v>71</v>
      </c>
      <c r="I31" s="29" t="s">
        <v>558</v>
      </c>
      <c r="J31" t="s">
        <v>51</v>
      </c>
      <c r="K31">
        <v>5</v>
      </c>
      <c r="L31">
        <v>6071</v>
      </c>
      <c r="M31">
        <v>7.0000000000000007E-2</v>
      </c>
      <c r="N31" s="25">
        <v>30355</v>
      </c>
      <c r="O31">
        <v>25934.67</v>
      </c>
      <c r="P31">
        <v>4420.3300000000017</v>
      </c>
      <c r="Q31" s="19">
        <f>Tabuľka4[[#This Row],[Zisk]]/Tabuľka4[[#This Row],[Trzba]]</f>
        <v>0.14562114972821616</v>
      </c>
      <c r="R31">
        <v>2025</v>
      </c>
      <c r="S31" t="str">
        <f>TEXT(Tabuľka4[[#This Row],[Datum]],"MMMM")</f>
        <v>november</v>
      </c>
    </row>
    <row r="32" spans="1:19" x14ac:dyDescent="0.3">
      <c r="A32" s="2">
        <v>46163</v>
      </c>
      <c r="B32" t="s">
        <v>789</v>
      </c>
      <c r="C32" t="s">
        <v>74</v>
      </c>
      <c r="D32" t="s">
        <v>49</v>
      </c>
      <c r="E32" t="s">
        <v>68</v>
      </c>
      <c r="F32" t="s">
        <v>863</v>
      </c>
      <c r="G32" t="s">
        <v>58</v>
      </c>
      <c r="H32" t="s">
        <v>188</v>
      </c>
      <c r="I32" s="29" t="s">
        <v>772</v>
      </c>
      <c r="J32" t="s">
        <v>46</v>
      </c>
      <c r="K32">
        <v>9</v>
      </c>
      <c r="L32">
        <v>3172</v>
      </c>
      <c r="M32">
        <v>0.02</v>
      </c>
      <c r="N32" s="25">
        <v>28548</v>
      </c>
      <c r="O32">
        <v>20378.400000000001</v>
      </c>
      <c r="P32">
        <v>8169.5999999999985</v>
      </c>
      <c r="Q32" s="19">
        <f>Tabuľka4[[#This Row],[Zisk]]/Tabuľka4[[#This Row],[Trzba]]</f>
        <v>0.28617065994115171</v>
      </c>
      <c r="R32">
        <v>2026</v>
      </c>
      <c r="S32" t="str">
        <f>TEXT(Tabuľka4[[#This Row],[Datum]],"MMMM")</f>
        <v>máj</v>
      </c>
    </row>
    <row r="33" spans="1:19" x14ac:dyDescent="0.3">
      <c r="A33" s="2">
        <v>45537</v>
      </c>
      <c r="B33" t="s">
        <v>209</v>
      </c>
      <c r="C33" t="s">
        <v>210</v>
      </c>
      <c r="D33" t="s">
        <v>20</v>
      </c>
      <c r="E33" t="s">
        <v>21</v>
      </c>
      <c r="F33" t="s">
        <v>863</v>
      </c>
      <c r="G33" t="s">
        <v>22</v>
      </c>
      <c r="H33" t="s">
        <v>23</v>
      </c>
      <c r="I33" s="29" t="s">
        <v>202</v>
      </c>
      <c r="J33" t="s">
        <v>63</v>
      </c>
      <c r="K33">
        <v>3</v>
      </c>
      <c r="L33">
        <v>8832</v>
      </c>
      <c r="M33">
        <v>0.04</v>
      </c>
      <c r="N33" s="25">
        <v>26496</v>
      </c>
      <c r="O33">
        <v>19022.919999999998</v>
      </c>
      <c r="P33">
        <v>7473.0800000000017</v>
      </c>
      <c r="Q33" s="19">
        <f>Tabuľka4[[#This Row],[Zisk]]/Tabuľka4[[#This Row],[Trzba]]</f>
        <v>0.28204559178743965</v>
      </c>
      <c r="R33">
        <v>2024</v>
      </c>
      <c r="S33" t="str">
        <f>TEXT(Tabuľka4[[#This Row],[Datum]],"MMMM")</f>
        <v>september</v>
      </c>
    </row>
    <row r="34" spans="1:19" x14ac:dyDescent="0.3">
      <c r="A34" s="2">
        <v>45452</v>
      </c>
      <c r="B34" t="s">
        <v>207</v>
      </c>
      <c r="C34" t="s">
        <v>208</v>
      </c>
      <c r="D34" t="s">
        <v>20</v>
      </c>
      <c r="E34" t="s">
        <v>0</v>
      </c>
      <c r="F34" t="s">
        <v>863</v>
      </c>
      <c r="G34" t="s">
        <v>22</v>
      </c>
      <c r="H34" t="s">
        <v>23</v>
      </c>
      <c r="I34" s="29" t="s">
        <v>202</v>
      </c>
      <c r="J34" t="s">
        <v>33</v>
      </c>
      <c r="K34">
        <v>3</v>
      </c>
      <c r="L34">
        <v>8555</v>
      </c>
      <c r="M34">
        <v>0.04</v>
      </c>
      <c r="N34" s="25">
        <v>25665</v>
      </c>
      <c r="O34">
        <v>17759.22</v>
      </c>
      <c r="P34">
        <v>7905.7799999999988</v>
      </c>
      <c r="Q34" s="19">
        <f>Tabuľka4[[#This Row],[Zisk]]/Tabuľka4[[#This Row],[Trzba]]</f>
        <v>0.30803740502630034</v>
      </c>
      <c r="R34">
        <v>2024</v>
      </c>
      <c r="S34" t="str">
        <f>TEXT(Tabuľka4[[#This Row],[Datum]],"MMMM")</f>
        <v>jún</v>
      </c>
    </row>
    <row r="35" spans="1:19" x14ac:dyDescent="0.3">
      <c r="A35" s="2">
        <v>45556</v>
      </c>
      <c r="B35" t="s">
        <v>775</v>
      </c>
      <c r="C35" t="s">
        <v>235</v>
      </c>
      <c r="D35" t="s">
        <v>49</v>
      </c>
      <c r="E35" t="s">
        <v>21</v>
      </c>
      <c r="F35" t="s">
        <v>863</v>
      </c>
      <c r="G35" t="s">
        <v>58</v>
      </c>
      <c r="H35" t="s">
        <v>188</v>
      </c>
      <c r="I35" s="29" t="s">
        <v>772</v>
      </c>
      <c r="J35" t="s">
        <v>38</v>
      </c>
      <c r="K35">
        <v>11</v>
      </c>
      <c r="L35">
        <v>2158</v>
      </c>
      <c r="M35">
        <v>0.16</v>
      </c>
      <c r="N35" s="25">
        <v>23738</v>
      </c>
      <c r="O35">
        <v>15786.86</v>
      </c>
      <c r="P35">
        <v>7951.1399999999994</v>
      </c>
      <c r="Q35" s="19">
        <f>Tabuľka4[[#This Row],[Zisk]]/Tabuľka4[[#This Row],[Trzba]]</f>
        <v>0.33495408206251576</v>
      </c>
      <c r="R35">
        <v>2024</v>
      </c>
      <c r="S35" t="str">
        <f>TEXT(Tabuľka4[[#This Row],[Datum]],"MMMM")</f>
        <v>september</v>
      </c>
    </row>
    <row r="36" spans="1:19" x14ac:dyDescent="0.3">
      <c r="A36" s="2">
        <v>45679</v>
      </c>
      <c r="B36" t="s">
        <v>567</v>
      </c>
      <c r="C36" t="s">
        <v>57</v>
      </c>
      <c r="D36" t="s">
        <v>49</v>
      </c>
      <c r="E36" t="s">
        <v>0</v>
      </c>
      <c r="F36" t="s">
        <v>863</v>
      </c>
      <c r="G36" t="s">
        <v>58</v>
      </c>
      <c r="H36" t="s">
        <v>71</v>
      </c>
      <c r="I36" s="29" t="s">
        <v>558</v>
      </c>
      <c r="J36" t="s">
        <v>38</v>
      </c>
      <c r="K36">
        <v>5</v>
      </c>
      <c r="L36">
        <v>4547</v>
      </c>
      <c r="M36">
        <v>7.0000000000000007E-2</v>
      </c>
      <c r="N36" s="25">
        <v>22735</v>
      </c>
      <c r="O36">
        <v>17347.34</v>
      </c>
      <c r="P36">
        <v>5387.66</v>
      </c>
      <c r="Q36" s="19">
        <f>Tabuľka4[[#This Row],[Zisk]]/Tabuľka4[[#This Row],[Trzba]]</f>
        <v>0.23697646800087968</v>
      </c>
      <c r="R36">
        <v>2025</v>
      </c>
      <c r="S36" t="str">
        <f>TEXT(Tabuľka4[[#This Row],[Datum]],"MMMM")</f>
        <v>január</v>
      </c>
    </row>
    <row r="37" spans="1:19" x14ac:dyDescent="0.3">
      <c r="A37" s="2">
        <v>46021</v>
      </c>
      <c r="B37" t="s">
        <v>529</v>
      </c>
      <c r="C37" t="s">
        <v>530</v>
      </c>
      <c r="D37" t="s">
        <v>20</v>
      </c>
      <c r="E37" t="s">
        <v>0</v>
      </c>
      <c r="F37" t="s">
        <v>863</v>
      </c>
      <c r="G37" t="s">
        <v>22</v>
      </c>
      <c r="H37" t="s">
        <v>71</v>
      </c>
      <c r="I37" s="29" t="s">
        <v>511</v>
      </c>
      <c r="J37" t="s">
        <v>51</v>
      </c>
      <c r="K37">
        <v>1</v>
      </c>
      <c r="L37">
        <v>22538</v>
      </c>
      <c r="M37">
        <v>0.14000000000000001</v>
      </c>
      <c r="N37" s="25">
        <v>22538</v>
      </c>
      <c r="O37">
        <v>16416.080000000002</v>
      </c>
      <c r="P37">
        <v>6121.9199999999983</v>
      </c>
      <c r="Q37" s="19">
        <f>Tabuľka4[[#This Row],[Zisk]]/Tabuľka4[[#This Row],[Trzba]]</f>
        <v>0.27162658620995644</v>
      </c>
      <c r="R37">
        <v>2025</v>
      </c>
      <c r="S37" t="str">
        <f>TEXT(Tabuľka4[[#This Row],[Datum]],"MMMM")</f>
        <v>december</v>
      </c>
    </row>
    <row r="38" spans="1:19" x14ac:dyDescent="0.3">
      <c r="A38" s="2">
        <v>46080</v>
      </c>
      <c r="B38" t="s">
        <v>685</v>
      </c>
      <c r="C38" t="s">
        <v>185</v>
      </c>
      <c r="D38" t="s">
        <v>49</v>
      </c>
      <c r="E38" t="s">
        <v>21</v>
      </c>
      <c r="F38" t="s">
        <v>863</v>
      </c>
      <c r="G38" t="s">
        <v>43</v>
      </c>
      <c r="H38" t="s">
        <v>71</v>
      </c>
      <c r="I38" s="29" t="s">
        <v>675</v>
      </c>
      <c r="J38" t="s">
        <v>88</v>
      </c>
      <c r="K38">
        <v>7</v>
      </c>
      <c r="L38">
        <v>3162</v>
      </c>
      <c r="M38">
        <v>0.11</v>
      </c>
      <c r="N38" s="25">
        <v>22134</v>
      </c>
      <c r="O38">
        <v>15998.66</v>
      </c>
      <c r="P38">
        <v>6135.34</v>
      </c>
      <c r="Q38" s="19">
        <f>Tabuľka4[[#This Row],[Zisk]]/Tabuľka4[[#This Row],[Trzba]]</f>
        <v>0.27719074726664861</v>
      </c>
      <c r="R38">
        <v>2026</v>
      </c>
      <c r="S38" t="str">
        <f>TEXT(Tabuľka4[[#This Row],[Datum]],"MMMM")</f>
        <v>február</v>
      </c>
    </row>
    <row r="39" spans="1:19" x14ac:dyDescent="0.3">
      <c r="A39" s="2">
        <v>46107</v>
      </c>
      <c r="B39" t="s">
        <v>535</v>
      </c>
      <c r="C39" t="s">
        <v>232</v>
      </c>
      <c r="D39" t="s">
        <v>20</v>
      </c>
      <c r="E39" t="s">
        <v>0</v>
      </c>
      <c r="F39" t="s">
        <v>863</v>
      </c>
      <c r="G39" t="s">
        <v>22</v>
      </c>
      <c r="H39" t="s">
        <v>71</v>
      </c>
      <c r="I39" s="29" t="s">
        <v>511</v>
      </c>
      <c r="J39" t="s">
        <v>63</v>
      </c>
      <c r="K39">
        <v>1</v>
      </c>
      <c r="L39">
        <v>21857</v>
      </c>
      <c r="M39">
        <v>0.04</v>
      </c>
      <c r="N39" s="25">
        <v>21857</v>
      </c>
      <c r="O39">
        <v>17113.689999999999</v>
      </c>
      <c r="P39">
        <v>4743.3100000000013</v>
      </c>
      <c r="Q39" s="19">
        <f>Tabuľka4[[#This Row],[Zisk]]/Tabuľka4[[#This Row],[Trzba]]</f>
        <v>0.2170156014091596</v>
      </c>
      <c r="R39">
        <v>2026</v>
      </c>
      <c r="S39" t="str">
        <f>TEXT(Tabuľka4[[#This Row],[Datum]],"MMMM")</f>
        <v>marec</v>
      </c>
    </row>
    <row r="40" spans="1:19" x14ac:dyDescent="0.3">
      <c r="A40" s="2">
        <v>45645</v>
      </c>
      <c r="B40" t="s">
        <v>724</v>
      </c>
      <c r="C40" t="s">
        <v>725</v>
      </c>
      <c r="D40" t="s">
        <v>20</v>
      </c>
      <c r="E40" t="s">
        <v>0</v>
      </c>
      <c r="F40" t="s">
        <v>863</v>
      </c>
      <c r="G40" t="s">
        <v>58</v>
      </c>
      <c r="H40" t="s">
        <v>86</v>
      </c>
      <c r="I40" s="29" t="s">
        <v>709</v>
      </c>
      <c r="J40" t="s">
        <v>63</v>
      </c>
      <c r="K40">
        <v>4</v>
      </c>
      <c r="L40">
        <v>5392</v>
      </c>
      <c r="M40">
        <v>0.2</v>
      </c>
      <c r="N40" s="25">
        <v>21568</v>
      </c>
      <c r="O40">
        <v>12039.3</v>
      </c>
      <c r="P40">
        <v>9528.7000000000007</v>
      </c>
      <c r="Q40" s="19">
        <f>Tabuľka4[[#This Row],[Zisk]]/Tabuľka4[[#This Row],[Trzba]]</f>
        <v>0.44179803412462909</v>
      </c>
      <c r="R40">
        <v>2024</v>
      </c>
      <c r="S40" t="str">
        <f>TEXT(Tabuľka4[[#This Row],[Datum]],"MMMM")</f>
        <v>december</v>
      </c>
    </row>
    <row r="41" spans="1:19" x14ac:dyDescent="0.3">
      <c r="A41" s="2">
        <v>45395</v>
      </c>
      <c r="B41" t="s">
        <v>713</v>
      </c>
      <c r="C41" t="s">
        <v>703</v>
      </c>
      <c r="D41" t="s">
        <v>20</v>
      </c>
      <c r="E41" t="s">
        <v>21</v>
      </c>
      <c r="F41" t="s">
        <v>863</v>
      </c>
      <c r="G41" t="s">
        <v>43</v>
      </c>
      <c r="H41" t="s">
        <v>86</v>
      </c>
      <c r="I41" s="29" t="s">
        <v>709</v>
      </c>
      <c r="J41" t="s">
        <v>38</v>
      </c>
      <c r="K41">
        <v>4</v>
      </c>
      <c r="L41">
        <v>5331</v>
      </c>
      <c r="M41">
        <v>0.03</v>
      </c>
      <c r="N41" s="25">
        <v>21324</v>
      </c>
      <c r="O41">
        <v>13720.59</v>
      </c>
      <c r="P41">
        <v>7603.41</v>
      </c>
      <c r="Q41" s="19">
        <f>Tabuľka4[[#This Row],[Zisk]]/Tabuľka4[[#This Row],[Trzba]]</f>
        <v>0.35656584130557117</v>
      </c>
      <c r="R41">
        <v>2024</v>
      </c>
      <c r="S41" t="str">
        <f>TEXT(Tabuľka4[[#This Row],[Datum]],"MMMM")</f>
        <v>apríl</v>
      </c>
    </row>
    <row r="42" spans="1:19" x14ac:dyDescent="0.3">
      <c r="A42" s="2">
        <v>45820</v>
      </c>
      <c r="B42" t="s">
        <v>221</v>
      </c>
      <c r="C42" t="s">
        <v>222</v>
      </c>
      <c r="D42" t="s">
        <v>20</v>
      </c>
      <c r="E42" t="s">
        <v>21</v>
      </c>
      <c r="F42" t="s">
        <v>863</v>
      </c>
      <c r="G42" t="s">
        <v>43</v>
      </c>
      <c r="H42" t="s">
        <v>23</v>
      </c>
      <c r="I42" s="29" t="s">
        <v>202</v>
      </c>
      <c r="J42" t="s">
        <v>51</v>
      </c>
      <c r="K42">
        <v>3</v>
      </c>
      <c r="L42">
        <v>7070</v>
      </c>
      <c r="M42">
        <v>0.13</v>
      </c>
      <c r="N42" s="25">
        <v>21210</v>
      </c>
      <c r="O42">
        <v>13234.3</v>
      </c>
      <c r="P42">
        <v>7975.7000000000007</v>
      </c>
      <c r="Q42" s="19">
        <f>Tabuľka4[[#This Row],[Zisk]]/Tabuľka4[[#This Row],[Trzba]]</f>
        <v>0.37603488920320605</v>
      </c>
      <c r="R42">
        <v>2025</v>
      </c>
      <c r="S42" t="str">
        <f>TEXT(Tabuľka4[[#This Row],[Datum]],"MMMM")</f>
        <v>jún</v>
      </c>
    </row>
    <row r="43" spans="1:19" x14ac:dyDescent="0.3">
      <c r="A43" s="2">
        <v>45879</v>
      </c>
      <c r="B43" t="s">
        <v>47</v>
      </c>
      <c r="C43" t="s">
        <v>48</v>
      </c>
      <c r="D43" t="s">
        <v>49</v>
      </c>
      <c r="E43" t="s">
        <v>50</v>
      </c>
      <c r="F43" t="s">
        <v>863</v>
      </c>
      <c r="G43" t="s">
        <v>22</v>
      </c>
      <c r="H43" t="s">
        <v>23</v>
      </c>
      <c r="I43" s="29" t="s">
        <v>24</v>
      </c>
      <c r="J43" t="s">
        <v>51</v>
      </c>
      <c r="K43">
        <v>6</v>
      </c>
      <c r="L43">
        <v>3521</v>
      </c>
      <c r="M43">
        <v>0.05</v>
      </c>
      <c r="N43" s="25">
        <v>21126</v>
      </c>
      <c r="O43">
        <v>15852.54</v>
      </c>
      <c r="P43">
        <v>5273.4599999999991</v>
      </c>
      <c r="Q43" s="19">
        <f>Tabuľka4[[#This Row],[Zisk]]/Tabuľka4[[#This Row],[Trzba]]</f>
        <v>0.24961942629934675</v>
      </c>
      <c r="R43">
        <v>2025</v>
      </c>
      <c r="S43" t="str">
        <f>TEXT(Tabuľka4[[#This Row],[Datum]],"MMMM")</f>
        <v>august</v>
      </c>
    </row>
    <row r="44" spans="1:19" x14ac:dyDescent="0.3">
      <c r="A44" s="2">
        <v>45707</v>
      </c>
      <c r="B44" t="s">
        <v>727</v>
      </c>
      <c r="C44" t="s">
        <v>728</v>
      </c>
      <c r="D44" t="s">
        <v>20</v>
      </c>
      <c r="E44" t="s">
        <v>21</v>
      </c>
      <c r="F44" t="s">
        <v>863</v>
      </c>
      <c r="G44" t="s">
        <v>43</v>
      </c>
      <c r="H44" t="s">
        <v>86</v>
      </c>
      <c r="I44" s="29" t="s">
        <v>709</v>
      </c>
      <c r="J44" t="s">
        <v>51</v>
      </c>
      <c r="K44">
        <v>6</v>
      </c>
      <c r="L44">
        <v>3509</v>
      </c>
      <c r="M44">
        <v>0.01</v>
      </c>
      <c r="N44" s="25">
        <v>21054</v>
      </c>
      <c r="O44">
        <v>16783.43</v>
      </c>
      <c r="P44">
        <v>4270.57</v>
      </c>
      <c r="Q44" s="19">
        <f>Tabuľka4[[#This Row],[Zisk]]/Tabuľka4[[#This Row],[Trzba]]</f>
        <v>0.20283889047211931</v>
      </c>
      <c r="R44">
        <v>2025</v>
      </c>
      <c r="S44" t="str">
        <f>TEXT(Tabuľka4[[#This Row],[Datum]],"MMMM")</f>
        <v>február</v>
      </c>
    </row>
    <row r="45" spans="1:19" x14ac:dyDescent="0.3">
      <c r="A45" s="2">
        <v>45826</v>
      </c>
      <c r="B45" t="s">
        <v>575</v>
      </c>
      <c r="C45" t="s">
        <v>546</v>
      </c>
      <c r="D45" t="s">
        <v>20</v>
      </c>
      <c r="E45" t="s">
        <v>0</v>
      </c>
      <c r="F45" t="s">
        <v>863</v>
      </c>
      <c r="G45" t="s">
        <v>22</v>
      </c>
      <c r="H45" t="s">
        <v>71</v>
      </c>
      <c r="I45" s="29" t="s">
        <v>558</v>
      </c>
      <c r="J45" t="s">
        <v>63</v>
      </c>
      <c r="K45">
        <v>3</v>
      </c>
      <c r="L45">
        <v>6870</v>
      </c>
      <c r="M45">
        <v>0.1</v>
      </c>
      <c r="N45" s="25">
        <v>20610</v>
      </c>
      <c r="O45">
        <v>14089.95</v>
      </c>
      <c r="P45">
        <v>6520.0499999999993</v>
      </c>
      <c r="Q45" s="19">
        <f>Tabuľka4[[#This Row],[Zisk]]/Tabuľka4[[#This Row],[Trzba]]</f>
        <v>0.31635371179039296</v>
      </c>
      <c r="R45">
        <v>2025</v>
      </c>
      <c r="S45" t="str">
        <f>TEXT(Tabuľka4[[#This Row],[Datum]],"MMMM")</f>
        <v>jún</v>
      </c>
    </row>
    <row r="46" spans="1:19" x14ac:dyDescent="0.3">
      <c r="A46" s="2">
        <v>45300</v>
      </c>
      <c r="B46" t="s">
        <v>708</v>
      </c>
      <c r="C46" t="s">
        <v>37</v>
      </c>
      <c r="D46" t="s">
        <v>20</v>
      </c>
      <c r="E46" t="s">
        <v>50</v>
      </c>
      <c r="F46" t="s">
        <v>863</v>
      </c>
      <c r="G46" t="s">
        <v>22</v>
      </c>
      <c r="H46" t="s">
        <v>86</v>
      </c>
      <c r="I46" s="29" t="s">
        <v>709</v>
      </c>
      <c r="J46" t="s">
        <v>30</v>
      </c>
      <c r="K46">
        <v>5</v>
      </c>
      <c r="L46">
        <v>4067</v>
      </c>
      <c r="M46">
        <v>0.19</v>
      </c>
      <c r="N46" s="25">
        <v>20335</v>
      </c>
      <c r="O46">
        <v>10861.68</v>
      </c>
      <c r="P46">
        <v>9473.32</v>
      </c>
      <c r="Q46" s="19">
        <f>Tabuľka4[[#This Row],[Zisk]]/Tabuľka4[[#This Row],[Trzba]]</f>
        <v>0.46586279813130071</v>
      </c>
      <c r="R46">
        <v>2024</v>
      </c>
      <c r="S46" t="str">
        <f>TEXT(Tabuľka4[[#This Row],[Datum]],"MMMM")</f>
        <v>január</v>
      </c>
    </row>
    <row r="47" spans="1:19" x14ac:dyDescent="0.3">
      <c r="A47" s="2">
        <v>45521</v>
      </c>
      <c r="B47" t="s">
        <v>515</v>
      </c>
      <c r="C47" t="s">
        <v>516</v>
      </c>
      <c r="D47" t="s">
        <v>20</v>
      </c>
      <c r="E47" t="s">
        <v>21</v>
      </c>
      <c r="F47" t="s">
        <v>863</v>
      </c>
      <c r="G47" t="s">
        <v>22</v>
      </c>
      <c r="H47" t="s">
        <v>71</v>
      </c>
      <c r="I47" s="29" t="s">
        <v>511</v>
      </c>
      <c r="J47" t="s">
        <v>46</v>
      </c>
      <c r="K47">
        <v>1</v>
      </c>
      <c r="L47">
        <v>20168</v>
      </c>
      <c r="M47">
        <v>0.01</v>
      </c>
      <c r="N47" s="25">
        <v>20168</v>
      </c>
      <c r="O47">
        <v>15360.27</v>
      </c>
      <c r="P47">
        <v>4807.7299999999996</v>
      </c>
      <c r="Q47" s="19">
        <f>Tabuľka4[[#This Row],[Zisk]]/Tabuľka4[[#This Row],[Trzba]]</f>
        <v>0.23838407378024593</v>
      </c>
      <c r="R47">
        <v>2024</v>
      </c>
      <c r="S47" t="str">
        <f>TEXT(Tabuľka4[[#This Row],[Datum]],"MMMM")</f>
        <v>august</v>
      </c>
    </row>
    <row r="48" spans="1:19" x14ac:dyDescent="0.3">
      <c r="A48" s="2">
        <v>45630</v>
      </c>
      <c r="B48" t="s">
        <v>565</v>
      </c>
      <c r="C48" t="s">
        <v>80</v>
      </c>
      <c r="D48" t="s">
        <v>20</v>
      </c>
      <c r="E48" t="s">
        <v>0</v>
      </c>
      <c r="F48" t="s">
        <v>863</v>
      </c>
      <c r="G48" t="s">
        <v>22</v>
      </c>
      <c r="H48" t="s">
        <v>71</v>
      </c>
      <c r="I48" s="29" t="s">
        <v>558</v>
      </c>
      <c r="J48" t="s">
        <v>51</v>
      </c>
      <c r="K48">
        <v>3</v>
      </c>
      <c r="L48">
        <v>6577</v>
      </c>
      <c r="M48">
        <v>0.1</v>
      </c>
      <c r="N48" s="25">
        <v>19731</v>
      </c>
      <c r="O48">
        <v>13414.88</v>
      </c>
      <c r="P48">
        <v>6316.1200000000008</v>
      </c>
      <c r="Q48" s="19">
        <f>Tabuľka4[[#This Row],[Zisk]]/Tabuľka4[[#This Row],[Trzba]]</f>
        <v>0.32011149967056918</v>
      </c>
      <c r="R48">
        <v>2024</v>
      </c>
      <c r="S48" t="str">
        <f>TEXT(Tabuľka4[[#This Row],[Datum]],"MMMM")</f>
        <v>december</v>
      </c>
    </row>
    <row r="49" spans="1:19" x14ac:dyDescent="0.3">
      <c r="A49" s="2">
        <v>45632</v>
      </c>
      <c r="B49" t="s">
        <v>691</v>
      </c>
      <c r="C49" t="s">
        <v>57</v>
      </c>
      <c r="D49" t="s">
        <v>49</v>
      </c>
      <c r="E49" t="s">
        <v>0</v>
      </c>
      <c r="F49" t="s">
        <v>863</v>
      </c>
      <c r="G49" t="s">
        <v>58</v>
      </c>
      <c r="H49" t="s">
        <v>188</v>
      </c>
      <c r="I49" s="29" t="s">
        <v>688</v>
      </c>
      <c r="J49" t="s">
        <v>63</v>
      </c>
      <c r="K49">
        <v>14</v>
      </c>
      <c r="L49">
        <v>1364</v>
      </c>
      <c r="M49">
        <v>0.09</v>
      </c>
      <c r="N49" s="25">
        <v>19096</v>
      </c>
      <c r="O49">
        <v>10908.56</v>
      </c>
      <c r="P49">
        <v>8187.4400000000005</v>
      </c>
      <c r="Q49" s="19">
        <f>Tabuľka4[[#This Row],[Zisk]]/Tabuľka4[[#This Row],[Trzba]]</f>
        <v>0.42875157100963557</v>
      </c>
      <c r="R49">
        <v>2024</v>
      </c>
      <c r="S49" t="str">
        <f>TEXT(Tabuľka4[[#This Row],[Datum]],"MMMM")</f>
        <v>december</v>
      </c>
    </row>
    <row r="50" spans="1:19" x14ac:dyDescent="0.3">
      <c r="A50" s="2">
        <v>45578</v>
      </c>
      <c r="B50" t="s">
        <v>564</v>
      </c>
      <c r="C50" t="s">
        <v>170</v>
      </c>
      <c r="D50" t="s">
        <v>20</v>
      </c>
      <c r="E50" t="s">
        <v>0</v>
      </c>
      <c r="F50" t="s">
        <v>863</v>
      </c>
      <c r="G50" t="s">
        <v>22</v>
      </c>
      <c r="H50" t="s">
        <v>71</v>
      </c>
      <c r="I50" s="29" t="s">
        <v>558</v>
      </c>
      <c r="J50" t="s">
        <v>30</v>
      </c>
      <c r="K50">
        <v>3</v>
      </c>
      <c r="L50">
        <v>6312</v>
      </c>
      <c r="M50">
        <v>0.12</v>
      </c>
      <c r="N50" s="25">
        <v>18936</v>
      </c>
      <c r="O50">
        <v>14628.53</v>
      </c>
      <c r="P50">
        <v>4307.4699999999993</v>
      </c>
      <c r="Q50" s="19">
        <f>Tabuľka4[[#This Row],[Zisk]]/Tabuľka4[[#This Row],[Trzba]]</f>
        <v>0.22747517955217572</v>
      </c>
      <c r="R50">
        <v>2024</v>
      </c>
      <c r="S50" t="str">
        <f>TEXT(Tabuľka4[[#This Row],[Datum]],"MMMM")</f>
        <v>október</v>
      </c>
    </row>
    <row r="51" spans="1:19" x14ac:dyDescent="0.3">
      <c r="A51" s="2">
        <v>45591</v>
      </c>
      <c r="B51" t="s">
        <v>346</v>
      </c>
      <c r="C51" t="s">
        <v>57</v>
      </c>
      <c r="D51" t="s">
        <v>49</v>
      </c>
      <c r="E51" t="s">
        <v>0</v>
      </c>
      <c r="F51" t="s">
        <v>863</v>
      </c>
      <c r="G51" t="s">
        <v>58</v>
      </c>
      <c r="H51" t="s">
        <v>71</v>
      </c>
      <c r="I51" s="29" t="s">
        <v>333</v>
      </c>
      <c r="J51" t="s">
        <v>51</v>
      </c>
      <c r="K51">
        <v>11</v>
      </c>
      <c r="L51">
        <v>1691</v>
      </c>
      <c r="M51">
        <v>0</v>
      </c>
      <c r="N51" s="25">
        <v>18601</v>
      </c>
      <c r="O51">
        <v>15110.91</v>
      </c>
      <c r="P51">
        <v>3490.09</v>
      </c>
      <c r="Q51" s="19">
        <f>Tabuľka4[[#This Row],[Zisk]]/Tabuľka4[[#This Row],[Trzba]]</f>
        <v>0.18762915972259556</v>
      </c>
      <c r="R51">
        <v>2024</v>
      </c>
      <c r="S51" t="str">
        <f>TEXT(Tabuľka4[[#This Row],[Datum]],"MMMM")</f>
        <v>október</v>
      </c>
    </row>
    <row r="52" spans="1:19" x14ac:dyDescent="0.3">
      <c r="A52" s="2">
        <v>45779</v>
      </c>
      <c r="B52" t="s">
        <v>574</v>
      </c>
      <c r="C52" t="s">
        <v>345</v>
      </c>
      <c r="D52" t="s">
        <v>20</v>
      </c>
      <c r="E52" t="s">
        <v>21</v>
      </c>
      <c r="F52" t="s">
        <v>863</v>
      </c>
      <c r="G52" t="s">
        <v>22</v>
      </c>
      <c r="H52" t="s">
        <v>71</v>
      </c>
      <c r="I52" s="29" t="s">
        <v>558</v>
      </c>
      <c r="J52" t="s">
        <v>33</v>
      </c>
      <c r="K52">
        <v>4</v>
      </c>
      <c r="L52">
        <v>4622</v>
      </c>
      <c r="M52">
        <v>0.04</v>
      </c>
      <c r="N52" s="25">
        <v>18488</v>
      </c>
      <c r="O52">
        <v>13300.08</v>
      </c>
      <c r="P52">
        <v>5187.92</v>
      </c>
      <c r="Q52" s="19">
        <f>Tabuľka4[[#This Row],[Zisk]]/Tabuľka4[[#This Row],[Trzba]]</f>
        <v>0.28061012548680225</v>
      </c>
      <c r="R52">
        <v>2025</v>
      </c>
      <c r="S52" t="str">
        <f>TEXT(Tabuľka4[[#This Row],[Datum]],"MMMM")</f>
        <v>máj</v>
      </c>
    </row>
    <row r="53" spans="1:19" x14ac:dyDescent="0.3">
      <c r="A53" s="2">
        <v>45520</v>
      </c>
      <c r="B53" t="s">
        <v>343</v>
      </c>
      <c r="C53" t="s">
        <v>48</v>
      </c>
      <c r="D53" t="s">
        <v>49</v>
      </c>
      <c r="E53" t="s">
        <v>21</v>
      </c>
      <c r="F53" t="s">
        <v>863</v>
      </c>
      <c r="G53" t="s">
        <v>58</v>
      </c>
      <c r="H53" t="s">
        <v>71</v>
      </c>
      <c r="I53" s="29" t="s">
        <v>333</v>
      </c>
      <c r="J53" t="s">
        <v>63</v>
      </c>
      <c r="K53">
        <v>12</v>
      </c>
      <c r="L53">
        <v>1539</v>
      </c>
      <c r="M53">
        <v>0.1</v>
      </c>
      <c r="N53" s="25">
        <v>18468</v>
      </c>
      <c r="O53">
        <v>14043.74</v>
      </c>
      <c r="P53">
        <v>4424.26</v>
      </c>
      <c r="Q53" s="19">
        <f>Tabuľka4[[#This Row],[Zisk]]/Tabuľka4[[#This Row],[Trzba]]</f>
        <v>0.23956356941737059</v>
      </c>
      <c r="R53">
        <v>2024</v>
      </c>
      <c r="S53" t="str">
        <f>TEXT(Tabuľka4[[#This Row],[Datum]],"MMMM")</f>
        <v>august</v>
      </c>
    </row>
    <row r="54" spans="1:19" x14ac:dyDescent="0.3">
      <c r="A54" s="2">
        <v>45951</v>
      </c>
      <c r="B54" t="s">
        <v>103</v>
      </c>
      <c r="C54" t="s">
        <v>104</v>
      </c>
      <c r="D54" t="s">
        <v>20</v>
      </c>
      <c r="E54" t="s">
        <v>0</v>
      </c>
      <c r="F54" t="s">
        <v>863</v>
      </c>
      <c r="G54" t="s">
        <v>43</v>
      </c>
      <c r="H54" t="s">
        <v>86</v>
      </c>
      <c r="I54" s="29" t="s">
        <v>87</v>
      </c>
      <c r="J54" t="s">
        <v>25</v>
      </c>
      <c r="K54">
        <v>3</v>
      </c>
      <c r="L54">
        <v>6120</v>
      </c>
      <c r="M54">
        <v>0.06</v>
      </c>
      <c r="N54" s="25">
        <v>18360</v>
      </c>
      <c r="O54">
        <v>13329.51</v>
      </c>
      <c r="P54">
        <v>5030.49</v>
      </c>
      <c r="Q54" s="19">
        <f>Tabuľka4[[#This Row],[Zisk]]/Tabuľka4[[#This Row],[Trzba]]</f>
        <v>0.27399183006535949</v>
      </c>
      <c r="R54">
        <v>2025</v>
      </c>
      <c r="S54" t="str">
        <f>TEXT(Tabuľka4[[#This Row],[Datum]],"MMMM")</f>
        <v>október</v>
      </c>
    </row>
    <row r="55" spans="1:19" x14ac:dyDescent="0.3">
      <c r="A55" s="2">
        <v>45941</v>
      </c>
      <c r="B55" t="s">
        <v>732</v>
      </c>
      <c r="C55" t="s">
        <v>666</v>
      </c>
      <c r="D55" t="s">
        <v>20</v>
      </c>
      <c r="E55" t="s">
        <v>50</v>
      </c>
      <c r="F55" t="s">
        <v>863</v>
      </c>
      <c r="G55" t="s">
        <v>43</v>
      </c>
      <c r="H55" t="s">
        <v>86</v>
      </c>
      <c r="I55" s="29" t="s">
        <v>709</v>
      </c>
      <c r="J55" t="s">
        <v>46</v>
      </c>
      <c r="K55">
        <v>3</v>
      </c>
      <c r="L55">
        <v>6077</v>
      </c>
      <c r="M55">
        <v>0.12</v>
      </c>
      <c r="N55" s="25">
        <v>18231</v>
      </c>
      <c r="O55">
        <v>11941.51</v>
      </c>
      <c r="P55">
        <v>6289.49</v>
      </c>
      <c r="Q55" s="19">
        <f>Tabuľka4[[#This Row],[Zisk]]/Tabuľka4[[#This Row],[Trzba]]</f>
        <v>0.34498875541659807</v>
      </c>
      <c r="R55">
        <v>2025</v>
      </c>
      <c r="S55" t="str">
        <f>TEXT(Tabuľka4[[#This Row],[Datum]],"MMMM")</f>
        <v>október</v>
      </c>
    </row>
    <row r="56" spans="1:19" x14ac:dyDescent="0.3">
      <c r="A56" s="2">
        <v>45530</v>
      </c>
      <c r="B56" t="s">
        <v>774</v>
      </c>
      <c r="C56" t="s">
        <v>96</v>
      </c>
      <c r="D56" t="s">
        <v>49</v>
      </c>
      <c r="E56" t="s">
        <v>50</v>
      </c>
      <c r="F56" t="s">
        <v>863</v>
      </c>
      <c r="G56" t="s">
        <v>58</v>
      </c>
      <c r="H56" t="s">
        <v>188</v>
      </c>
      <c r="I56" s="29" t="s">
        <v>772</v>
      </c>
      <c r="J56" t="s">
        <v>88</v>
      </c>
      <c r="K56">
        <v>9</v>
      </c>
      <c r="L56">
        <v>1991</v>
      </c>
      <c r="M56">
        <v>0.14000000000000001</v>
      </c>
      <c r="N56" s="25">
        <v>17919</v>
      </c>
      <c r="O56">
        <v>10375.85</v>
      </c>
      <c r="P56">
        <v>7543.15</v>
      </c>
      <c r="Q56" s="19">
        <f>Tabuľka4[[#This Row],[Zisk]]/Tabuľka4[[#This Row],[Trzba]]</f>
        <v>0.42095820079245494</v>
      </c>
      <c r="R56">
        <v>2024</v>
      </c>
      <c r="S56" t="str">
        <f>TEXT(Tabuľka4[[#This Row],[Datum]],"MMMM")</f>
        <v>august</v>
      </c>
    </row>
    <row r="57" spans="1:19" x14ac:dyDescent="0.3">
      <c r="A57" s="2">
        <v>45323</v>
      </c>
      <c r="B57" t="s">
        <v>200</v>
      </c>
      <c r="C57" t="s">
        <v>201</v>
      </c>
      <c r="D57" t="s">
        <v>20</v>
      </c>
      <c r="E57" t="s">
        <v>68</v>
      </c>
      <c r="F57" t="s">
        <v>863</v>
      </c>
      <c r="G57" t="s">
        <v>43</v>
      </c>
      <c r="H57" t="s">
        <v>23</v>
      </c>
      <c r="I57" s="29" t="s">
        <v>202</v>
      </c>
      <c r="J57" t="s">
        <v>33</v>
      </c>
      <c r="K57">
        <v>2</v>
      </c>
      <c r="L57">
        <v>8669</v>
      </c>
      <c r="M57">
        <v>0.08</v>
      </c>
      <c r="N57" s="25">
        <v>17338</v>
      </c>
      <c r="O57">
        <v>12126.27</v>
      </c>
      <c r="P57">
        <v>5211.7299999999996</v>
      </c>
      <c r="Q57" s="19">
        <f>Tabuľka4[[#This Row],[Zisk]]/Tabuľka4[[#This Row],[Trzba]]</f>
        <v>0.30059580113046486</v>
      </c>
      <c r="R57">
        <v>2024</v>
      </c>
      <c r="S57" t="str">
        <f>TEXT(Tabuľka4[[#This Row],[Datum]],"MMMM")</f>
        <v>február</v>
      </c>
    </row>
    <row r="58" spans="1:19" x14ac:dyDescent="0.3">
      <c r="A58" s="2">
        <v>46110</v>
      </c>
      <c r="B58" t="s">
        <v>110</v>
      </c>
      <c r="C58" t="s">
        <v>111</v>
      </c>
      <c r="D58" t="s">
        <v>20</v>
      </c>
      <c r="E58" t="s">
        <v>50</v>
      </c>
      <c r="F58" t="s">
        <v>863</v>
      </c>
      <c r="G58" t="s">
        <v>43</v>
      </c>
      <c r="H58" t="s">
        <v>86</v>
      </c>
      <c r="I58" s="29" t="s">
        <v>87</v>
      </c>
      <c r="J58" t="s">
        <v>33</v>
      </c>
      <c r="K58">
        <v>5</v>
      </c>
      <c r="L58">
        <v>3441</v>
      </c>
      <c r="M58">
        <v>0.11</v>
      </c>
      <c r="N58" s="25">
        <v>17205</v>
      </c>
      <c r="O58">
        <v>11519.06</v>
      </c>
      <c r="P58">
        <v>5685.9400000000005</v>
      </c>
      <c r="Q58" s="19">
        <f>Tabuľka4[[#This Row],[Zisk]]/Tabuľka4[[#This Row],[Trzba]]</f>
        <v>0.33048183667538511</v>
      </c>
      <c r="R58">
        <v>2026</v>
      </c>
      <c r="S58" t="str">
        <f>TEXT(Tabuľka4[[#This Row],[Datum]],"MMMM")</f>
        <v>marec</v>
      </c>
    </row>
    <row r="59" spans="1:19" x14ac:dyDescent="0.3">
      <c r="A59" s="2">
        <v>45754</v>
      </c>
      <c r="B59" t="s">
        <v>777</v>
      </c>
      <c r="C59" t="s">
        <v>778</v>
      </c>
      <c r="D59" t="s">
        <v>20</v>
      </c>
      <c r="E59" t="s">
        <v>21</v>
      </c>
      <c r="F59" t="s">
        <v>863</v>
      </c>
      <c r="G59" t="s">
        <v>43</v>
      </c>
      <c r="H59" t="s">
        <v>188</v>
      </c>
      <c r="I59" s="29" t="s">
        <v>772</v>
      </c>
      <c r="J59" t="s">
        <v>63</v>
      </c>
      <c r="K59">
        <v>5</v>
      </c>
      <c r="L59">
        <v>3430</v>
      </c>
      <c r="M59">
        <v>0</v>
      </c>
      <c r="N59" s="25">
        <v>17150</v>
      </c>
      <c r="O59">
        <v>11466.76</v>
      </c>
      <c r="P59">
        <v>5683.24</v>
      </c>
      <c r="Q59" s="19">
        <f>Tabuľka4[[#This Row],[Zisk]]/Tabuľka4[[#This Row],[Trzba]]</f>
        <v>0.33138425655976678</v>
      </c>
      <c r="R59">
        <v>2025</v>
      </c>
      <c r="S59" t="str">
        <f>TEXT(Tabuľka4[[#This Row],[Datum]],"MMMM")</f>
        <v>apríl</v>
      </c>
    </row>
    <row r="60" spans="1:19" x14ac:dyDescent="0.3">
      <c r="A60" s="2">
        <v>45689</v>
      </c>
      <c r="B60" t="s">
        <v>568</v>
      </c>
      <c r="C60" t="s">
        <v>569</v>
      </c>
      <c r="D60" t="s">
        <v>20</v>
      </c>
      <c r="E60" t="s">
        <v>0</v>
      </c>
      <c r="F60" t="s">
        <v>863</v>
      </c>
      <c r="G60" t="s">
        <v>22</v>
      </c>
      <c r="H60" t="s">
        <v>71</v>
      </c>
      <c r="I60" s="29" t="s">
        <v>558</v>
      </c>
      <c r="J60" t="s">
        <v>25</v>
      </c>
      <c r="K60">
        <v>3</v>
      </c>
      <c r="L60">
        <v>5639</v>
      </c>
      <c r="M60">
        <v>0.12</v>
      </c>
      <c r="N60" s="25">
        <v>16917</v>
      </c>
      <c r="O60">
        <v>10655.5</v>
      </c>
      <c r="P60">
        <v>6261.5</v>
      </c>
      <c r="Q60" s="19">
        <f>Tabuľka4[[#This Row],[Zisk]]/Tabuľka4[[#This Row],[Trzba]]</f>
        <v>0.37013063781994443</v>
      </c>
      <c r="R60">
        <v>2025</v>
      </c>
      <c r="S60" t="str">
        <f>TEXT(Tabuľka4[[#This Row],[Datum]],"MMMM")</f>
        <v>február</v>
      </c>
    </row>
    <row r="61" spans="1:19" x14ac:dyDescent="0.3">
      <c r="A61" s="2">
        <v>45990</v>
      </c>
      <c r="B61" t="s">
        <v>105</v>
      </c>
      <c r="C61" t="s">
        <v>106</v>
      </c>
      <c r="D61" t="s">
        <v>20</v>
      </c>
      <c r="E61" t="s">
        <v>0</v>
      </c>
      <c r="F61" t="s">
        <v>863</v>
      </c>
      <c r="G61" t="s">
        <v>43</v>
      </c>
      <c r="H61" t="s">
        <v>86</v>
      </c>
      <c r="I61" s="29" t="s">
        <v>87</v>
      </c>
      <c r="J61" t="s">
        <v>46</v>
      </c>
      <c r="K61">
        <v>4</v>
      </c>
      <c r="L61">
        <v>4125</v>
      </c>
      <c r="M61">
        <v>0</v>
      </c>
      <c r="N61" s="25">
        <v>16500</v>
      </c>
      <c r="O61">
        <v>12922.5</v>
      </c>
      <c r="P61">
        <v>3577.5</v>
      </c>
      <c r="Q61" s="19">
        <f>Tabuľka4[[#This Row],[Zisk]]/Tabuľka4[[#This Row],[Trzba]]</f>
        <v>0.21681818181818183</v>
      </c>
      <c r="R61">
        <v>2025</v>
      </c>
      <c r="S61" t="str">
        <f>TEXT(Tabuľka4[[#This Row],[Datum]],"MMMM")</f>
        <v>november</v>
      </c>
    </row>
    <row r="62" spans="1:19" x14ac:dyDescent="0.3">
      <c r="A62" s="2">
        <v>45925</v>
      </c>
      <c r="B62" t="s">
        <v>731</v>
      </c>
      <c r="C62" t="s">
        <v>292</v>
      </c>
      <c r="D62" t="s">
        <v>20</v>
      </c>
      <c r="E62" t="s">
        <v>50</v>
      </c>
      <c r="F62" t="s">
        <v>863</v>
      </c>
      <c r="G62" t="s">
        <v>22</v>
      </c>
      <c r="H62" t="s">
        <v>86</v>
      </c>
      <c r="I62" s="29" t="s">
        <v>709</v>
      </c>
      <c r="J62" t="s">
        <v>88</v>
      </c>
      <c r="K62">
        <v>3</v>
      </c>
      <c r="L62">
        <v>5490</v>
      </c>
      <c r="M62">
        <v>0.05</v>
      </c>
      <c r="N62" s="25">
        <v>16470</v>
      </c>
      <c r="O62">
        <v>10357.370000000001</v>
      </c>
      <c r="P62">
        <v>6112.6299999999992</v>
      </c>
      <c r="Q62" s="19">
        <f>Tabuľka4[[#This Row],[Zisk]]/Tabuľka4[[#This Row],[Trzba]]</f>
        <v>0.37113721918639947</v>
      </c>
      <c r="R62">
        <v>2025</v>
      </c>
      <c r="S62" t="str">
        <f>TEXT(Tabuľka4[[#This Row],[Datum]],"MMMM")</f>
        <v>september</v>
      </c>
    </row>
    <row r="63" spans="1:19" x14ac:dyDescent="0.3">
      <c r="A63" s="2">
        <v>45597</v>
      </c>
      <c r="B63" t="s">
        <v>39</v>
      </c>
      <c r="C63" t="s">
        <v>40</v>
      </c>
      <c r="D63" t="s">
        <v>20</v>
      </c>
      <c r="E63" t="s">
        <v>21</v>
      </c>
      <c r="F63" t="s">
        <v>863</v>
      </c>
      <c r="G63" t="s">
        <v>22</v>
      </c>
      <c r="H63" t="s">
        <v>23</v>
      </c>
      <c r="I63" s="29" t="s">
        <v>24</v>
      </c>
      <c r="J63" t="s">
        <v>25</v>
      </c>
      <c r="K63">
        <v>4</v>
      </c>
      <c r="L63">
        <v>4076</v>
      </c>
      <c r="M63">
        <v>0.12</v>
      </c>
      <c r="N63" s="25">
        <v>16304</v>
      </c>
      <c r="O63">
        <v>10704.5</v>
      </c>
      <c r="P63">
        <v>5599.5</v>
      </c>
      <c r="Q63" s="19">
        <f>Tabuľka4[[#This Row],[Zisk]]/Tabuľka4[[#This Row],[Trzba]]</f>
        <v>0.34344332679097156</v>
      </c>
      <c r="R63">
        <v>2024</v>
      </c>
      <c r="S63" t="str">
        <f>TEXT(Tabuľka4[[#This Row],[Datum]],"MMMM")</f>
        <v>november</v>
      </c>
    </row>
    <row r="64" spans="1:19" x14ac:dyDescent="0.3">
      <c r="A64" s="2">
        <v>45710</v>
      </c>
      <c r="B64" t="s">
        <v>99</v>
      </c>
      <c r="C64" t="s">
        <v>100</v>
      </c>
      <c r="D64" t="s">
        <v>20</v>
      </c>
      <c r="E64" t="s">
        <v>0</v>
      </c>
      <c r="F64" t="s">
        <v>863</v>
      </c>
      <c r="G64" t="s">
        <v>43</v>
      </c>
      <c r="H64" t="s">
        <v>86</v>
      </c>
      <c r="I64" s="29" t="s">
        <v>87</v>
      </c>
      <c r="J64" t="s">
        <v>88</v>
      </c>
      <c r="K64">
        <v>3</v>
      </c>
      <c r="L64">
        <v>5434</v>
      </c>
      <c r="M64">
        <v>0.15</v>
      </c>
      <c r="N64" s="25">
        <v>16302</v>
      </c>
      <c r="O64">
        <v>10198.92</v>
      </c>
      <c r="P64">
        <v>6103.08</v>
      </c>
      <c r="Q64" s="19">
        <f>Tabuľka4[[#This Row],[Zisk]]/Tabuľka4[[#This Row],[Trzba]]</f>
        <v>0.37437615016562387</v>
      </c>
      <c r="R64">
        <v>2025</v>
      </c>
      <c r="S64" t="str">
        <f>TEXT(Tabuľka4[[#This Row],[Datum]],"MMMM")</f>
        <v>február</v>
      </c>
    </row>
    <row r="65" spans="1:19" x14ac:dyDescent="0.3">
      <c r="A65" s="2">
        <v>45467</v>
      </c>
      <c r="B65" t="s">
        <v>714</v>
      </c>
      <c r="C65" t="s">
        <v>90</v>
      </c>
      <c r="D65" t="s">
        <v>20</v>
      </c>
      <c r="E65" t="s">
        <v>21</v>
      </c>
      <c r="F65" t="s">
        <v>863</v>
      </c>
      <c r="G65" t="s">
        <v>43</v>
      </c>
      <c r="H65" t="s">
        <v>86</v>
      </c>
      <c r="I65" s="29" t="s">
        <v>709</v>
      </c>
      <c r="J65" t="s">
        <v>25</v>
      </c>
      <c r="K65">
        <v>5</v>
      </c>
      <c r="L65">
        <v>3260</v>
      </c>
      <c r="M65">
        <v>0.05</v>
      </c>
      <c r="N65" s="25">
        <v>16300</v>
      </c>
      <c r="O65">
        <v>12136.26</v>
      </c>
      <c r="P65">
        <v>4163.74</v>
      </c>
      <c r="Q65" s="19">
        <f>Tabuľka4[[#This Row],[Zisk]]/Tabuľka4[[#This Row],[Trzba]]</f>
        <v>0.25544417177914108</v>
      </c>
      <c r="R65">
        <v>2024</v>
      </c>
      <c r="S65" t="str">
        <f>TEXT(Tabuľka4[[#This Row],[Datum]],"MMMM")</f>
        <v>jún</v>
      </c>
    </row>
    <row r="66" spans="1:19" x14ac:dyDescent="0.3">
      <c r="A66" s="2">
        <v>45614</v>
      </c>
      <c r="B66" t="s">
        <v>213</v>
      </c>
      <c r="C66" t="s">
        <v>214</v>
      </c>
      <c r="D66" t="s">
        <v>20</v>
      </c>
      <c r="E66" t="s">
        <v>68</v>
      </c>
      <c r="F66" t="s">
        <v>863</v>
      </c>
      <c r="G66" t="s">
        <v>22</v>
      </c>
      <c r="H66" t="s">
        <v>23</v>
      </c>
      <c r="I66" s="29" t="s">
        <v>202</v>
      </c>
      <c r="J66" t="s">
        <v>46</v>
      </c>
      <c r="K66">
        <v>2</v>
      </c>
      <c r="L66">
        <v>8104</v>
      </c>
      <c r="M66">
        <v>0.12</v>
      </c>
      <c r="N66" s="25">
        <v>16208</v>
      </c>
      <c r="O66">
        <v>11105.29</v>
      </c>
      <c r="P66">
        <v>5102.7099999999991</v>
      </c>
      <c r="Q66" s="19">
        <f>Tabuľka4[[#This Row],[Zisk]]/Tabuľka4[[#This Row],[Trzba]]</f>
        <v>0.3148266288252714</v>
      </c>
      <c r="R66">
        <v>2024</v>
      </c>
      <c r="S66" t="str">
        <f>TEXT(Tabuľka4[[#This Row],[Datum]],"MMMM")</f>
        <v>november</v>
      </c>
    </row>
    <row r="67" spans="1:19" x14ac:dyDescent="0.3">
      <c r="A67" s="2">
        <v>45713</v>
      </c>
      <c r="B67" t="s">
        <v>218</v>
      </c>
      <c r="C67" t="s">
        <v>219</v>
      </c>
      <c r="D67" t="s">
        <v>20</v>
      </c>
      <c r="E67" t="s">
        <v>21</v>
      </c>
      <c r="F67" t="s">
        <v>863</v>
      </c>
      <c r="G67" t="s">
        <v>22</v>
      </c>
      <c r="H67" t="s">
        <v>23</v>
      </c>
      <c r="I67" s="29" t="s">
        <v>202</v>
      </c>
      <c r="J67" t="s">
        <v>63</v>
      </c>
      <c r="K67">
        <v>2</v>
      </c>
      <c r="L67">
        <v>7912</v>
      </c>
      <c r="M67">
        <v>0.02</v>
      </c>
      <c r="N67" s="25">
        <v>15824</v>
      </c>
      <c r="O67">
        <v>10487.9</v>
      </c>
      <c r="P67">
        <v>5336.1</v>
      </c>
      <c r="Q67" s="19">
        <f>Tabuľka4[[#This Row],[Zisk]]/Tabuľka4[[#This Row],[Trzba]]</f>
        <v>0.33721562184024267</v>
      </c>
      <c r="R67">
        <v>2025</v>
      </c>
      <c r="S67" t="str">
        <f>TEXT(Tabuľka4[[#This Row],[Datum]],"MMMM")</f>
        <v>február</v>
      </c>
    </row>
    <row r="68" spans="1:19" x14ac:dyDescent="0.3">
      <c r="A68" s="2">
        <v>46097</v>
      </c>
      <c r="B68" t="s">
        <v>59</v>
      </c>
      <c r="C68" t="s">
        <v>60</v>
      </c>
      <c r="D68" t="s">
        <v>20</v>
      </c>
      <c r="E68" t="s">
        <v>50</v>
      </c>
      <c r="F68" t="s">
        <v>863</v>
      </c>
      <c r="G68" t="s">
        <v>43</v>
      </c>
      <c r="H68" t="s">
        <v>23</v>
      </c>
      <c r="I68" s="29" t="s">
        <v>24</v>
      </c>
      <c r="J68" t="s">
        <v>25</v>
      </c>
      <c r="K68">
        <v>4</v>
      </c>
      <c r="L68">
        <v>3945</v>
      </c>
      <c r="M68">
        <v>0.08</v>
      </c>
      <c r="N68" s="25">
        <v>15780</v>
      </c>
      <c r="O68">
        <v>11306.24</v>
      </c>
      <c r="P68">
        <v>4473.76</v>
      </c>
      <c r="Q68" s="19">
        <f>Tabuľka4[[#This Row],[Zisk]]/Tabuľka4[[#This Row],[Trzba]]</f>
        <v>0.28350823827629912</v>
      </c>
      <c r="R68">
        <v>2026</v>
      </c>
      <c r="S68" t="str">
        <f>TEXT(Tabuľka4[[#This Row],[Datum]],"MMMM")</f>
        <v>marec</v>
      </c>
    </row>
    <row r="69" spans="1:19" x14ac:dyDescent="0.3">
      <c r="A69" s="2">
        <v>45444</v>
      </c>
      <c r="B69" t="s">
        <v>676</v>
      </c>
      <c r="C69" t="s">
        <v>48</v>
      </c>
      <c r="D69" t="s">
        <v>49</v>
      </c>
      <c r="E69" t="s">
        <v>21</v>
      </c>
      <c r="F69" t="s">
        <v>863</v>
      </c>
      <c r="G69" t="s">
        <v>58</v>
      </c>
      <c r="H69" t="s">
        <v>71</v>
      </c>
      <c r="I69" s="29" t="s">
        <v>675</v>
      </c>
      <c r="J69" t="s">
        <v>30</v>
      </c>
      <c r="K69">
        <v>8</v>
      </c>
      <c r="L69">
        <v>1962</v>
      </c>
      <c r="M69">
        <v>0.03</v>
      </c>
      <c r="N69" s="25">
        <v>15696</v>
      </c>
      <c r="O69">
        <v>12356.63</v>
      </c>
      <c r="P69">
        <v>3339.3700000000008</v>
      </c>
      <c r="Q69" s="19">
        <f>Tabuľka4[[#This Row],[Zisk]]/Tabuľka4[[#This Row],[Trzba]]</f>
        <v>0.2127529306829766</v>
      </c>
      <c r="R69">
        <v>2024</v>
      </c>
      <c r="S69" t="str">
        <f>TEXT(Tabuľka4[[#This Row],[Datum]],"MMMM")</f>
        <v>jún</v>
      </c>
    </row>
    <row r="70" spans="1:19" x14ac:dyDescent="0.3">
      <c r="A70" s="2">
        <v>45379</v>
      </c>
      <c r="B70" t="s">
        <v>26</v>
      </c>
      <c r="C70" t="s">
        <v>27</v>
      </c>
      <c r="D70" t="s">
        <v>20</v>
      </c>
      <c r="E70" t="s">
        <v>21</v>
      </c>
      <c r="F70" t="s">
        <v>863</v>
      </c>
      <c r="G70" t="s">
        <v>22</v>
      </c>
      <c r="H70" t="s">
        <v>23</v>
      </c>
      <c r="I70" s="29" t="s">
        <v>24</v>
      </c>
      <c r="J70" t="s">
        <v>25</v>
      </c>
      <c r="K70">
        <v>3</v>
      </c>
      <c r="L70">
        <v>5076</v>
      </c>
      <c r="M70">
        <v>0.15</v>
      </c>
      <c r="N70" s="25">
        <v>15228</v>
      </c>
      <c r="O70">
        <v>8406.02</v>
      </c>
      <c r="P70">
        <v>6821.98</v>
      </c>
      <c r="Q70" s="19">
        <f>Tabuľka4[[#This Row],[Zisk]]/Tabuľka4[[#This Row],[Trzba]]</f>
        <v>0.44798923036511684</v>
      </c>
      <c r="R70">
        <v>2024</v>
      </c>
      <c r="S70" t="str">
        <f>TEXT(Tabuľka4[[#This Row],[Datum]],"MMMM")</f>
        <v>marec</v>
      </c>
    </row>
    <row r="71" spans="1:19" x14ac:dyDescent="0.3">
      <c r="A71" s="2">
        <v>45903</v>
      </c>
      <c r="B71" t="s">
        <v>52</v>
      </c>
      <c r="C71" t="s">
        <v>53</v>
      </c>
      <c r="D71" t="s">
        <v>20</v>
      </c>
      <c r="E71" t="s">
        <v>0</v>
      </c>
      <c r="F71" t="s">
        <v>863</v>
      </c>
      <c r="G71" t="s">
        <v>22</v>
      </c>
      <c r="H71" t="s">
        <v>23</v>
      </c>
      <c r="I71" s="29" t="s">
        <v>24</v>
      </c>
      <c r="J71" t="s">
        <v>33</v>
      </c>
      <c r="K71">
        <v>3</v>
      </c>
      <c r="L71">
        <v>5049</v>
      </c>
      <c r="M71">
        <v>0.06</v>
      </c>
      <c r="N71" s="25">
        <v>15147</v>
      </c>
      <c r="O71">
        <v>10508.66</v>
      </c>
      <c r="P71">
        <v>4638.34</v>
      </c>
      <c r="Q71" s="19">
        <f>Tabuľka4[[#This Row],[Zisk]]/Tabuľka4[[#This Row],[Trzba]]</f>
        <v>0.30622169406483135</v>
      </c>
      <c r="R71">
        <v>2025</v>
      </c>
      <c r="S71" t="str">
        <f>TEXT(Tabuľka4[[#This Row],[Datum]],"MMMM")</f>
        <v>september</v>
      </c>
    </row>
    <row r="72" spans="1:19" x14ac:dyDescent="0.3">
      <c r="A72" s="2">
        <v>45681</v>
      </c>
      <c r="B72" t="s">
        <v>726</v>
      </c>
      <c r="C72" t="s">
        <v>695</v>
      </c>
      <c r="D72" t="s">
        <v>20</v>
      </c>
      <c r="E72" t="s">
        <v>68</v>
      </c>
      <c r="F72" t="s">
        <v>863</v>
      </c>
      <c r="G72" t="s">
        <v>22</v>
      </c>
      <c r="H72" t="s">
        <v>86</v>
      </c>
      <c r="I72" s="29" t="s">
        <v>709</v>
      </c>
      <c r="J72" t="s">
        <v>30</v>
      </c>
      <c r="K72">
        <v>3</v>
      </c>
      <c r="L72">
        <v>5037</v>
      </c>
      <c r="M72">
        <v>0.17</v>
      </c>
      <c r="N72" s="25">
        <v>15111</v>
      </c>
      <c r="O72">
        <v>10540.7</v>
      </c>
      <c r="P72">
        <v>4570.2999999999993</v>
      </c>
      <c r="Q72" s="19">
        <f>Tabuľka4[[#This Row],[Zisk]]/Tabuľka4[[#This Row],[Trzba]]</f>
        <v>0.30244854741578975</v>
      </c>
      <c r="R72">
        <v>2025</v>
      </c>
      <c r="S72" t="str">
        <f>TEXT(Tabuľka4[[#This Row],[Datum]],"MMMM")</f>
        <v>január</v>
      </c>
    </row>
    <row r="73" spans="1:19" x14ac:dyDescent="0.3">
      <c r="A73" s="2">
        <v>46057</v>
      </c>
      <c r="B73" t="s">
        <v>786</v>
      </c>
      <c r="C73" t="s">
        <v>185</v>
      </c>
      <c r="D73" t="s">
        <v>49</v>
      </c>
      <c r="E73" t="s">
        <v>21</v>
      </c>
      <c r="F73" t="s">
        <v>863</v>
      </c>
      <c r="G73" t="s">
        <v>58</v>
      </c>
      <c r="H73" t="s">
        <v>188</v>
      </c>
      <c r="I73" s="29" t="s">
        <v>772</v>
      </c>
      <c r="J73" t="s">
        <v>63</v>
      </c>
      <c r="K73">
        <v>9</v>
      </c>
      <c r="L73">
        <v>1666</v>
      </c>
      <c r="M73">
        <v>0.01</v>
      </c>
      <c r="N73" s="25">
        <v>14994</v>
      </c>
      <c r="O73">
        <v>11026.58</v>
      </c>
      <c r="P73">
        <v>3967.42</v>
      </c>
      <c r="Q73" s="19">
        <f>Tabuľka4[[#This Row],[Zisk]]/Tabuľka4[[#This Row],[Trzba]]</f>
        <v>0.26460050686941444</v>
      </c>
      <c r="R73">
        <v>2026</v>
      </c>
      <c r="S73" t="str">
        <f>TEXT(Tabuľka4[[#This Row],[Datum]],"MMMM")</f>
        <v>február</v>
      </c>
    </row>
    <row r="74" spans="1:19" x14ac:dyDescent="0.3">
      <c r="A74" s="2">
        <v>45632</v>
      </c>
      <c r="B74" t="s">
        <v>73</v>
      </c>
      <c r="C74" t="s">
        <v>74</v>
      </c>
      <c r="D74" t="s">
        <v>49</v>
      </c>
      <c r="E74" t="s">
        <v>68</v>
      </c>
      <c r="F74" t="s">
        <v>863</v>
      </c>
      <c r="G74" t="s">
        <v>58</v>
      </c>
      <c r="H74" t="s">
        <v>71</v>
      </c>
      <c r="I74" s="29" t="s">
        <v>72</v>
      </c>
      <c r="J74" t="s">
        <v>63</v>
      </c>
      <c r="K74">
        <v>9</v>
      </c>
      <c r="L74">
        <v>1643</v>
      </c>
      <c r="M74">
        <v>0.14000000000000001</v>
      </c>
      <c r="N74" s="25">
        <v>14787</v>
      </c>
      <c r="O74">
        <v>9885.9500000000007</v>
      </c>
      <c r="P74">
        <v>4901.0499999999993</v>
      </c>
      <c r="Q74" s="19">
        <f>Tabuľka4[[#This Row],[Zisk]]/Tabuľka4[[#This Row],[Trzba]]</f>
        <v>0.3314431595320213</v>
      </c>
      <c r="R74">
        <v>2024</v>
      </c>
      <c r="S74" t="str">
        <f>TEXT(Tabuľka4[[#This Row],[Datum]],"MMMM")</f>
        <v>december</v>
      </c>
    </row>
    <row r="75" spans="1:19" x14ac:dyDescent="0.3">
      <c r="A75" s="2">
        <v>45712</v>
      </c>
      <c r="B75" t="s">
        <v>570</v>
      </c>
      <c r="C75" t="s">
        <v>571</v>
      </c>
      <c r="D75" t="s">
        <v>20</v>
      </c>
      <c r="E75" t="s">
        <v>0</v>
      </c>
      <c r="F75" t="s">
        <v>863</v>
      </c>
      <c r="G75" t="s">
        <v>43</v>
      </c>
      <c r="H75" t="s">
        <v>71</v>
      </c>
      <c r="I75" s="29" t="s">
        <v>558</v>
      </c>
      <c r="J75" t="s">
        <v>25</v>
      </c>
      <c r="K75">
        <v>3</v>
      </c>
      <c r="L75">
        <v>4853</v>
      </c>
      <c r="M75">
        <v>0.04</v>
      </c>
      <c r="N75" s="25">
        <v>14559</v>
      </c>
      <c r="O75">
        <v>10552.15</v>
      </c>
      <c r="P75">
        <v>4006.8500000000004</v>
      </c>
      <c r="Q75" s="19">
        <f>Tabuľka4[[#This Row],[Zisk]]/Tabuľka4[[#This Row],[Trzba]]</f>
        <v>0.27521464386290267</v>
      </c>
      <c r="R75">
        <v>2025</v>
      </c>
      <c r="S75" t="str">
        <f>TEXT(Tabuľka4[[#This Row],[Datum]],"MMMM")</f>
        <v>február</v>
      </c>
    </row>
    <row r="76" spans="1:19" x14ac:dyDescent="0.3">
      <c r="A76" s="2">
        <v>46021</v>
      </c>
      <c r="B76" t="s">
        <v>239</v>
      </c>
      <c r="C76" t="s">
        <v>74</v>
      </c>
      <c r="D76" t="s">
        <v>49</v>
      </c>
      <c r="E76" t="s">
        <v>21</v>
      </c>
      <c r="F76" t="s">
        <v>863</v>
      </c>
      <c r="G76" t="s">
        <v>22</v>
      </c>
      <c r="H76" t="s">
        <v>71</v>
      </c>
      <c r="I76" s="29" t="s">
        <v>229</v>
      </c>
      <c r="J76" t="s">
        <v>30</v>
      </c>
      <c r="K76">
        <v>9</v>
      </c>
      <c r="L76">
        <v>1592</v>
      </c>
      <c r="M76">
        <v>0.13</v>
      </c>
      <c r="N76" s="25">
        <v>14328</v>
      </c>
      <c r="O76">
        <v>10301.25</v>
      </c>
      <c r="P76">
        <v>4026.75</v>
      </c>
      <c r="Q76" s="19">
        <f>Tabuľka4[[#This Row],[Zisk]]/Tabuľka4[[#This Row],[Trzba]]</f>
        <v>0.28104061976549416</v>
      </c>
      <c r="R76">
        <v>2025</v>
      </c>
      <c r="S76" t="str">
        <f>TEXT(Tabuľka4[[#This Row],[Datum]],"MMMM")</f>
        <v>december</v>
      </c>
    </row>
    <row r="77" spans="1:19" x14ac:dyDescent="0.3">
      <c r="A77" s="2">
        <v>46157</v>
      </c>
      <c r="B77" t="s">
        <v>184</v>
      </c>
      <c r="C77" t="s">
        <v>185</v>
      </c>
      <c r="D77" t="s">
        <v>49</v>
      </c>
      <c r="E77" t="s">
        <v>21</v>
      </c>
      <c r="F77" t="s">
        <v>863</v>
      </c>
      <c r="G77" t="s">
        <v>22</v>
      </c>
      <c r="H77" t="s">
        <v>23</v>
      </c>
      <c r="I77" s="29" t="s">
        <v>154</v>
      </c>
      <c r="J77" t="s">
        <v>33</v>
      </c>
      <c r="K77">
        <v>7</v>
      </c>
      <c r="L77">
        <v>2010</v>
      </c>
      <c r="M77">
        <v>0.06</v>
      </c>
      <c r="N77" s="25">
        <v>14070</v>
      </c>
      <c r="O77">
        <v>9348.89</v>
      </c>
      <c r="P77">
        <v>4721.1100000000006</v>
      </c>
      <c r="Q77" s="19">
        <f>Tabuľka4[[#This Row],[Zisk]]/Tabuľka4[[#This Row],[Trzba]]</f>
        <v>0.33554442075337604</v>
      </c>
      <c r="R77">
        <v>2026</v>
      </c>
      <c r="S77" t="str">
        <f>TEXT(Tabuľka4[[#This Row],[Datum]],"MMMM")</f>
        <v>máj</v>
      </c>
    </row>
    <row r="78" spans="1:19" x14ac:dyDescent="0.3">
      <c r="A78" s="2">
        <v>45754</v>
      </c>
      <c r="B78" t="s">
        <v>729</v>
      </c>
      <c r="C78" t="s">
        <v>730</v>
      </c>
      <c r="D78" t="s">
        <v>20</v>
      </c>
      <c r="E78" t="s">
        <v>0</v>
      </c>
      <c r="F78" t="s">
        <v>863</v>
      </c>
      <c r="G78" t="s">
        <v>43</v>
      </c>
      <c r="H78" t="s">
        <v>86</v>
      </c>
      <c r="I78" s="29" t="s">
        <v>709</v>
      </c>
      <c r="J78" t="s">
        <v>33</v>
      </c>
      <c r="K78">
        <v>3</v>
      </c>
      <c r="L78">
        <v>4657</v>
      </c>
      <c r="M78">
        <v>0.01</v>
      </c>
      <c r="N78" s="25">
        <v>13971</v>
      </c>
      <c r="O78">
        <v>9646.83</v>
      </c>
      <c r="P78">
        <v>4324.17</v>
      </c>
      <c r="Q78" s="19">
        <f>Tabuľka4[[#This Row],[Zisk]]/Tabuľka4[[#This Row],[Trzba]]</f>
        <v>0.30951041442989047</v>
      </c>
      <c r="R78">
        <v>2025</v>
      </c>
      <c r="S78" t="str">
        <f>TEXT(Tabuľka4[[#This Row],[Datum]],"MMMM")</f>
        <v>apríl</v>
      </c>
    </row>
    <row r="79" spans="1:19" x14ac:dyDescent="0.3">
      <c r="A79" s="2">
        <v>46117</v>
      </c>
      <c r="B79" t="s">
        <v>181</v>
      </c>
      <c r="C79" t="s">
        <v>48</v>
      </c>
      <c r="D79" t="s">
        <v>49</v>
      </c>
      <c r="E79" t="s">
        <v>50</v>
      </c>
      <c r="F79" t="s">
        <v>863</v>
      </c>
      <c r="G79" t="s">
        <v>58</v>
      </c>
      <c r="H79" t="s">
        <v>23</v>
      </c>
      <c r="I79" s="29" t="s">
        <v>154</v>
      </c>
      <c r="J79" t="s">
        <v>46</v>
      </c>
      <c r="K79">
        <v>8</v>
      </c>
      <c r="L79">
        <v>1703</v>
      </c>
      <c r="M79">
        <v>0.11</v>
      </c>
      <c r="N79" s="25">
        <v>13624</v>
      </c>
      <c r="O79">
        <v>6657</v>
      </c>
      <c r="P79">
        <v>6967</v>
      </c>
      <c r="Q79" s="19">
        <f>Tabuľka4[[#This Row],[Zisk]]/Tabuľka4[[#This Row],[Trzba]]</f>
        <v>0.51137698179682911</v>
      </c>
      <c r="R79">
        <v>2026</v>
      </c>
      <c r="S79" t="str">
        <f>TEXT(Tabuľka4[[#This Row],[Datum]],"MMMM")</f>
        <v>apríl</v>
      </c>
    </row>
    <row r="80" spans="1:19" x14ac:dyDescent="0.3">
      <c r="A80" s="2">
        <v>45734</v>
      </c>
      <c r="B80" t="s">
        <v>572</v>
      </c>
      <c r="C80" t="s">
        <v>573</v>
      </c>
      <c r="D80" t="s">
        <v>20</v>
      </c>
      <c r="E80" t="s">
        <v>50</v>
      </c>
      <c r="F80" t="s">
        <v>863</v>
      </c>
      <c r="G80" t="s">
        <v>43</v>
      </c>
      <c r="H80" t="s">
        <v>71</v>
      </c>
      <c r="I80" s="29" t="s">
        <v>558</v>
      </c>
      <c r="J80" t="s">
        <v>63</v>
      </c>
      <c r="K80">
        <v>3</v>
      </c>
      <c r="L80">
        <v>4540</v>
      </c>
      <c r="M80">
        <v>0</v>
      </c>
      <c r="N80" s="25">
        <v>13620</v>
      </c>
      <c r="O80">
        <v>11082</v>
      </c>
      <c r="P80">
        <v>2538</v>
      </c>
      <c r="Q80" s="19">
        <f>Tabuľka4[[#This Row],[Zisk]]/Tabuľka4[[#This Row],[Trzba]]</f>
        <v>0.18634361233480176</v>
      </c>
      <c r="R80">
        <v>2025</v>
      </c>
      <c r="S80" t="str">
        <f>TEXT(Tabuľka4[[#This Row],[Datum]],"MMMM")</f>
        <v>marec</v>
      </c>
    </row>
    <row r="81" spans="1:19" x14ac:dyDescent="0.3">
      <c r="A81" s="2">
        <v>45795</v>
      </c>
      <c r="B81" t="s">
        <v>779</v>
      </c>
      <c r="C81" t="s">
        <v>359</v>
      </c>
      <c r="D81" t="s">
        <v>20</v>
      </c>
      <c r="E81" t="s">
        <v>0</v>
      </c>
      <c r="F81" t="s">
        <v>863</v>
      </c>
      <c r="G81" t="s">
        <v>43</v>
      </c>
      <c r="H81" t="s">
        <v>188</v>
      </c>
      <c r="I81" s="29" t="s">
        <v>772</v>
      </c>
      <c r="J81" t="s">
        <v>25</v>
      </c>
      <c r="K81">
        <v>4</v>
      </c>
      <c r="L81">
        <v>3403</v>
      </c>
      <c r="M81">
        <v>0.12</v>
      </c>
      <c r="N81" s="25">
        <v>13612</v>
      </c>
      <c r="O81">
        <v>9150.4</v>
      </c>
      <c r="P81">
        <v>4461.6000000000004</v>
      </c>
      <c r="Q81" s="19">
        <f>Tabuľka4[[#This Row],[Zisk]]/Tabuľka4[[#This Row],[Trzba]]</f>
        <v>0.32776961504554808</v>
      </c>
      <c r="R81">
        <v>2025</v>
      </c>
      <c r="S81" t="str">
        <f>TEXT(Tabuľka4[[#This Row],[Datum]],"MMMM")</f>
        <v>máj</v>
      </c>
    </row>
    <row r="82" spans="1:19" x14ac:dyDescent="0.3">
      <c r="A82" s="2">
        <v>45330</v>
      </c>
      <c r="B82" t="s">
        <v>332</v>
      </c>
      <c r="C82" t="s">
        <v>96</v>
      </c>
      <c r="D82" t="s">
        <v>49</v>
      </c>
      <c r="E82" t="s">
        <v>50</v>
      </c>
      <c r="F82" t="s">
        <v>863</v>
      </c>
      <c r="G82" t="s">
        <v>58</v>
      </c>
      <c r="H82" t="s">
        <v>71</v>
      </c>
      <c r="I82" s="29" t="s">
        <v>333</v>
      </c>
      <c r="J82" t="s">
        <v>88</v>
      </c>
      <c r="K82">
        <v>6</v>
      </c>
      <c r="L82">
        <v>2214</v>
      </c>
      <c r="M82">
        <v>0.14000000000000001</v>
      </c>
      <c r="N82" s="25">
        <v>13284</v>
      </c>
      <c r="O82">
        <v>8434.94</v>
      </c>
      <c r="P82">
        <v>4849.0599999999995</v>
      </c>
      <c r="Q82" s="19">
        <f>Tabuľka4[[#This Row],[Zisk]]/Tabuľka4[[#This Row],[Trzba]]</f>
        <v>0.36503011141222519</v>
      </c>
      <c r="R82">
        <v>2024</v>
      </c>
      <c r="S82" t="str">
        <f>TEXT(Tabuľka4[[#This Row],[Datum]],"MMMM")</f>
        <v>február</v>
      </c>
    </row>
    <row r="83" spans="1:19" x14ac:dyDescent="0.3">
      <c r="A83" s="2">
        <v>45319</v>
      </c>
      <c r="B83" t="s">
        <v>792</v>
      </c>
      <c r="C83" t="s">
        <v>132</v>
      </c>
      <c r="D83" t="s">
        <v>49</v>
      </c>
      <c r="E83" t="s">
        <v>0</v>
      </c>
      <c r="F83" t="s">
        <v>863</v>
      </c>
      <c r="G83" t="s">
        <v>58</v>
      </c>
      <c r="H83" t="s">
        <v>188</v>
      </c>
      <c r="I83" s="29" t="s">
        <v>791</v>
      </c>
      <c r="J83" t="s">
        <v>51</v>
      </c>
      <c r="K83">
        <v>10</v>
      </c>
      <c r="L83">
        <v>1319</v>
      </c>
      <c r="M83">
        <v>0.06</v>
      </c>
      <c r="N83" s="25">
        <v>13190</v>
      </c>
      <c r="O83">
        <v>6554.92</v>
      </c>
      <c r="P83">
        <v>6635.08</v>
      </c>
      <c r="Q83" s="19">
        <f>Tabuľka4[[#This Row],[Zisk]]/Tabuľka4[[#This Row],[Trzba]]</f>
        <v>0.5030386656557998</v>
      </c>
      <c r="R83">
        <v>2024</v>
      </c>
      <c r="S83" t="str">
        <f>TEXT(Tabuľka4[[#This Row],[Datum]],"MMMM")</f>
        <v>január</v>
      </c>
    </row>
    <row r="84" spans="1:19" x14ac:dyDescent="0.3">
      <c r="A84" s="2">
        <v>46004</v>
      </c>
      <c r="B84" t="s">
        <v>225</v>
      </c>
      <c r="C84" t="s">
        <v>226</v>
      </c>
      <c r="D84" t="s">
        <v>20</v>
      </c>
      <c r="E84" t="s">
        <v>0</v>
      </c>
      <c r="F84" t="s">
        <v>863</v>
      </c>
      <c r="G84" t="s">
        <v>22</v>
      </c>
      <c r="H84" t="s">
        <v>23</v>
      </c>
      <c r="I84" s="29" t="s">
        <v>202</v>
      </c>
      <c r="J84" t="s">
        <v>88</v>
      </c>
      <c r="K84">
        <v>2</v>
      </c>
      <c r="L84">
        <v>6313</v>
      </c>
      <c r="M84">
        <v>0.22</v>
      </c>
      <c r="N84" s="25">
        <v>12626</v>
      </c>
      <c r="O84">
        <v>7378.12</v>
      </c>
      <c r="P84">
        <v>5247.88</v>
      </c>
      <c r="Q84" s="19">
        <f>Tabuľka4[[#This Row],[Zisk]]/Tabuľka4[[#This Row],[Trzba]]</f>
        <v>0.41564074132741963</v>
      </c>
      <c r="R84">
        <v>2025</v>
      </c>
      <c r="S84" t="str">
        <f>TEXT(Tabuľka4[[#This Row],[Datum]],"MMMM")</f>
        <v>december</v>
      </c>
    </row>
    <row r="85" spans="1:19" x14ac:dyDescent="0.3">
      <c r="A85" s="2">
        <v>45748</v>
      </c>
      <c r="B85" t="s">
        <v>599</v>
      </c>
      <c r="C85" t="s">
        <v>132</v>
      </c>
      <c r="D85" t="s">
        <v>49</v>
      </c>
      <c r="E85" t="s">
        <v>50</v>
      </c>
      <c r="F85" t="s">
        <v>863</v>
      </c>
      <c r="G85" t="s">
        <v>58</v>
      </c>
      <c r="H85" t="s">
        <v>86</v>
      </c>
      <c r="I85" s="29" t="s">
        <v>586</v>
      </c>
      <c r="J85" t="s">
        <v>88</v>
      </c>
      <c r="K85">
        <v>8</v>
      </c>
      <c r="L85">
        <v>1556</v>
      </c>
      <c r="M85">
        <v>0</v>
      </c>
      <c r="N85" s="25">
        <v>12448</v>
      </c>
      <c r="O85">
        <v>9989.4500000000007</v>
      </c>
      <c r="P85">
        <v>2458.5499999999993</v>
      </c>
      <c r="Q85" s="19">
        <f>Tabuľka4[[#This Row],[Zisk]]/Tabuľka4[[#This Row],[Trzba]]</f>
        <v>0.19750562339331615</v>
      </c>
      <c r="R85">
        <v>2025</v>
      </c>
      <c r="S85" t="str">
        <f>TEXT(Tabuľka4[[#This Row],[Datum]],"MMMM")</f>
        <v>apríl</v>
      </c>
    </row>
    <row r="86" spans="1:19" x14ac:dyDescent="0.3">
      <c r="A86" s="2">
        <v>45325</v>
      </c>
      <c r="B86" t="s">
        <v>559</v>
      </c>
      <c r="C86" t="s">
        <v>422</v>
      </c>
      <c r="D86" t="s">
        <v>20</v>
      </c>
      <c r="E86" t="s">
        <v>50</v>
      </c>
      <c r="F86" t="s">
        <v>863</v>
      </c>
      <c r="G86" t="s">
        <v>22</v>
      </c>
      <c r="H86" t="s">
        <v>71</v>
      </c>
      <c r="I86" s="29" t="s">
        <v>558</v>
      </c>
      <c r="J86" t="s">
        <v>63</v>
      </c>
      <c r="K86">
        <v>3</v>
      </c>
      <c r="L86">
        <v>4119</v>
      </c>
      <c r="M86">
        <v>0</v>
      </c>
      <c r="N86" s="25">
        <v>12357</v>
      </c>
      <c r="O86">
        <v>10570.79</v>
      </c>
      <c r="P86">
        <v>1786.2099999999991</v>
      </c>
      <c r="Q86" s="19">
        <f>Tabuľka4[[#This Row],[Zisk]]/Tabuľka4[[#This Row],[Trzba]]</f>
        <v>0.14455045723071935</v>
      </c>
      <c r="R86">
        <v>2024</v>
      </c>
      <c r="S86" t="str">
        <f>TEXT(Tabuľka4[[#This Row],[Datum]],"MMMM")</f>
        <v>február</v>
      </c>
    </row>
    <row r="87" spans="1:19" x14ac:dyDescent="0.3">
      <c r="A87" s="2">
        <v>45801</v>
      </c>
      <c r="B87" t="s">
        <v>805</v>
      </c>
      <c r="C87" t="s">
        <v>48</v>
      </c>
      <c r="D87" t="s">
        <v>49</v>
      </c>
      <c r="E87" t="s">
        <v>21</v>
      </c>
      <c r="F87" t="s">
        <v>863</v>
      </c>
      <c r="G87" t="s">
        <v>58</v>
      </c>
      <c r="H87" t="s">
        <v>188</v>
      </c>
      <c r="I87" s="29" t="s">
        <v>791</v>
      </c>
      <c r="J87" t="s">
        <v>33</v>
      </c>
      <c r="K87">
        <v>10</v>
      </c>
      <c r="L87">
        <v>1229</v>
      </c>
      <c r="M87">
        <v>0.11</v>
      </c>
      <c r="N87" s="25">
        <v>12290</v>
      </c>
      <c r="O87">
        <v>6601.5</v>
      </c>
      <c r="P87">
        <v>5688.5</v>
      </c>
      <c r="Q87" s="19">
        <f>Tabuľka4[[#This Row],[Zisk]]/Tabuľka4[[#This Row],[Trzba]]</f>
        <v>0.46285598047192839</v>
      </c>
      <c r="R87">
        <v>2025</v>
      </c>
      <c r="S87" t="str">
        <f>TEXT(Tabuľka4[[#This Row],[Datum]],"MMMM")</f>
        <v>máj</v>
      </c>
    </row>
    <row r="88" spans="1:19" x14ac:dyDescent="0.3">
      <c r="A88" s="2">
        <v>45830</v>
      </c>
      <c r="B88" t="s">
        <v>806</v>
      </c>
      <c r="C88" t="s">
        <v>48</v>
      </c>
      <c r="D88" t="s">
        <v>49</v>
      </c>
      <c r="E88" t="s">
        <v>68</v>
      </c>
      <c r="F88" t="s">
        <v>863</v>
      </c>
      <c r="G88" t="s">
        <v>58</v>
      </c>
      <c r="H88" t="s">
        <v>188</v>
      </c>
      <c r="I88" s="29" t="s">
        <v>791</v>
      </c>
      <c r="J88" t="s">
        <v>63</v>
      </c>
      <c r="K88">
        <v>11</v>
      </c>
      <c r="L88">
        <v>1116</v>
      </c>
      <c r="M88">
        <v>0.18</v>
      </c>
      <c r="N88" s="25">
        <v>12276</v>
      </c>
      <c r="O88">
        <v>8089.5</v>
      </c>
      <c r="P88">
        <v>4186.5</v>
      </c>
      <c r="Q88" s="19">
        <f>Tabuľka4[[#This Row],[Zisk]]/Tabuľka4[[#This Row],[Trzba]]</f>
        <v>0.34103128054740955</v>
      </c>
      <c r="R88">
        <v>2025</v>
      </c>
      <c r="S88" t="str">
        <f>TEXT(Tabuľka4[[#This Row],[Datum]],"MMMM")</f>
        <v>jún</v>
      </c>
    </row>
    <row r="89" spans="1:19" x14ac:dyDescent="0.3">
      <c r="A89" s="2">
        <v>45940</v>
      </c>
      <c r="B89" t="s">
        <v>54</v>
      </c>
      <c r="C89" t="s">
        <v>55</v>
      </c>
      <c r="D89" t="s">
        <v>20</v>
      </c>
      <c r="E89" t="s">
        <v>0</v>
      </c>
      <c r="F89" t="s">
        <v>863</v>
      </c>
      <c r="G89" t="s">
        <v>22</v>
      </c>
      <c r="H89" t="s">
        <v>23</v>
      </c>
      <c r="I89" s="29" t="s">
        <v>24</v>
      </c>
      <c r="J89" t="s">
        <v>30</v>
      </c>
      <c r="K89">
        <v>2</v>
      </c>
      <c r="L89">
        <v>6116</v>
      </c>
      <c r="M89">
        <v>0.06</v>
      </c>
      <c r="N89" s="25">
        <v>12232</v>
      </c>
      <c r="O89">
        <v>9106.94</v>
      </c>
      <c r="P89">
        <v>3125.0599999999995</v>
      </c>
      <c r="Q89" s="19">
        <f>Tabuľka4[[#This Row],[Zisk]]/Tabuľka4[[#This Row],[Trzba]]</f>
        <v>0.25548234139960757</v>
      </c>
      <c r="R89">
        <v>2025</v>
      </c>
      <c r="S89" t="str">
        <f>TEXT(Tabuľka4[[#This Row],[Datum]],"MMMM")</f>
        <v>október</v>
      </c>
    </row>
    <row r="90" spans="1:19" x14ac:dyDescent="0.3">
      <c r="A90" s="2">
        <v>45437</v>
      </c>
      <c r="B90" t="s">
        <v>28</v>
      </c>
      <c r="C90" t="s">
        <v>29</v>
      </c>
      <c r="D90" t="s">
        <v>20</v>
      </c>
      <c r="E90" t="s">
        <v>0</v>
      </c>
      <c r="F90" t="s">
        <v>863</v>
      </c>
      <c r="G90" t="s">
        <v>22</v>
      </c>
      <c r="H90" t="s">
        <v>23</v>
      </c>
      <c r="I90" s="29" t="s">
        <v>24</v>
      </c>
      <c r="J90" t="s">
        <v>30</v>
      </c>
      <c r="K90">
        <v>2</v>
      </c>
      <c r="L90">
        <v>5981</v>
      </c>
      <c r="M90">
        <v>0.09</v>
      </c>
      <c r="N90" s="25">
        <v>11962</v>
      </c>
      <c r="O90">
        <v>8073.22</v>
      </c>
      <c r="P90">
        <v>3888.7799999999997</v>
      </c>
      <c r="Q90" s="19">
        <f>Tabuľka4[[#This Row],[Zisk]]/Tabuľka4[[#This Row],[Trzba]]</f>
        <v>0.32509446580839324</v>
      </c>
      <c r="R90">
        <v>2024</v>
      </c>
      <c r="S90" t="str">
        <f>TEXT(Tabuľka4[[#This Row],[Datum]],"MMMM")</f>
        <v>máj</v>
      </c>
    </row>
    <row r="91" spans="1:19" x14ac:dyDescent="0.3">
      <c r="A91" s="2">
        <v>45895</v>
      </c>
      <c r="B91" t="s">
        <v>234</v>
      </c>
      <c r="C91" t="s">
        <v>235</v>
      </c>
      <c r="D91" t="s">
        <v>49</v>
      </c>
      <c r="E91" t="s">
        <v>0</v>
      </c>
      <c r="F91" t="s">
        <v>863</v>
      </c>
      <c r="G91" t="s">
        <v>58</v>
      </c>
      <c r="H91" t="s">
        <v>71</v>
      </c>
      <c r="I91" s="29" t="s">
        <v>229</v>
      </c>
      <c r="J91" t="s">
        <v>63</v>
      </c>
      <c r="K91">
        <v>8</v>
      </c>
      <c r="L91">
        <v>1422</v>
      </c>
      <c r="M91">
        <v>0.04</v>
      </c>
      <c r="N91" s="25">
        <v>11376</v>
      </c>
      <c r="O91">
        <v>9965.98</v>
      </c>
      <c r="P91">
        <v>1410.0200000000004</v>
      </c>
      <c r="Q91" s="19">
        <f>Tabuľka4[[#This Row],[Zisk]]/Tabuľka4[[#This Row],[Trzba]]</f>
        <v>0.12394690576652606</v>
      </c>
      <c r="R91">
        <v>2025</v>
      </c>
      <c r="S91" t="str">
        <f>TEXT(Tabuľka4[[#This Row],[Datum]],"MMMM")</f>
        <v>august</v>
      </c>
    </row>
    <row r="92" spans="1:19" x14ac:dyDescent="0.3">
      <c r="A92" s="2">
        <v>45389</v>
      </c>
      <c r="B92" t="s">
        <v>771</v>
      </c>
      <c r="C92" t="s">
        <v>647</v>
      </c>
      <c r="D92" t="s">
        <v>20</v>
      </c>
      <c r="E92" t="s">
        <v>21</v>
      </c>
      <c r="F92" t="s">
        <v>863</v>
      </c>
      <c r="G92" t="s">
        <v>22</v>
      </c>
      <c r="H92" t="s">
        <v>188</v>
      </c>
      <c r="I92" s="29" t="s">
        <v>772</v>
      </c>
      <c r="J92" t="s">
        <v>88</v>
      </c>
      <c r="K92">
        <v>3</v>
      </c>
      <c r="L92">
        <v>3791</v>
      </c>
      <c r="M92">
        <v>0.14000000000000001</v>
      </c>
      <c r="N92" s="25">
        <v>11373</v>
      </c>
      <c r="O92">
        <v>7683.64</v>
      </c>
      <c r="P92">
        <v>3689.3599999999997</v>
      </c>
      <c r="Q92" s="19">
        <f>Tabuľka4[[#This Row],[Zisk]]/Tabuľka4[[#This Row],[Trzba]]</f>
        <v>0.32439637738503468</v>
      </c>
      <c r="R92">
        <v>2024</v>
      </c>
      <c r="S92" t="str">
        <f>TEXT(Tabuľka4[[#This Row],[Datum]],"MMMM")</f>
        <v>apríl</v>
      </c>
    </row>
    <row r="93" spans="1:19" x14ac:dyDescent="0.3">
      <c r="A93" s="2">
        <v>45531</v>
      </c>
      <c r="B93" t="s">
        <v>677</v>
      </c>
      <c r="C93" t="s">
        <v>57</v>
      </c>
      <c r="D93" t="s">
        <v>49</v>
      </c>
      <c r="E93" t="s">
        <v>0</v>
      </c>
      <c r="F93" t="s">
        <v>863</v>
      </c>
      <c r="G93" t="s">
        <v>58</v>
      </c>
      <c r="H93" t="s">
        <v>71</v>
      </c>
      <c r="I93" s="29" t="s">
        <v>675</v>
      </c>
      <c r="J93" t="s">
        <v>30</v>
      </c>
      <c r="K93">
        <v>8</v>
      </c>
      <c r="L93">
        <v>1415</v>
      </c>
      <c r="M93">
        <v>0.06</v>
      </c>
      <c r="N93" s="25">
        <v>11320</v>
      </c>
      <c r="O93">
        <v>8192.58</v>
      </c>
      <c r="P93">
        <v>3127.42</v>
      </c>
      <c r="Q93" s="19">
        <f>Tabuľka4[[#This Row],[Zisk]]/Tabuľka4[[#This Row],[Trzba]]</f>
        <v>0.27627385159010603</v>
      </c>
      <c r="R93">
        <v>2024</v>
      </c>
      <c r="S93" t="str">
        <f>TEXT(Tabuľka4[[#This Row],[Datum]],"MMMM")</f>
        <v>august</v>
      </c>
    </row>
    <row r="94" spans="1:19" x14ac:dyDescent="0.3">
      <c r="A94" s="2">
        <v>46096</v>
      </c>
      <c r="B94" t="s">
        <v>734</v>
      </c>
      <c r="C94" t="s">
        <v>735</v>
      </c>
      <c r="D94" t="s">
        <v>20</v>
      </c>
      <c r="E94" t="s">
        <v>0</v>
      </c>
      <c r="F94" t="s">
        <v>863</v>
      </c>
      <c r="G94" t="s">
        <v>58</v>
      </c>
      <c r="H94" t="s">
        <v>86</v>
      </c>
      <c r="I94" s="29" t="s">
        <v>709</v>
      </c>
      <c r="J94" t="s">
        <v>30</v>
      </c>
      <c r="K94">
        <v>3</v>
      </c>
      <c r="L94">
        <v>3714</v>
      </c>
      <c r="M94">
        <v>0.06</v>
      </c>
      <c r="N94" s="25">
        <v>11142</v>
      </c>
      <c r="O94">
        <v>6557.51</v>
      </c>
      <c r="P94">
        <v>4584.49</v>
      </c>
      <c r="Q94" s="19">
        <f>Tabuľka4[[#This Row],[Zisk]]/Tabuľka4[[#This Row],[Trzba]]</f>
        <v>0.41146024053132291</v>
      </c>
      <c r="R94">
        <v>2026</v>
      </c>
      <c r="S94" t="str">
        <f>TEXT(Tabuľka4[[#This Row],[Datum]],"MMMM")</f>
        <v>marec</v>
      </c>
    </row>
    <row r="95" spans="1:19" x14ac:dyDescent="0.3">
      <c r="A95" s="2">
        <v>45373</v>
      </c>
      <c r="B95" t="s">
        <v>312</v>
      </c>
      <c r="C95" t="s">
        <v>96</v>
      </c>
      <c r="D95" t="s">
        <v>49</v>
      </c>
      <c r="E95" t="s">
        <v>68</v>
      </c>
      <c r="F95" t="s">
        <v>863</v>
      </c>
      <c r="G95" t="s">
        <v>58</v>
      </c>
      <c r="H95" t="s">
        <v>86</v>
      </c>
      <c r="I95" s="29" t="s">
        <v>310</v>
      </c>
      <c r="J95" t="s">
        <v>30</v>
      </c>
      <c r="K95">
        <v>10</v>
      </c>
      <c r="L95">
        <v>1105</v>
      </c>
      <c r="M95">
        <v>0.11</v>
      </c>
      <c r="N95" s="25">
        <v>11050</v>
      </c>
      <c r="O95">
        <v>7114.54</v>
      </c>
      <c r="P95">
        <v>3935.46</v>
      </c>
      <c r="Q95" s="19">
        <f>Tabuľka4[[#This Row],[Zisk]]/Tabuľka4[[#This Row],[Trzba]]</f>
        <v>0.35615022624434389</v>
      </c>
      <c r="R95">
        <v>2024</v>
      </c>
      <c r="S95" t="str">
        <f>TEXT(Tabuľka4[[#This Row],[Datum]],"MMMM")</f>
        <v>marec</v>
      </c>
    </row>
    <row r="96" spans="1:19" x14ac:dyDescent="0.3">
      <c r="A96" s="2">
        <v>46162</v>
      </c>
      <c r="B96" t="s">
        <v>707</v>
      </c>
      <c r="C96" t="s">
        <v>57</v>
      </c>
      <c r="D96" t="s">
        <v>49</v>
      </c>
      <c r="E96" t="s">
        <v>0</v>
      </c>
      <c r="F96" t="s">
        <v>863</v>
      </c>
      <c r="G96" t="s">
        <v>58</v>
      </c>
      <c r="H96" t="s">
        <v>188</v>
      </c>
      <c r="I96" s="29" t="s">
        <v>688</v>
      </c>
      <c r="J96" t="s">
        <v>63</v>
      </c>
      <c r="K96">
        <v>9</v>
      </c>
      <c r="L96">
        <v>1222</v>
      </c>
      <c r="M96">
        <v>0</v>
      </c>
      <c r="N96" s="25">
        <v>10998</v>
      </c>
      <c r="O96">
        <v>5656.21</v>
      </c>
      <c r="P96">
        <v>5341.79</v>
      </c>
      <c r="Q96" s="19">
        <f>Tabuľka4[[#This Row],[Zisk]]/Tabuľka4[[#This Row],[Trzba]]</f>
        <v>0.48570558283324239</v>
      </c>
      <c r="R96">
        <v>2026</v>
      </c>
      <c r="S96" t="str">
        <f>TEXT(Tabuľka4[[#This Row],[Datum]],"MMMM")</f>
        <v>máj</v>
      </c>
    </row>
    <row r="97" spans="1:19" x14ac:dyDescent="0.3">
      <c r="A97" s="2">
        <v>46103</v>
      </c>
      <c r="B97" t="s">
        <v>583</v>
      </c>
      <c r="C97" t="s">
        <v>261</v>
      </c>
      <c r="D97" t="s">
        <v>20</v>
      </c>
      <c r="E97" t="s">
        <v>68</v>
      </c>
      <c r="F97" t="s">
        <v>863</v>
      </c>
      <c r="G97" t="s">
        <v>43</v>
      </c>
      <c r="H97" t="s">
        <v>71</v>
      </c>
      <c r="I97" s="29" t="s">
        <v>558</v>
      </c>
      <c r="J97" t="s">
        <v>63</v>
      </c>
      <c r="K97">
        <v>2</v>
      </c>
      <c r="L97">
        <v>5483</v>
      </c>
      <c r="M97">
        <v>0.1</v>
      </c>
      <c r="N97" s="25">
        <v>10966</v>
      </c>
      <c r="O97">
        <v>8052.5</v>
      </c>
      <c r="P97">
        <v>2913.5</v>
      </c>
      <c r="Q97" s="19">
        <f>Tabuľka4[[#This Row],[Zisk]]/Tabuľka4[[#This Row],[Trzba]]</f>
        <v>0.26568484406346893</v>
      </c>
      <c r="R97">
        <v>2026</v>
      </c>
      <c r="S97" t="str">
        <f>TEXT(Tabuľka4[[#This Row],[Datum]],"MMMM")</f>
        <v>marec</v>
      </c>
    </row>
    <row r="98" spans="1:19" x14ac:dyDescent="0.3">
      <c r="A98" s="2">
        <v>45668</v>
      </c>
      <c r="B98" t="s">
        <v>41</v>
      </c>
      <c r="C98" t="s">
        <v>42</v>
      </c>
      <c r="D98" t="s">
        <v>20</v>
      </c>
      <c r="E98" t="s">
        <v>21</v>
      </c>
      <c r="F98" t="s">
        <v>863</v>
      </c>
      <c r="G98" t="s">
        <v>43</v>
      </c>
      <c r="H98" t="s">
        <v>23</v>
      </c>
      <c r="I98" s="29" t="s">
        <v>24</v>
      </c>
      <c r="J98" t="s">
        <v>25</v>
      </c>
      <c r="K98">
        <v>2</v>
      </c>
      <c r="L98">
        <v>5461</v>
      </c>
      <c r="M98">
        <v>0.1</v>
      </c>
      <c r="N98" s="25">
        <v>10922</v>
      </c>
      <c r="O98">
        <v>6712.23</v>
      </c>
      <c r="P98">
        <v>4209.7700000000004</v>
      </c>
      <c r="Q98" s="19">
        <f>Tabuľka4[[#This Row],[Zisk]]/Tabuľka4[[#This Row],[Trzba]]</f>
        <v>0.3854394799487274</v>
      </c>
      <c r="R98">
        <v>2025</v>
      </c>
      <c r="S98" t="str">
        <f>TEXT(Tabuľka4[[#This Row],[Datum]],"MMMM")</f>
        <v>január</v>
      </c>
    </row>
    <row r="99" spans="1:19" x14ac:dyDescent="0.3">
      <c r="A99" s="2">
        <v>45635</v>
      </c>
      <c r="B99" t="s">
        <v>566</v>
      </c>
      <c r="C99" t="s">
        <v>37</v>
      </c>
      <c r="D99" t="s">
        <v>20</v>
      </c>
      <c r="E99" t="s">
        <v>21</v>
      </c>
      <c r="F99" t="s">
        <v>863</v>
      </c>
      <c r="G99" t="s">
        <v>22</v>
      </c>
      <c r="H99" t="s">
        <v>71</v>
      </c>
      <c r="I99" s="29" t="s">
        <v>558</v>
      </c>
      <c r="J99" t="s">
        <v>25</v>
      </c>
      <c r="K99">
        <v>2</v>
      </c>
      <c r="L99">
        <v>5443</v>
      </c>
      <c r="M99">
        <v>0.03</v>
      </c>
      <c r="N99" s="25">
        <v>10886</v>
      </c>
      <c r="O99">
        <v>8583.64</v>
      </c>
      <c r="P99">
        <v>2302.3600000000006</v>
      </c>
      <c r="Q99" s="19">
        <f>Tabuľka4[[#This Row],[Zisk]]/Tabuľka4[[#This Row],[Trzba]]</f>
        <v>0.21149733602792584</v>
      </c>
      <c r="R99">
        <v>2024</v>
      </c>
      <c r="S99" t="str">
        <f>TEXT(Tabuľka4[[#This Row],[Datum]],"MMMM")</f>
        <v>december</v>
      </c>
    </row>
    <row r="100" spans="1:19" x14ac:dyDescent="0.3">
      <c r="A100" s="2">
        <v>46023</v>
      </c>
      <c r="B100" t="s">
        <v>175</v>
      </c>
      <c r="C100" t="s">
        <v>176</v>
      </c>
      <c r="D100" t="s">
        <v>20</v>
      </c>
      <c r="E100" t="s">
        <v>0</v>
      </c>
      <c r="F100" t="s">
        <v>863</v>
      </c>
      <c r="G100" t="s">
        <v>43</v>
      </c>
      <c r="H100" t="s">
        <v>23</v>
      </c>
      <c r="I100" s="29" t="s">
        <v>154</v>
      </c>
      <c r="J100" t="s">
        <v>33</v>
      </c>
      <c r="K100">
        <v>7</v>
      </c>
      <c r="L100">
        <v>1531</v>
      </c>
      <c r="M100">
        <v>0.1</v>
      </c>
      <c r="N100" s="25">
        <v>10717</v>
      </c>
      <c r="O100">
        <v>6299.28</v>
      </c>
      <c r="P100">
        <v>4417.72</v>
      </c>
      <c r="Q100" s="19">
        <f>Tabuľka4[[#This Row],[Zisk]]/Tabuľka4[[#This Row],[Trzba]]</f>
        <v>0.41221610525333585</v>
      </c>
      <c r="R100">
        <v>2026</v>
      </c>
      <c r="S100" t="str">
        <f>TEXT(Tabuľka4[[#This Row],[Datum]],"MMMM")</f>
        <v>január</v>
      </c>
    </row>
    <row r="101" spans="1:19" x14ac:dyDescent="0.3">
      <c r="A101" s="2">
        <v>45595</v>
      </c>
      <c r="B101" t="s">
        <v>36</v>
      </c>
      <c r="C101" t="s">
        <v>37</v>
      </c>
      <c r="D101" t="s">
        <v>20</v>
      </c>
      <c r="E101" t="s">
        <v>0</v>
      </c>
      <c r="F101" t="s">
        <v>863</v>
      </c>
      <c r="G101" t="s">
        <v>22</v>
      </c>
      <c r="H101" t="s">
        <v>23</v>
      </c>
      <c r="I101" s="29" t="s">
        <v>24</v>
      </c>
      <c r="J101" t="s">
        <v>38</v>
      </c>
      <c r="K101">
        <v>2</v>
      </c>
      <c r="L101">
        <v>5339</v>
      </c>
      <c r="M101">
        <v>0.03</v>
      </c>
      <c r="N101" s="25">
        <v>10678</v>
      </c>
      <c r="O101">
        <v>8430.85</v>
      </c>
      <c r="P101">
        <v>2247.1499999999996</v>
      </c>
      <c r="Q101" s="19">
        <f>Tabuľka4[[#This Row],[Zisk]]/Tabuľka4[[#This Row],[Trzba]]</f>
        <v>0.21044671286757816</v>
      </c>
      <c r="R101">
        <v>2024</v>
      </c>
      <c r="S101" t="str">
        <f>TEXT(Tabuľka4[[#This Row],[Datum]],"MMMM")</f>
        <v>október</v>
      </c>
    </row>
    <row r="102" spans="1:19" x14ac:dyDescent="0.3">
      <c r="A102" s="2">
        <v>45632</v>
      </c>
      <c r="B102" t="s">
        <v>93</v>
      </c>
      <c r="C102" t="s">
        <v>94</v>
      </c>
      <c r="D102" t="s">
        <v>20</v>
      </c>
      <c r="E102" t="s">
        <v>0</v>
      </c>
      <c r="F102" t="s">
        <v>863</v>
      </c>
      <c r="G102" t="s">
        <v>22</v>
      </c>
      <c r="H102" t="s">
        <v>86</v>
      </c>
      <c r="I102" s="29" t="s">
        <v>87</v>
      </c>
      <c r="J102" t="s">
        <v>51</v>
      </c>
      <c r="K102">
        <v>2</v>
      </c>
      <c r="L102">
        <v>5312</v>
      </c>
      <c r="M102">
        <v>0.13</v>
      </c>
      <c r="N102" s="25">
        <v>10624</v>
      </c>
      <c r="O102">
        <v>5479.64</v>
      </c>
      <c r="P102">
        <v>5144.3599999999997</v>
      </c>
      <c r="Q102" s="19">
        <f>Tabuľka4[[#This Row],[Zisk]]/Tabuľka4[[#This Row],[Trzba]]</f>
        <v>0.48422063253012043</v>
      </c>
      <c r="R102">
        <v>2024</v>
      </c>
      <c r="S102" t="str">
        <f>TEXT(Tabuľka4[[#This Row],[Datum]],"MMMM")</f>
        <v>december</v>
      </c>
    </row>
    <row r="103" spans="1:19" x14ac:dyDescent="0.3">
      <c r="A103" s="2">
        <v>45341</v>
      </c>
      <c r="B103" t="s">
        <v>710</v>
      </c>
      <c r="C103" t="s">
        <v>261</v>
      </c>
      <c r="D103" t="s">
        <v>20</v>
      </c>
      <c r="E103" t="s">
        <v>21</v>
      </c>
      <c r="F103" t="s">
        <v>863</v>
      </c>
      <c r="G103" t="s">
        <v>22</v>
      </c>
      <c r="H103" t="s">
        <v>86</v>
      </c>
      <c r="I103" s="29" t="s">
        <v>709</v>
      </c>
      <c r="J103" t="s">
        <v>46</v>
      </c>
      <c r="K103">
        <v>2</v>
      </c>
      <c r="L103">
        <v>5281</v>
      </c>
      <c r="M103">
        <v>0.05</v>
      </c>
      <c r="N103" s="25">
        <v>10562</v>
      </c>
      <c r="O103">
        <v>6836.96</v>
      </c>
      <c r="P103">
        <v>3725.04</v>
      </c>
      <c r="Q103" s="19">
        <f>Tabuľka4[[#This Row],[Zisk]]/Tabuľka4[[#This Row],[Trzba]]</f>
        <v>0.35268320393864799</v>
      </c>
      <c r="R103">
        <v>2024</v>
      </c>
      <c r="S103" t="str">
        <f>TEXT(Tabuľka4[[#This Row],[Datum]],"MMMM")</f>
        <v>február</v>
      </c>
    </row>
    <row r="104" spans="1:19" x14ac:dyDescent="0.3">
      <c r="A104" s="2">
        <v>45764</v>
      </c>
      <c r="B104" t="s">
        <v>233</v>
      </c>
      <c r="C104" t="s">
        <v>96</v>
      </c>
      <c r="D104" t="s">
        <v>49</v>
      </c>
      <c r="E104" t="s">
        <v>50</v>
      </c>
      <c r="F104" t="s">
        <v>863</v>
      </c>
      <c r="G104" t="s">
        <v>43</v>
      </c>
      <c r="H104" t="s">
        <v>71</v>
      </c>
      <c r="I104" s="29" t="s">
        <v>229</v>
      </c>
      <c r="J104" t="s">
        <v>33</v>
      </c>
      <c r="K104">
        <v>7</v>
      </c>
      <c r="L104">
        <v>1507</v>
      </c>
      <c r="M104">
        <v>0.03</v>
      </c>
      <c r="N104" s="25">
        <v>10549</v>
      </c>
      <c r="O104">
        <v>8552.2900000000009</v>
      </c>
      <c r="P104">
        <v>1996.7099999999991</v>
      </c>
      <c r="Q104" s="19">
        <f>Tabuľka4[[#This Row],[Zisk]]/Tabuľka4[[#This Row],[Trzba]]</f>
        <v>0.18927955256422402</v>
      </c>
      <c r="R104">
        <v>2025</v>
      </c>
      <c r="S104" t="str">
        <f>TEXT(Tabuľka4[[#This Row],[Datum]],"MMMM")</f>
        <v>apríl</v>
      </c>
    </row>
    <row r="105" spans="1:19" x14ac:dyDescent="0.3">
      <c r="A105" s="2">
        <v>45866</v>
      </c>
      <c r="B105" t="s">
        <v>680</v>
      </c>
      <c r="C105" t="s">
        <v>48</v>
      </c>
      <c r="D105" t="s">
        <v>49</v>
      </c>
      <c r="E105" t="s">
        <v>21</v>
      </c>
      <c r="F105" t="s">
        <v>863</v>
      </c>
      <c r="G105" t="s">
        <v>58</v>
      </c>
      <c r="H105" t="s">
        <v>71</v>
      </c>
      <c r="I105" s="29" t="s">
        <v>675</v>
      </c>
      <c r="J105" t="s">
        <v>46</v>
      </c>
      <c r="K105">
        <v>6</v>
      </c>
      <c r="L105">
        <v>1733</v>
      </c>
      <c r="M105">
        <v>0.22</v>
      </c>
      <c r="N105" s="25">
        <v>10398</v>
      </c>
      <c r="O105">
        <v>6363.74</v>
      </c>
      <c r="P105">
        <v>4034.26</v>
      </c>
      <c r="Q105" s="19">
        <f>Tabuľka4[[#This Row],[Zisk]]/Tabuľka4[[#This Row],[Trzba]]</f>
        <v>0.38798422773610314</v>
      </c>
      <c r="R105">
        <v>2025</v>
      </c>
      <c r="S105" t="str">
        <f>TEXT(Tabuľka4[[#This Row],[Datum]],"MMMM")</f>
        <v>júl</v>
      </c>
    </row>
    <row r="106" spans="1:19" x14ac:dyDescent="0.3">
      <c r="A106" s="2">
        <v>45582</v>
      </c>
      <c r="B106" t="s">
        <v>211</v>
      </c>
      <c r="C106" t="s">
        <v>212</v>
      </c>
      <c r="D106" t="s">
        <v>20</v>
      </c>
      <c r="E106" t="s">
        <v>68</v>
      </c>
      <c r="F106" t="s">
        <v>863</v>
      </c>
      <c r="G106" t="s">
        <v>22</v>
      </c>
      <c r="H106" t="s">
        <v>23</v>
      </c>
      <c r="I106" s="29" t="s">
        <v>202</v>
      </c>
      <c r="J106" t="s">
        <v>88</v>
      </c>
      <c r="K106">
        <v>1</v>
      </c>
      <c r="L106">
        <v>9989</v>
      </c>
      <c r="M106">
        <v>0.06</v>
      </c>
      <c r="N106" s="25">
        <v>9989</v>
      </c>
      <c r="O106">
        <v>7151.46</v>
      </c>
      <c r="P106">
        <v>2837.54</v>
      </c>
      <c r="Q106" s="19">
        <f>Tabuľka4[[#This Row],[Zisk]]/Tabuľka4[[#This Row],[Trzba]]</f>
        <v>0.28406647312043248</v>
      </c>
      <c r="R106">
        <v>2024</v>
      </c>
      <c r="S106" t="str">
        <f>TEXT(Tabuľka4[[#This Row],[Datum]],"MMMM")</f>
        <v>október</v>
      </c>
    </row>
    <row r="107" spans="1:19" x14ac:dyDescent="0.3">
      <c r="A107" s="2">
        <v>45636</v>
      </c>
      <c r="B107" t="s">
        <v>723</v>
      </c>
      <c r="C107" t="s">
        <v>396</v>
      </c>
      <c r="D107" t="s">
        <v>20</v>
      </c>
      <c r="E107" t="s">
        <v>68</v>
      </c>
      <c r="F107" t="s">
        <v>863</v>
      </c>
      <c r="G107" t="s">
        <v>22</v>
      </c>
      <c r="H107" t="s">
        <v>86</v>
      </c>
      <c r="I107" s="29" t="s">
        <v>709</v>
      </c>
      <c r="J107" t="s">
        <v>25</v>
      </c>
      <c r="K107">
        <v>2</v>
      </c>
      <c r="L107">
        <v>4974</v>
      </c>
      <c r="M107">
        <v>0.17</v>
      </c>
      <c r="N107" s="25">
        <v>9948</v>
      </c>
      <c r="O107">
        <v>5544.42</v>
      </c>
      <c r="P107">
        <v>4403.58</v>
      </c>
      <c r="Q107" s="19">
        <f>Tabuľka4[[#This Row],[Zisk]]/Tabuľka4[[#This Row],[Trzba]]</f>
        <v>0.44265983112183355</v>
      </c>
      <c r="R107">
        <v>2024</v>
      </c>
      <c r="S107" t="str">
        <f>TEXT(Tabuľka4[[#This Row],[Datum]],"MMMM")</f>
        <v>december</v>
      </c>
    </row>
    <row r="108" spans="1:19" x14ac:dyDescent="0.3">
      <c r="A108" s="2">
        <v>45700</v>
      </c>
      <c r="B108" t="s">
        <v>168</v>
      </c>
      <c r="C108" t="s">
        <v>132</v>
      </c>
      <c r="D108" t="s">
        <v>49</v>
      </c>
      <c r="E108" t="s">
        <v>0</v>
      </c>
      <c r="F108" t="s">
        <v>863</v>
      </c>
      <c r="G108" t="s">
        <v>43</v>
      </c>
      <c r="H108" t="s">
        <v>23</v>
      </c>
      <c r="I108" s="29" t="s">
        <v>154</v>
      </c>
      <c r="J108" t="s">
        <v>46</v>
      </c>
      <c r="K108">
        <v>6</v>
      </c>
      <c r="L108">
        <v>1657</v>
      </c>
      <c r="M108">
        <v>0.09</v>
      </c>
      <c r="N108" s="25">
        <v>9942</v>
      </c>
      <c r="O108">
        <v>6249.61</v>
      </c>
      <c r="P108">
        <v>3692.3900000000003</v>
      </c>
      <c r="Q108" s="19">
        <f>Tabuľka4[[#This Row],[Zisk]]/Tabuľka4[[#This Row],[Trzba]]</f>
        <v>0.37139307986320663</v>
      </c>
      <c r="R108">
        <v>2025</v>
      </c>
      <c r="S108" t="str">
        <f>TEXT(Tabuľka4[[#This Row],[Datum]],"MMMM")</f>
        <v>február</v>
      </c>
    </row>
    <row r="109" spans="1:19" x14ac:dyDescent="0.3">
      <c r="A109" s="2">
        <v>45756</v>
      </c>
      <c r="B109" t="s">
        <v>696</v>
      </c>
      <c r="C109" t="s">
        <v>132</v>
      </c>
      <c r="D109" t="s">
        <v>49</v>
      </c>
      <c r="E109" t="s">
        <v>21</v>
      </c>
      <c r="F109" t="s">
        <v>863</v>
      </c>
      <c r="G109" t="s">
        <v>58</v>
      </c>
      <c r="H109" t="s">
        <v>188</v>
      </c>
      <c r="I109" s="29" t="s">
        <v>688</v>
      </c>
      <c r="J109" t="s">
        <v>38</v>
      </c>
      <c r="K109">
        <v>9</v>
      </c>
      <c r="L109">
        <v>1092</v>
      </c>
      <c r="M109">
        <v>7.0000000000000007E-2</v>
      </c>
      <c r="N109" s="25">
        <v>9828</v>
      </c>
      <c r="O109">
        <v>5672.05</v>
      </c>
      <c r="P109">
        <v>4155.95</v>
      </c>
      <c r="Q109" s="19">
        <f>Tabuľka4[[#This Row],[Zisk]]/Tabuľka4[[#This Row],[Trzba]]</f>
        <v>0.42286833536833535</v>
      </c>
      <c r="R109">
        <v>2025</v>
      </c>
      <c r="S109" t="str">
        <f>TEXT(Tabuľka4[[#This Row],[Datum]],"MMMM")</f>
        <v>apríl</v>
      </c>
    </row>
    <row r="110" spans="1:19" x14ac:dyDescent="0.3">
      <c r="A110" s="2">
        <v>45834</v>
      </c>
      <c r="B110" t="s">
        <v>353</v>
      </c>
      <c r="C110" t="s">
        <v>354</v>
      </c>
      <c r="D110" t="s">
        <v>20</v>
      </c>
      <c r="E110" t="s">
        <v>68</v>
      </c>
      <c r="F110" t="s">
        <v>863</v>
      </c>
      <c r="G110" t="s">
        <v>22</v>
      </c>
      <c r="H110" t="s">
        <v>71</v>
      </c>
      <c r="I110" s="29" t="s">
        <v>333</v>
      </c>
      <c r="J110" t="s">
        <v>33</v>
      </c>
      <c r="K110">
        <v>4</v>
      </c>
      <c r="L110">
        <v>2451</v>
      </c>
      <c r="M110">
        <v>0.15</v>
      </c>
      <c r="N110" s="25">
        <v>9804</v>
      </c>
      <c r="O110">
        <v>6914.57</v>
      </c>
      <c r="P110">
        <v>2889.4300000000003</v>
      </c>
      <c r="Q110" s="19">
        <f>Tabuľka4[[#This Row],[Zisk]]/Tabuľka4[[#This Row],[Trzba]]</f>
        <v>0.29471950224398208</v>
      </c>
      <c r="R110">
        <v>2025</v>
      </c>
      <c r="S110" t="str">
        <f>TEXT(Tabuľka4[[#This Row],[Datum]],"MMMM")</f>
        <v>jún</v>
      </c>
    </row>
    <row r="111" spans="1:19" x14ac:dyDescent="0.3">
      <c r="A111" s="2">
        <v>45649</v>
      </c>
      <c r="B111" t="s">
        <v>162</v>
      </c>
      <c r="C111" t="s">
        <v>163</v>
      </c>
      <c r="D111" t="s">
        <v>20</v>
      </c>
      <c r="E111" t="s">
        <v>68</v>
      </c>
      <c r="F111" t="s">
        <v>863</v>
      </c>
      <c r="G111" t="s">
        <v>22</v>
      </c>
      <c r="H111" t="s">
        <v>23</v>
      </c>
      <c r="I111" s="29" t="s">
        <v>154</v>
      </c>
      <c r="J111" t="s">
        <v>46</v>
      </c>
      <c r="K111">
        <v>5</v>
      </c>
      <c r="L111">
        <v>1956</v>
      </c>
      <c r="M111">
        <v>0.02</v>
      </c>
      <c r="N111" s="25">
        <v>9780</v>
      </c>
      <c r="O111">
        <v>6374.6</v>
      </c>
      <c r="P111">
        <v>3405.3999999999996</v>
      </c>
      <c r="Q111" s="19">
        <f>Tabuľka4[[#This Row],[Zisk]]/Tabuľka4[[#This Row],[Trzba]]</f>
        <v>0.34820040899795496</v>
      </c>
      <c r="R111">
        <v>2024</v>
      </c>
      <c r="S111" t="str">
        <f>TEXT(Tabuľka4[[#This Row],[Datum]],"MMMM")</f>
        <v>december</v>
      </c>
    </row>
    <row r="112" spans="1:19" x14ac:dyDescent="0.3">
      <c r="A112" s="2">
        <v>45504</v>
      </c>
      <c r="B112" t="s">
        <v>716</v>
      </c>
      <c r="C112" t="s">
        <v>717</v>
      </c>
      <c r="D112" t="s">
        <v>20</v>
      </c>
      <c r="E112" t="s">
        <v>21</v>
      </c>
      <c r="F112" t="s">
        <v>863</v>
      </c>
      <c r="G112" t="s">
        <v>22</v>
      </c>
      <c r="H112" t="s">
        <v>86</v>
      </c>
      <c r="I112" s="29" t="s">
        <v>709</v>
      </c>
      <c r="J112" t="s">
        <v>38</v>
      </c>
      <c r="K112">
        <v>2</v>
      </c>
      <c r="L112">
        <v>4827</v>
      </c>
      <c r="M112">
        <v>0.01</v>
      </c>
      <c r="N112" s="25">
        <v>9654</v>
      </c>
      <c r="O112">
        <v>6572.32</v>
      </c>
      <c r="P112">
        <v>3081.6800000000003</v>
      </c>
      <c r="Q112" s="19">
        <f>Tabuľka4[[#This Row],[Zisk]]/Tabuľka4[[#This Row],[Trzba]]</f>
        <v>0.31921276154961675</v>
      </c>
      <c r="R112">
        <v>2024</v>
      </c>
      <c r="S112" t="str">
        <f>TEXT(Tabuľka4[[#This Row],[Datum]],"MMMM")</f>
        <v>júl</v>
      </c>
    </row>
    <row r="113" spans="1:19" x14ac:dyDescent="0.3">
      <c r="A113" s="2">
        <v>45609</v>
      </c>
      <c r="B113" t="s">
        <v>321</v>
      </c>
      <c r="C113" t="s">
        <v>124</v>
      </c>
      <c r="D113" t="s">
        <v>49</v>
      </c>
      <c r="E113" t="s">
        <v>0</v>
      </c>
      <c r="F113" t="s">
        <v>863</v>
      </c>
      <c r="G113" t="s">
        <v>58</v>
      </c>
      <c r="H113" t="s">
        <v>86</v>
      </c>
      <c r="I113" s="29" t="s">
        <v>310</v>
      </c>
      <c r="J113" t="s">
        <v>38</v>
      </c>
      <c r="K113">
        <v>11</v>
      </c>
      <c r="L113">
        <v>872</v>
      </c>
      <c r="M113">
        <v>0.21</v>
      </c>
      <c r="N113" s="25">
        <v>9592</v>
      </c>
      <c r="O113">
        <v>5932.62</v>
      </c>
      <c r="P113">
        <v>3659.38</v>
      </c>
      <c r="Q113" s="19">
        <f>Tabuľka4[[#This Row],[Zisk]]/Tabuľka4[[#This Row],[Trzba]]</f>
        <v>0.38150333611342785</v>
      </c>
      <c r="R113">
        <v>2024</v>
      </c>
      <c r="S113" t="str">
        <f>TEXT(Tabuľka4[[#This Row],[Datum]],"MMMM")</f>
        <v>november</v>
      </c>
    </row>
    <row r="114" spans="1:19" x14ac:dyDescent="0.3">
      <c r="A114" s="2">
        <v>46018</v>
      </c>
      <c r="B114" t="s">
        <v>684</v>
      </c>
      <c r="C114" t="s">
        <v>521</v>
      </c>
      <c r="D114" t="s">
        <v>20</v>
      </c>
      <c r="E114" t="s">
        <v>0</v>
      </c>
      <c r="F114" t="s">
        <v>863</v>
      </c>
      <c r="G114" t="s">
        <v>22</v>
      </c>
      <c r="H114" t="s">
        <v>71</v>
      </c>
      <c r="I114" s="29" t="s">
        <v>675</v>
      </c>
      <c r="J114" t="s">
        <v>88</v>
      </c>
      <c r="K114">
        <v>3</v>
      </c>
      <c r="L114">
        <v>3183</v>
      </c>
      <c r="M114">
        <v>0.18</v>
      </c>
      <c r="N114" s="25">
        <v>9549</v>
      </c>
      <c r="O114">
        <v>6114.65</v>
      </c>
      <c r="P114">
        <v>3434.3500000000004</v>
      </c>
      <c r="Q114" s="19">
        <f>Tabuľka4[[#This Row],[Zisk]]/Tabuľka4[[#This Row],[Trzba]]</f>
        <v>0.35965546130484871</v>
      </c>
      <c r="R114">
        <v>2025</v>
      </c>
      <c r="S114" t="str">
        <f>TEXT(Tabuľka4[[#This Row],[Datum]],"MMMM")</f>
        <v>december</v>
      </c>
    </row>
    <row r="115" spans="1:19" x14ac:dyDescent="0.3">
      <c r="A115" s="2">
        <v>46104</v>
      </c>
      <c r="B115" t="s">
        <v>61</v>
      </c>
      <c r="C115" t="s">
        <v>62</v>
      </c>
      <c r="D115" t="s">
        <v>20</v>
      </c>
      <c r="E115" t="s">
        <v>0</v>
      </c>
      <c r="F115" t="s">
        <v>863</v>
      </c>
      <c r="G115" t="s">
        <v>58</v>
      </c>
      <c r="H115" t="s">
        <v>23</v>
      </c>
      <c r="I115" s="29" t="s">
        <v>24</v>
      </c>
      <c r="J115" t="s">
        <v>63</v>
      </c>
      <c r="K115">
        <v>2</v>
      </c>
      <c r="L115">
        <v>4638</v>
      </c>
      <c r="M115">
        <v>0.11</v>
      </c>
      <c r="N115" s="25">
        <v>9276</v>
      </c>
      <c r="O115">
        <v>5595.88</v>
      </c>
      <c r="P115">
        <v>3680.12</v>
      </c>
      <c r="Q115" s="19">
        <f>Tabuľka4[[#This Row],[Zisk]]/Tabuľka4[[#This Row],[Trzba]]</f>
        <v>0.39673566192324278</v>
      </c>
      <c r="R115">
        <v>2026</v>
      </c>
      <c r="S115" t="str">
        <f>TEXT(Tabuľka4[[#This Row],[Datum]],"MMMM")</f>
        <v>marec</v>
      </c>
    </row>
    <row r="116" spans="1:19" x14ac:dyDescent="0.3">
      <c r="A116" s="2">
        <v>45874</v>
      </c>
      <c r="B116" t="s">
        <v>812</v>
      </c>
      <c r="C116" t="s">
        <v>130</v>
      </c>
      <c r="D116" t="s">
        <v>20</v>
      </c>
      <c r="E116" t="s">
        <v>68</v>
      </c>
      <c r="F116" t="s">
        <v>863</v>
      </c>
      <c r="G116" t="s">
        <v>22</v>
      </c>
      <c r="H116" t="s">
        <v>188</v>
      </c>
      <c r="I116" s="29" t="s">
        <v>791</v>
      </c>
      <c r="J116" t="s">
        <v>51</v>
      </c>
      <c r="K116">
        <v>7</v>
      </c>
      <c r="L116">
        <v>1290</v>
      </c>
      <c r="M116">
        <v>0</v>
      </c>
      <c r="N116" s="25">
        <v>9030</v>
      </c>
      <c r="O116">
        <v>5887.77</v>
      </c>
      <c r="P116">
        <v>3142.2299999999996</v>
      </c>
      <c r="Q116" s="19">
        <f>Tabuľka4[[#This Row],[Zisk]]/Tabuľka4[[#This Row],[Trzba]]</f>
        <v>0.34797674418604646</v>
      </c>
      <c r="R116">
        <v>2025</v>
      </c>
      <c r="S116" t="str">
        <f>TEXT(Tabuľka4[[#This Row],[Datum]],"MMMM")</f>
        <v>august</v>
      </c>
    </row>
    <row r="117" spans="1:19" x14ac:dyDescent="0.3">
      <c r="A117" s="2">
        <v>45679</v>
      </c>
      <c r="B117" t="s">
        <v>97</v>
      </c>
      <c r="C117" t="s">
        <v>98</v>
      </c>
      <c r="D117" t="s">
        <v>20</v>
      </c>
      <c r="E117" t="s">
        <v>68</v>
      </c>
      <c r="F117" t="s">
        <v>863</v>
      </c>
      <c r="G117" t="s">
        <v>22</v>
      </c>
      <c r="H117" t="s">
        <v>86</v>
      </c>
      <c r="I117" s="29" t="s">
        <v>87</v>
      </c>
      <c r="J117" t="s">
        <v>33</v>
      </c>
      <c r="K117">
        <v>2</v>
      </c>
      <c r="L117">
        <v>4493</v>
      </c>
      <c r="M117">
        <v>0.04</v>
      </c>
      <c r="N117" s="25">
        <v>8986</v>
      </c>
      <c r="O117">
        <v>6906.02</v>
      </c>
      <c r="P117">
        <v>2079.9799999999996</v>
      </c>
      <c r="Q117" s="19">
        <f>Tabuľka4[[#This Row],[Zisk]]/Tabuľka4[[#This Row],[Trzba]]</f>
        <v>0.23146895170264853</v>
      </c>
      <c r="R117">
        <v>2025</v>
      </c>
      <c r="S117" t="str">
        <f>TEXT(Tabuľka4[[#This Row],[Datum]],"MMMM")</f>
        <v>január</v>
      </c>
    </row>
    <row r="118" spans="1:19" x14ac:dyDescent="0.3">
      <c r="A118" s="2">
        <v>46018</v>
      </c>
      <c r="B118" t="s">
        <v>578</v>
      </c>
      <c r="C118" t="s">
        <v>579</v>
      </c>
      <c r="D118" t="s">
        <v>20</v>
      </c>
      <c r="E118" t="s">
        <v>68</v>
      </c>
      <c r="F118" t="s">
        <v>863</v>
      </c>
      <c r="G118" t="s">
        <v>43</v>
      </c>
      <c r="H118" t="s">
        <v>71</v>
      </c>
      <c r="I118" s="29" t="s">
        <v>558</v>
      </c>
      <c r="J118" t="s">
        <v>88</v>
      </c>
      <c r="K118">
        <v>2</v>
      </c>
      <c r="L118">
        <v>4482</v>
      </c>
      <c r="M118">
        <v>0.18</v>
      </c>
      <c r="N118" s="25">
        <v>8964</v>
      </c>
      <c r="O118">
        <v>5820.98</v>
      </c>
      <c r="P118">
        <v>3143.0200000000004</v>
      </c>
      <c r="Q118" s="19">
        <f>Tabuľka4[[#This Row],[Zisk]]/Tabuľka4[[#This Row],[Trzba]]</f>
        <v>0.3506269522534583</v>
      </c>
      <c r="R118">
        <v>2025</v>
      </c>
      <c r="S118" t="str">
        <f>TEXT(Tabuľka4[[#This Row],[Datum]],"MMMM")</f>
        <v>december</v>
      </c>
    </row>
    <row r="119" spans="1:19" x14ac:dyDescent="0.3">
      <c r="A119" s="2">
        <v>45434</v>
      </c>
      <c r="B119" t="s">
        <v>203</v>
      </c>
      <c r="C119" t="s">
        <v>204</v>
      </c>
      <c r="D119" t="s">
        <v>20</v>
      </c>
      <c r="E119" t="s">
        <v>0</v>
      </c>
      <c r="F119" t="s">
        <v>863</v>
      </c>
      <c r="G119" t="s">
        <v>22</v>
      </c>
      <c r="H119" t="s">
        <v>23</v>
      </c>
      <c r="I119" s="29" t="s">
        <v>202</v>
      </c>
      <c r="J119" t="s">
        <v>38</v>
      </c>
      <c r="K119">
        <v>1</v>
      </c>
      <c r="L119">
        <v>8948</v>
      </c>
      <c r="M119">
        <v>0.08</v>
      </c>
      <c r="N119" s="25">
        <v>8948</v>
      </c>
      <c r="O119">
        <v>5585.09</v>
      </c>
      <c r="P119">
        <v>3362.91</v>
      </c>
      <c r="Q119" s="19">
        <f>Tabuľka4[[#This Row],[Zisk]]/Tabuľka4[[#This Row],[Trzba]]</f>
        <v>0.37582811801519889</v>
      </c>
      <c r="R119">
        <v>2024</v>
      </c>
      <c r="S119" t="str">
        <f>TEXT(Tabuľka4[[#This Row],[Datum]],"MMMM")</f>
        <v>máj</v>
      </c>
    </row>
    <row r="120" spans="1:19" x14ac:dyDescent="0.3">
      <c r="A120" s="2">
        <v>46147</v>
      </c>
      <c r="B120" t="s">
        <v>736</v>
      </c>
      <c r="C120" t="s">
        <v>268</v>
      </c>
      <c r="D120" t="s">
        <v>20</v>
      </c>
      <c r="E120" t="s">
        <v>68</v>
      </c>
      <c r="F120" t="s">
        <v>863</v>
      </c>
      <c r="G120" t="s">
        <v>43</v>
      </c>
      <c r="H120" t="s">
        <v>86</v>
      </c>
      <c r="I120" s="29" t="s">
        <v>709</v>
      </c>
      <c r="J120" t="s">
        <v>46</v>
      </c>
      <c r="K120">
        <v>2</v>
      </c>
      <c r="L120">
        <v>4444</v>
      </c>
      <c r="M120">
        <v>0.05</v>
      </c>
      <c r="N120" s="25">
        <v>8888</v>
      </c>
      <c r="O120">
        <v>6094.32</v>
      </c>
      <c r="P120">
        <v>2793.6800000000003</v>
      </c>
      <c r="Q120" s="19">
        <f>Tabuľka4[[#This Row],[Zisk]]/Tabuľka4[[#This Row],[Trzba]]</f>
        <v>0.31432043204320437</v>
      </c>
      <c r="R120">
        <v>2026</v>
      </c>
      <c r="S120" t="str">
        <f>TEXT(Tabuľka4[[#This Row],[Datum]],"MMMM")</f>
        <v>máj</v>
      </c>
    </row>
    <row r="121" spans="1:19" x14ac:dyDescent="0.3">
      <c r="A121" s="2">
        <v>46085</v>
      </c>
      <c r="B121" t="s">
        <v>397</v>
      </c>
      <c r="C121" t="s">
        <v>185</v>
      </c>
      <c r="D121" t="s">
        <v>49</v>
      </c>
      <c r="E121" t="s">
        <v>0</v>
      </c>
      <c r="F121" t="s">
        <v>863</v>
      </c>
      <c r="G121" t="s">
        <v>43</v>
      </c>
      <c r="H121" t="s">
        <v>71</v>
      </c>
      <c r="I121" s="29" t="s">
        <v>367</v>
      </c>
      <c r="J121" t="s">
        <v>88</v>
      </c>
      <c r="K121">
        <v>7</v>
      </c>
      <c r="L121">
        <v>1264</v>
      </c>
      <c r="M121">
        <v>0.04</v>
      </c>
      <c r="N121" s="25">
        <v>8848</v>
      </c>
      <c r="O121">
        <v>6546.28</v>
      </c>
      <c r="P121">
        <v>2301.7200000000003</v>
      </c>
      <c r="Q121" s="19">
        <f>Tabuľka4[[#This Row],[Zisk]]/Tabuľka4[[#This Row],[Trzba]]</f>
        <v>0.26014014466546115</v>
      </c>
      <c r="R121">
        <v>2026</v>
      </c>
      <c r="S121" t="str">
        <f>TEXT(Tabuľka4[[#This Row],[Datum]],"MMMM")</f>
        <v>marec</v>
      </c>
    </row>
    <row r="122" spans="1:19" x14ac:dyDescent="0.3">
      <c r="A122" s="2">
        <v>45975</v>
      </c>
      <c r="B122" t="s">
        <v>360</v>
      </c>
      <c r="C122" t="s">
        <v>57</v>
      </c>
      <c r="D122" t="s">
        <v>49</v>
      </c>
      <c r="E122" t="s">
        <v>0</v>
      </c>
      <c r="F122" t="s">
        <v>863</v>
      </c>
      <c r="G122" t="s">
        <v>58</v>
      </c>
      <c r="H122" t="s">
        <v>71</v>
      </c>
      <c r="I122" s="29" t="s">
        <v>333</v>
      </c>
      <c r="J122" t="s">
        <v>38</v>
      </c>
      <c r="K122">
        <v>6</v>
      </c>
      <c r="L122">
        <v>1458</v>
      </c>
      <c r="M122">
        <v>0.18</v>
      </c>
      <c r="N122" s="25">
        <v>8748</v>
      </c>
      <c r="O122">
        <v>5940.39</v>
      </c>
      <c r="P122">
        <v>2807.6099999999997</v>
      </c>
      <c r="Q122" s="19">
        <f>Tabuľka4[[#This Row],[Zisk]]/Tabuľka4[[#This Row],[Trzba]]</f>
        <v>0.32094307270233191</v>
      </c>
      <c r="R122">
        <v>2025</v>
      </c>
      <c r="S122" t="str">
        <f>TEXT(Tabuľka4[[#This Row],[Datum]],"MMMM")</f>
        <v>november</v>
      </c>
    </row>
    <row r="123" spans="1:19" x14ac:dyDescent="0.3">
      <c r="A123" s="2">
        <v>45647</v>
      </c>
      <c r="B123" t="s">
        <v>776</v>
      </c>
      <c r="C123" t="s">
        <v>235</v>
      </c>
      <c r="D123" t="s">
        <v>49</v>
      </c>
      <c r="E123" t="s">
        <v>0</v>
      </c>
      <c r="F123" t="s">
        <v>863</v>
      </c>
      <c r="G123" t="s">
        <v>58</v>
      </c>
      <c r="H123" t="s">
        <v>188</v>
      </c>
      <c r="I123" s="29" t="s">
        <v>772</v>
      </c>
      <c r="J123" t="s">
        <v>63</v>
      </c>
      <c r="K123">
        <v>5</v>
      </c>
      <c r="L123">
        <v>1748</v>
      </c>
      <c r="M123">
        <v>0.03</v>
      </c>
      <c r="N123" s="25">
        <v>8740</v>
      </c>
      <c r="O123">
        <v>6014.31</v>
      </c>
      <c r="P123">
        <v>2725.6899999999996</v>
      </c>
      <c r="Q123" s="19">
        <f>Tabuľka4[[#This Row],[Zisk]]/Tabuľka4[[#This Row],[Trzba]]</f>
        <v>0.3118638443935926</v>
      </c>
      <c r="R123">
        <v>2024</v>
      </c>
      <c r="S123" t="str">
        <f>TEXT(Tabuľka4[[#This Row],[Datum]],"MMMM")</f>
        <v>december</v>
      </c>
    </row>
    <row r="124" spans="1:19" x14ac:dyDescent="0.3">
      <c r="A124" s="2">
        <v>45925</v>
      </c>
      <c r="B124" t="s">
        <v>497</v>
      </c>
      <c r="C124" t="s">
        <v>185</v>
      </c>
      <c r="D124" t="s">
        <v>49</v>
      </c>
      <c r="E124" t="s">
        <v>0</v>
      </c>
      <c r="F124" t="s">
        <v>863</v>
      </c>
      <c r="G124" t="s">
        <v>58</v>
      </c>
      <c r="H124" t="s">
        <v>86</v>
      </c>
      <c r="I124" s="29" t="s">
        <v>483</v>
      </c>
      <c r="J124" t="s">
        <v>33</v>
      </c>
      <c r="K124">
        <v>9</v>
      </c>
      <c r="L124">
        <v>959</v>
      </c>
      <c r="M124">
        <v>0.04</v>
      </c>
      <c r="N124" s="25">
        <v>8631</v>
      </c>
      <c r="O124">
        <v>6801.51</v>
      </c>
      <c r="P124">
        <v>1829.4899999999998</v>
      </c>
      <c r="Q124" s="19">
        <f>Tabuľka4[[#This Row],[Zisk]]/Tabuľka4[[#This Row],[Trzba]]</f>
        <v>0.21196732707681609</v>
      </c>
      <c r="R124">
        <v>2025</v>
      </c>
      <c r="S124" t="str">
        <f>TEXT(Tabuľka4[[#This Row],[Datum]],"MMMM")</f>
        <v>september</v>
      </c>
    </row>
    <row r="125" spans="1:19" x14ac:dyDescent="0.3">
      <c r="A125" s="2">
        <v>45330</v>
      </c>
      <c r="B125" t="s">
        <v>18</v>
      </c>
      <c r="C125" t="s">
        <v>19</v>
      </c>
      <c r="D125" t="s">
        <v>20</v>
      </c>
      <c r="E125" t="s">
        <v>21</v>
      </c>
      <c r="F125" t="s">
        <v>863</v>
      </c>
      <c r="G125" t="s">
        <v>22</v>
      </c>
      <c r="H125" t="s">
        <v>23</v>
      </c>
      <c r="I125" s="29" t="s">
        <v>24</v>
      </c>
      <c r="J125" t="s">
        <v>25</v>
      </c>
      <c r="K125">
        <v>2</v>
      </c>
      <c r="L125">
        <v>4301</v>
      </c>
      <c r="M125">
        <v>0.08</v>
      </c>
      <c r="N125" s="25">
        <v>8602</v>
      </c>
      <c r="O125">
        <v>4749.22</v>
      </c>
      <c r="P125">
        <v>3852.7799999999997</v>
      </c>
      <c r="Q125" s="19">
        <f>Tabuľka4[[#This Row],[Zisk]]/Tabuľka4[[#This Row],[Trzba]]</f>
        <v>0.44789351313647985</v>
      </c>
      <c r="R125">
        <v>2024</v>
      </c>
      <c r="S125" t="str">
        <f>TEXT(Tabuľka4[[#This Row],[Datum]],"MMMM")</f>
        <v>február</v>
      </c>
    </row>
    <row r="126" spans="1:19" x14ac:dyDescent="0.3">
      <c r="A126" s="2">
        <v>45648</v>
      </c>
      <c r="B126" t="s">
        <v>349</v>
      </c>
      <c r="C126" t="s">
        <v>132</v>
      </c>
      <c r="D126" t="s">
        <v>49</v>
      </c>
      <c r="E126" t="s">
        <v>0</v>
      </c>
      <c r="F126" t="s">
        <v>863</v>
      </c>
      <c r="G126" t="s">
        <v>43</v>
      </c>
      <c r="H126" t="s">
        <v>71</v>
      </c>
      <c r="I126" s="29" t="s">
        <v>333</v>
      </c>
      <c r="J126" t="s">
        <v>63</v>
      </c>
      <c r="K126">
        <v>4</v>
      </c>
      <c r="L126">
        <v>2149</v>
      </c>
      <c r="M126">
        <v>0.14000000000000001</v>
      </c>
      <c r="N126" s="25">
        <v>8596</v>
      </c>
      <c r="O126">
        <v>6488.53</v>
      </c>
      <c r="P126">
        <v>2107.4700000000003</v>
      </c>
      <c r="Q126" s="19">
        <f>Tabuľka4[[#This Row],[Zisk]]/Tabuľka4[[#This Row],[Trzba]]</f>
        <v>0.24516868310842255</v>
      </c>
      <c r="R126">
        <v>2024</v>
      </c>
      <c r="S126" t="str">
        <f>TEXT(Tabuľka4[[#This Row],[Datum]],"MMMM")</f>
        <v>december</v>
      </c>
    </row>
    <row r="127" spans="1:19" x14ac:dyDescent="0.3">
      <c r="A127" s="2">
        <v>46170</v>
      </c>
      <c r="B127" t="s">
        <v>116</v>
      </c>
      <c r="C127" t="s">
        <v>117</v>
      </c>
      <c r="D127" t="s">
        <v>20</v>
      </c>
      <c r="E127" t="s">
        <v>21</v>
      </c>
      <c r="F127" t="s">
        <v>863</v>
      </c>
      <c r="G127" t="s">
        <v>22</v>
      </c>
      <c r="H127" t="s">
        <v>86</v>
      </c>
      <c r="I127" s="29" t="s">
        <v>87</v>
      </c>
      <c r="J127" t="s">
        <v>46</v>
      </c>
      <c r="K127">
        <v>2</v>
      </c>
      <c r="L127">
        <v>4274</v>
      </c>
      <c r="M127">
        <v>0.02</v>
      </c>
      <c r="N127" s="25">
        <v>8548</v>
      </c>
      <c r="O127">
        <v>6227.01</v>
      </c>
      <c r="P127">
        <v>2320.9899999999998</v>
      </c>
      <c r="Q127" s="19">
        <f>Tabuľka4[[#This Row],[Zisk]]/Tabuľka4[[#This Row],[Trzba]]</f>
        <v>0.27152433317735142</v>
      </c>
      <c r="R127">
        <v>2026</v>
      </c>
      <c r="S127" t="str">
        <f>TEXT(Tabuľka4[[#This Row],[Datum]],"MMMM")</f>
        <v>máj</v>
      </c>
    </row>
    <row r="128" spans="1:19" x14ac:dyDescent="0.3">
      <c r="A128" s="2">
        <v>45786</v>
      </c>
      <c r="B128" t="s">
        <v>697</v>
      </c>
      <c r="C128" t="s">
        <v>235</v>
      </c>
      <c r="D128" t="s">
        <v>49</v>
      </c>
      <c r="E128" t="s">
        <v>21</v>
      </c>
      <c r="F128" t="s">
        <v>863</v>
      </c>
      <c r="G128" t="s">
        <v>58</v>
      </c>
      <c r="H128" t="s">
        <v>188</v>
      </c>
      <c r="I128" s="29" t="s">
        <v>688</v>
      </c>
      <c r="J128" t="s">
        <v>63</v>
      </c>
      <c r="K128">
        <v>9</v>
      </c>
      <c r="L128">
        <v>944</v>
      </c>
      <c r="M128">
        <v>0.08</v>
      </c>
      <c r="N128" s="25">
        <v>8496</v>
      </c>
      <c r="O128">
        <v>5299.28</v>
      </c>
      <c r="P128">
        <v>3196.7200000000003</v>
      </c>
      <c r="Q128" s="19">
        <f>Tabuľka4[[#This Row],[Zisk]]/Tabuľka4[[#This Row],[Trzba]]</f>
        <v>0.3762617702448211</v>
      </c>
      <c r="R128">
        <v>2025</v>
      </c>
      <c r="S128" t="str">
        <f>TEXT(Tabuľka4[[#This Row],[Datum]],"MMMM")</f>
        <v>máj</v>
      </c>
    </row>
    <row r="129" spans="1:19" x14ac:dyDescent="0.3">
      <c r="A129" s="2">
        <v>45292</v>
      </c>
      <c r="B129" t="s">
        <v>790</v>
      </c>
      <c r="C129" t="s">
        <v>132</v>
      </c>
      <c r="D129" t="s">
        <v>49</v>
      </c>
      <c r="E129" t="s">
        <v>50</v>
      </c>
      <c r="F129" t="s">
        <v>863</v>
      </c>
      <c r="G129" t="s">
        <v>58</v>
      </c>
      <c r="H129" t="s">
        <v>188</v>
      </c>
      <c r="I129" s="29" t="s">
        <v>791</v>
      </c>
      <c r="J129" t="s">
        <v>51</v>
      </c>
      <c r="K129">
        <v>9</v>
      </c>
      <c r="L129">
        <v>943</v>
      </c>
      <c r="M129">
        <v>0.2</v>
      </c>
      <c r="N129" s="25">
        <v>8487</v>
      </c>
      <c r="O129">
        <v>4654.05</v>
      </c>
      <c r="P129">
        <v>3832.95</v>
      </c>
      <c r="Q129" s="19">
        <f>Tabuľka4[[#This Row],[Zisk]]/Tabuľka4[[#This Row],[Trzba]]</f>
        <v>0.45162601626016258</v>
      </c>
      <c r="R129">
        <v>2024</v>
      </c>
      <c r="S129" t="str">
        <f>TEXT(Tabuľka4[[#This Row],[Datum]],"MMMM")</f>
        <v>január</v>
      </c>
    </row>
    <row r="130" spans="1:19" x14ac:dyDescent="0.3">
      <c r="A130" s="2">
        <v>45538</v>
      </c>
      <c r="B130" t="s">
        <v>374</v>
      </c>
      <c r="C130" t="s">
        <v>185</v>
      </c>
      <c r="D130" t="s">
        <v>49</v>
      </c>
      <c r="E130" t="s">
        <v>21</v>
      </c>
      <c r="F130" t="s">
        <v>863</v>
      </c>
      <c r="G130" t="s">
        <v>58</v>
      </c>
      <c r="H130" t="s">
        <v>71</v>
      </c>
      <c r="I130" s="29" t="s">
        <v>367</v>
      </c>
      <c r="J130" t="s">
        <v>51</v>
      </c>
      <c r="K130">
        <v>10</v>
      </c>
      <c r="L130">
        <v>831</v>
      </c>
      <c r="M130">
        <v>0.1</v>
      </c>
      <c r="N130" s="25">
        <v>8310</v>
      </c>
      <c r="O130">
        <v>6154.09</v>
      </c>
      <c r="P130">
        <v>2155.91</v>
      </c>
      <c r="Q130" s="19">
        <f>Tabuľka4[[#This Row],[Zisk]]/Tabuľka4[[#This Row],[Trzba]]</f>
        <v>0.25943561973525869</v>
      </c>
      <c r="R130">
        <v>2024</v>
      </c>
      <c r="S130" t="str">
        <f>TEXT(Tabuľka4[[#This Row],[Datum]],"MMMM")</f>
        <v>september</v>
      </c>
    </row>
    <row r="131" spans="1:19" x14ac:dyDescent="0.3">
      <c r="A131" s="2">
        <v>45577</v>
      </c>
      <c r="B131" t="s">
        <v>720</v>
      </c>
      <c r="C131" t="s">
        <v>721</v>
      </c>
      <c r="D131" t="s">
        <v>20</v>
      </c>
      <c r="E131" t="s">
        <v>21</v>
      </c>
      <c r="F131" t="s">
        <v>863</v>
      </c>
      <c r="G131" t="s">
        <v>43</v>
      </c>
      <c r="H131" t="s">
        <v>86</v>
      </c>
      <c r="I131" s="29" t="s">
        <v>709</v>
      </c>
      <c r="J131" t="s">
        <v>30</v>
      </c>
      <c r="K131">
        <v>2</v>
      </c>
      <c r="L131">
        <v>4031</v>
      </c>
      <c r="M131">
        <v>0</v>
      </c>
      <c r="N131" s="25">
        <v>8062</v>
      </c>
      <c r="O131">
        <v>5896.26</v>
      </c>
      <c r="P131">
        <v>2165.7399999999998</v>
      </c>
      <c r="Q131" s="19">
        <f>Tabuľka4[[#This Row],[Zisk]]/Tabuľka4[[#This Row],[Trzba]]</f>
        <v>0.26863557429918133</v>
      </c>
      <c r="R131">
        <v>2024</v>
      </c>
      <c r="S131" t="str">
        <f>TEXT(Tabuľka4[[#This Row],[Datum]],"MMMM")</f>
        <v>október</v>
      </c>
    </row>
    <row r="132" spans="1:19" x14ac:dyDescent="0.3">
      <c r="A132" s="2">
        <v>45829</v>
      </c>
      <c r="B132" t="s">
        <v>142</v>
      </c>
      <c r="C132" t="s">
        <v>132</v>
      </c>
      <c r="D132" t="s">
        <v>49</v>
      </c>
      <c r="E132" t="s">
        <v>0</v>
      </c>
      <c r="F132" t="s">
        <v>863</v>
      </c>
      <c r="G132" t="s">
        <v>58</v>
      </c>
      <c r="H132" t="s">
        <v>86</v>
      </c>
      <c r="I132" s="29" t="s">
        <v>120</v>
      </c>
      <c r="J132" t="s">
        <v>33</v>
      </c>
      <c r="K132">
        <v>13</v>
      </c>
      <c r="L132">
        <v>619</v>
      </c>
      <c r="M132">
        <v>0.13</v>
      </c>
      <c r="N132" s="25">
        <v>8047</v>
      </c>
      <c r="O132">
        <v>5002.0200000000004</v>
      </c>
      <c r="P132">
        <v>3044.9799999999996</v>
      </c>
      <c r="Q132" s="19">
        <f>Tabuľka4[[#This Row],[Zisk]]/Tabuľka4[[#This Row],[Trzba]]</f>
        <v>0.37839940350441154</v>
      </c>
      <c r="R132">
        <v>2025</v>
      </c>
      <c r="S132" t="str">
        <f>TEXT(Tabuľka4[[#This Row],[Datum]],"MMMM")</f>
        <v>jún</v>
      </c>
    </row>
    <row r="133" spans="1:19" x14ac:dyDescent="0.3">
      <c r="A133" s="2">
        <v>45688</v>
      </c>
      <c r="B133" t="s">
        <v>216</v>
      </c>
      <c r="C133" t="s">
        <v>217</v>
      </c>
      <c r="D133" t="s">
        <v>20</v>
      </c>
      <c r="E133" t="s">
        <v>0</v>
      </c>
      <c r="F133" t="s">
        <v>863</v>
      </c>
      <c r="G133" t="s">
        <v>58</v>
      </c>
      <c r="H133" t="s">
        <v>23</v>
      </c>
      <c r="I133" s="29" t="s">
        <v>202</v>
      </c>
      <c r="J133" t="s">
        <v>30</v>
      </c>
      <c r="K133">
        <v>1</v>
      </c>
      <c r="L133">
        <v>8036</v>
      </c>
      <c r="M133">
        <v>0.06</v>
      </c>
      <c r="N133" s="25">
        <v>8036</v>
      </c>
      <c r="O133">
        <v>5971.02</v>
      </c>
      <c r="P133">
        <v>2064.9799999999996</v>
      </c>
      <c r="Q133" s="19">
        <f>Tabuľka4[[#This Row],[Zisk]]/Tabuľka4[[#This Row],[Trzba]]</f>
        <v>0.25696615231458431</v>
      </c>
      <c r="R133">
        <v>2025</v>
      </c>
      <c r="S133" t="str">
        <f>TEXT(Tabuľka4[[#This Row],[Datum]],"MMMM")</f>
        <v>január</v>
      </c>
    </row>
    <row r="134" spans="1:19" x14ac:dyDescent="0.3">
      <c r="A134" s="2">
        <v>45800</v>
      </c>
      <c r="B134" t="s">
        <v>780</v>
      </c>
      <c r="C134" t="s">
        <v>781</v>
      </c>
      <c r="D134" t="s">
        <v>20</v>
      </c>
      <c r="E134" t="s">
        <v>21</v>
      </c>
      <c r="F134" t="s">
        <v>863</v>
      </c>
      <c r="G134" t="s">
        <v>43</v>
      </c>
      <c r="H134" t="s">
        <v>188</v>
      </c>
      <c r="I134" s="29" t="s">
        <v>772</v>
      </c>
      <c r="J134" t="s">
        <v>38</v>
      </c>
      <c r="K134">
        <v>3</v>
      </c>
      <c r="L134">
        <v>2668</v>
      </c>
      <c r="M134">
        <v>0.12</v>
      </c>
      <c r="N134" s="25">
        <v>8004</v>
      </c>
      <c r="O134">
        <v>4399.8100000000004</v>
      </c>
      <c r="P134">
        <v>3604.1899999999996</v>
      </c>
      <c r="Q134" s="19">
        <f>Tabuľka4[[#This Row],[Zisk]]/Tabuľka4[[#This Row],[Trzba]]</f>
        <v>0.45029860069965011</v>
      </c>
      <c r="R134">
        <v>2025</v>
      </c>
      <c r="S134" t="str">
        <f>TEXT(Tabuľka4[[#This Row],[Datum]],"MMMM")</f>
        <v>máj</v>
      </c>
    </row>
    <row r="135" spans="1:19" x14ac:dyDescent="0.3">
      <c r="A135" s="2">
        <v>46005</v>
      </c>
      <c r="B135" t="s">
        <v>107</v>
      </c>
      <c r="C135" t="s">
        <v>108</v>
      </c>
      <c r="D135" t="s">
        <v>20</v>
      </c>
      <c r="E135" t="s">
        <v>0</v>
      </c>
      <c r="F135" t="s">
        <v>863</v>
      </c>
      <c r="G135" t="s">
        <v>22</v>
      </c>
      <c r="H135" t="s">
        <v>86</v>
      </c>
      <c r="I135" s="29" t="s">
        <v>87</v>
      </c>
      <c r="J135" t="s">
        <v>63</v>
      </c>
      <c r="K135">
        <v>2</v>
      </c>
      <c r="L135">
        <v>3997</v>
      </c>
      <c r="M135">
        <v>0.14000000000000001</v>
      </c>
      <c r="N135" s="25">
        <v>7994</v>
      </c>
      <c r="O135">
        <v>5146.74</v>
      </c>
      <c r="P135">
        <v>2847.26</v>
      </c>
      <c r="Q135" s="19">
        <f>Tabuľka4[[#This Row],[Zisk]]/Tabuľka4[[#This Row],[Trzba]]</f>
        <v>0.35617463097322993</v>
      </c>
      <c r="R135">
        <v>2025</v>
      </c>
      <c r="S135" t="str">
        <f>TEXT(Tabuľka4[[#This Row],[Datum]],"MMMM")</f>
        <v>december</v>
      </c>
    </row>
    <row r="136" spans="1:19" x14ac:dyDescent="0.3">
      <c r="A136" s="2">
        <v>46001</v>
      </c>
      <c r="B136" t="s">
        <v>238</v>
      </c>
      <c r="C136" t="s">
        <v>96</v>
      </c>
      <c r="D136" t="s">
        <v>49</v>
      </c>
      <c r="E136" t="s">
        <v>0</v>
      </c>
      <c r="F136" t="s">
        <v>863</v>
      </c>
      <c r="G136" t="s">
        <v>43</v>
      </c>
      <c r="H136" t="s">
        <v>71</v>
      </c>
      <c r="I136" s="29" t="s">
        <v>229</v>
      </c>
      <c r="J136" t="s">
        <v>63</v>
      </c>
      <c r="K136">
        <v>8</v>
      </c>
      <c r="L136">
        <v>996</v>
      </c>
      <c r="M136">
        <v>0.15</v>
      </c>
      <c r="N136" s="25">
        <v>7968</v>
      </c>
      <c r="O136">
        <v>5316.13</v>
      </c>
      <c r="P136">
        <v>2651.87</v>
      </c>
      <c r="Q136" s="19">
        <f>Tabuľka4[[#This Row],[Zisk]]/Tabuľka4[[#This Row],[Trzba]]</f>
        <v>0.33281501004016062</v>
      </c>
      <c r="R136">
        <v>2025</v>
      </c>
      <c r="S136" t="str">
        <f>TEXT(Tabuľka4[[#This Row],[Datum]],"MMMM")</f>
        <v>december</v>
      </c>
    </row>
    <row r="137" spans="1:19" x14ac:dyDescent="0.3">
      <c r="A137" s="2">
        <v>45946</v>
      </c>
      <c r="B137" t="s">
        <v>681</v>
      </c>
      <c r="C137" t="s">
        <v>287</v>
      </c>
      <c r="D137" t="s">
        <v>20</v>
      </c>
      <c r="E137" t="s">
        <v>68</v>
      </c>
      <c r="F137" t="s">
        <v>863</v>
      </c>
      <c r="G137" t="s">
        <v>22</v>
      </c>
      <c r="H137" t="s">
        <v>71</v>
      </c>
      <c r="I137" s="29" t="s">
        <v>675</v>
      </c>
      <c r="J137" t="s">
        <v>46</v>
      </c>
      <c r="K137">
        <v>3</v>
      </c>
      <c r="L137">
        <v>2644</v>
      </c>
      <c r="M137">
        <v>0.02</v>
      </c>
      <c r="N137" s="25">
        <v>7932</v>
      </c>
      <c r="O137">
        <v>6199.73</v>
      </c>
      <c r="P137">
        <v>1732.2700000000004</v>
      </c>
      <c r="Q137" s="19">
        <f>Tabuľka4[[#This Row],[Zisk]]/Tabuľka4[[#This Row],[Trzba]]</f>
        <v>0.21839006555723656</v>
      </c>
      <c r="R137">
        <v>2025</v>
      </c>
      <c r="S137" t="str">
        <f>TEXT(Tabuľka4[[#This Row],[Datum]],"MMMM")</f>
        <v>október</v>
      </c>
    </row>
    <row r="138" spans="1:19" x14ac:dyDescent="0.3">
      <c r="A138" s="2">
        <v>46108</v>
      </c>
      <c r="B138" t="s">
        <v>64</v>
      </c>
      <c r="C138" t="s">
        <v>65</v>
      </c>
      <c r="D138" t="s">
        <v>20</v>
      </c>
      <c r="E138" t="s">
        <v>50</v>
      </c>
      <c r="F138" t="s">
        <v>863</v>
      </c>
      <c r="G138" t="s">
        <v>22</v>
      </c>
      <c r="H138" t="s">
        <v>23</v>
      </c>
      <c r="I138" s="29" t="s">
        <v>24</v>
      </c>
      <c r="J138" t="s">
        <v>63</v>
      </c>
      <c r="K138">
        <v>2</v>
      </c>
      <c r="L138">
        <v>3961</v>
      </c>
      <c r="M138">
        <v>0.03</v>
      </c>
      <c r="N138" s="25">
        <v>7922</v>
      </c>
      <c r="O138">
        <v>5304.03</v>
      </c>
      <c r="P138">
        <v>2617.9700000000003</v>
      </c>
      <c r="Q138" s="19">
        <f>Tabuľka4[[#This Row],[Zisk]]/Tabuľka4[[#This Row],[Trzba]]</f>
        <v>0.33046831608179755</v>
      </c>
      <c r="R138">
        <v>2026</v>
      </c>
      <c r="S138" t="str">
        <f>TEXT(Tabuľka4[[#This Row],[Datum]],"MMMM")</f>
        <v>marec</v>
      </c>
    </row>
    <row r="139" spans="1:19" x14ac:dyDescent="0.3">
      <c r="A139" s="2">
        <v>45515</v>
      </c>
      <c r="B139" t="s">
        <v>342</v>
      </c>
      <c r="C139" t="s">
        <v>57</v>
      </c>
      <c r="D139" t="s">
        <v>49</v>
      </c>
      <c r="E139" t="s">
        <v>21</v>
      </c>
      <c r="F139" t="s">
        <v>863</v>
      </c>
      <c r="G139" t="s">
        <v>22</v>
      </c>
      <c r="H139" t="s">
        <v>71</v>
      </c>
      <c r="I139" s="29" t="s">
        <v>333</v>
      </c>
      <c r="J139" t="s">
        <v>46</v>
      </c>
      <c r="K139">
        <v>4</v>
      </c>
      <c r="L139">
        <v>1946</v>
      </c>
      <c r="M139">
        <v>0.04</v>
      </c>
      <c r="N139" s="25">
        <v>7784</v>
      </c>
      <c r="O139">
        <v>6023.37</v>
      </c>
      <c r="P139">
        <v>1760.63</v>
      </c>
      <c r="Q139" s="19">
        <f>Tabuľka4[[#This Row],[Zisk]]/Tabuľka4[[#This Row],[Trzba]]</f>
        <v>0.22618576567317575</v>
      </c>
      <c r="R139">
        <v>2024</v>
      </c>
      <c r="S139" t="str">
        <f>TEXT(Tabuľka4[[#This Row],[Datum]],"MMMM")</f>
        <v>august</v>
      </c>
    </row>
    <row r="140" spans="1:19" x14ac:dyDescent="0.3">
      <c r="A140" s="2">
        <v>45881</v>
      </c>
      <c r="B140" t="s">
        <v>783</v>
      </c>
      <c r="C140" t="s">
        <v>784</v>
      </c>
      <c r="D140" t="s">
        <v>20</v>
      </c>
      <c r="E140" t="s">
        <v>68</v>
      </c>
      <c r="F140" t="s">
        <v>863</v>
      </c>
      <c r="G140" t="s">
        <v>22</v>
      </c>
      <c r="H140" t="s">
        <v>188</v>
      </c>
      <c r="I140" s="29" t="s">
        <v>772</v>
      </c>
      <c r="J140" t="s">
        <v>25</v>
      </c>
      <c r="K140">
        <v>3</v>
      </c>
      <c r="L140">
        <v>2573</v>
      </c>
      <c r="M140">
        <v>0.04</v>
      </c>
      <c r="N140" s="25">
        <v>7719</v>
      </c>
      <c r="O140">
        <v>5719.15</v>
      </c>
      <c r="P140">
        <v>1999.8500000000004</v>
      </c>
      <c r="Q140" s="19">
        <f>Tabuľka4[[#This Row],[Zisk]]/Tabuľka4[[#This Row],[Trzba]]</f>
        <v>0.25908148723927976</v>
      </c>
      <c r="R140">
        <v>2025</v>
      </c>
      <c r="S140" t="str">
        <f>TEXT(Tabuľka4[[#This Row],[Datum]],"MMMM")</f>
        <v>august</v>
      </c>
    </row>
    <row r="141" spans="1:19" x14ac:dyDescent="0.3">
      <c r="A141" s="2">
        <v>45890</v>
      </c>
      <c r="B141" t="s">
        <v>223</v>
      </c>
      <c r="C141" t="s">
        <v>224</v>
      </c>
      <c r="D141" t="s">
        <v>20</v>
      </c>
      <c r="E141" t="s">
        <v>68</v>
      </c>
      <c r="F141" t="s">
        <v>863</v>
      </c>
      <c r="G141" t="s">
        <v>43</v>
      </c>
      <c r="H141" t="s">
        <v>23</v>
      </c>
      <c r="I141" s="29" t="s">
        <v>202</v>
      </c>
      <c r="J141" t="s">
        <v>88</v>
      </c>
      <c r="K141">
        <v>1</v>
      </c>
      <c r="L141">
        <v>7578</v>
      </c>
      <c r="M141">
        <v>0</v>
      </c>
      <c r="N141" s="25">
        <v>7578</v>
      </c>
      <c r="O141">
        <v>4653.2299999999996</v>
      </c>
      <c r="P141">
        <v>2924.7700000000004</v>
      </c>
      <c r="Q141" s="19">
        <f>Tabuľka4[[#This Row],[Zisk]]/Tabuľka4[[#This Row],[Trzba]]</f>
        <v>0.38595539720242816</v>
      </c>
      <c r="R141">
        <v>2025</v>
      </c>
      <c r="S141" t="str">
        <f>TEXT(Tabuľka4[[#This Row],[Datum]],"MMMM")</f>
        <v>august</v>
      </c>
    </row>
    <row r="142" spans="1:19" x14ac:dyDescent="0.3">
      <c r="A142" s="2">
        <v>45672</v>
      </c>
      <c r="B142" t="s">
        <v>433</v>
      </c>
      <c r="C142" t="s">
        <v>132</v>
      </c>
      <c r="D142" t="s">
        <v>49</v>
      </c>
      <c r="E142" t="s">
        <v>21</v>
      </c>
      <c r="F142" t="s">
        <v>863</v>
      </c>
      <c r="G142" t="s">
        <v>43</v>
      </c>
      <c r="H142" t="s">
        <v>188</v>
      </c>
      <c r="I142" s="29" t="s">
        <v>424</v>
      </c>
      <c r="J142" t="s">
        <v>51</v>
      </c>
      <c r="K142">
        <v>7</v>
      </c>
      <c r="L142">
        <v>1055</v>
      </c>
      <c r="M142">
        <v>0.17</v>
      </c>
      <c r="N142" s="25">
        <v>7385</v>
      </c>
      <c r="O142">
        <v>4071.7</v>
      </c>
      <c r="P142">
        <v>3313.3</v>
      </c>
      <c r="Q142" s="19">
        <f>Tabuľka4[[#This Row],[Zisk]]/Tabuľka4[[#This Row],[Trzba]]</f>
        <v>0.44865267433987815</v>
      </c>
      <c r="R142">
        <v>2025</v>
      </c>
      <c r="S142" t="str">
        <f>TEXT(Tabuľka4[[#This Row],[Datum]],"MMMM")</f>
        <v>január</v>
      </c>
    </row>
    <row r="143" spans="1:19" x14ac:dyDescent="0.3">
      <c r="A143" s="2">
        <v>45414</v>
      </c>
      <c r="B143" t="s">
        <v>796</v>
      </c>
      <c r="C143" t="s">
        <v>518</v>
      </c>
      <c r="D143" t="s">
        <v>20</v>
      </c>
      <c r="E143" t="s">
        <v>50</v>
      </c>
      <c r="F143" t="s">
        <v>863</v>
      </c>
      <c r="G143" t="s">
        <v>43</v>
      </c>
      <c r="H143" t="s">
        <v>188</v>
      </c>
      <c r="I143" s="29" t="s">
        <v>791</v>
      </c>
      <c r="J143" t="s">
        <v>38</v>
      </c>
      <c r="K143">
        <v>4</v>
      </c>
      <c r="L143">
        <v>1827</v>
      </c>
      <c r="M143">
        <v>0.14000000000000001</v>
      </c>
      <c r="N143" s="25">
        <v>7308</v>
      </c>
      <c r="O143">
        <v>4425.21</v>
      </c>
      <c r="P143">
        <v>2882.79</v>
      </c>
      <c r="Q143" s="19">
        <f>Tabuľka4[[#This Row],[Zisk]]/Tabuľka4[[#This Row],[Trzba]]</f>
        <v>0.39447044334975367</v>
      </c>
      <c r="R143">
        <v>2024</v>
      </c>
      <c r="S143" t="str">
        <f>TEXT(Tabuľka4[[#This Row],[Datum]],"MMMM")</f>
        <v>máj</v>
      </c>
    </row>
    <row r="144" spans="1:19" x14ac:dyDescent="0.3">
      <c r="A144" s="2">
        <v>45650</v>
      </c>
      <c r="B144" t="s">
        <v>131</v>
      </c>
      <c r="C144" t="s">
        <v>132</v>
      </c>
      <c r="D144" t="s">
        <v>49</v>
      </c>
      <c r="E144" t="s">
        <v>0</v>
      </c>
      <c r="F144" t="s">
        <v>863</v>
      </c>
      <c r="G144" t="s">
        <v>58</v>
      </c>
      <c r="H144" t="s">
        <v>86</v>
      </c>
      <c r="I144" s="29" t="s">
        <v>120</v>
      </c>
      <c r="J144" t="s">
        <v>63</v>
      </c>
      <c r="K144">
        <v>8</v>
      </c>
      <c r="L144">
        <v>910</v>
      </c>
      <c r="M144">
        <v>0.08</v>
      </c>
      <c r="N144" s="25">
        <v>7280</v>
      </c>
      <c r="O144">
        <v>5871.78</v>
      </c>
      <c r="P144">
        <v>1408.2200000000003</v>
      </c>
      <c r="Q144" s="19">
        <f>Tabuľka4[[#This Row],[Zisk]]/Tabuľka4[[#This Row],[Trzba]]</f>
        <v>0.19343681318681322</v>
      </c>
      <c r="R144">
        <v>2024</v>
      </c>
      <c r="S144" t="str">
        <f>TEXT(Tabuľka4[[#This Row],[Datum]],"MMMM")</f>
        <v>december</v>
      </c>
    </row>
    <row r="145" spans="1:19" x14ac:dyDescent="0.3">
      <c r="A145" s="2">
        <v>45844</v>
      </c>
      <c r="B145" t="s">
        <v>807</v>
      </c>
      <c r="C145" t="s">
        <v>808</v>
      </c>
      <c r="D145" t="s">
        <v>20</v>
      </c>
      <c r="E145" t="s">
        <v>21</v>
      </c>
      <c r="F145" t="s">
        <v>863</v>
      </c>
      <c r="G145" t="s">
        <v>43</v>
      </c>
      <c r="H145" t="s">
        <v>188</v>
      </c>
      <c r="I145" s="29" t="s">
        <v>791</v>
      </c>
      <c r="J145" t="s">
        <v>46</v>
      </c>
      <c r="K145">
        <v>4</v>
      </c>
      <c r="L145">
        <v>1820</v>
      </c>
      <c r="M145">
        <v>0.13</v>
      </c>
      <c r="N145" s="25">
        <v>7280</v>
      </c>
      <c r="O145">
        <v>4493.3999999999996</v>
      </c>
      <c r="P145">
        <v>2786.6000000000004</v>
      </c>
      <c r="Q145" s="19">
        <f>Tabuľka4[[#This Row],[Zisk]]/Tabuľka4[[#This Row],[Trzba]]</f>
        <v>0.38277472527472534</v>
      </c>
      <c r="R145">
        <v>2025</v>
      </c>
      <c r="S145" t="str">
        <f>TEXT(Tabuľka4[[#This Row],[Datum]],"MMMM")</f>
        <v>júl</v>
      </c>
    </row>
    <row r="146" spans="1:19" x14ac:dyDescent="0.3">
      <c r="A146" s="2">
        <v>45488</v>
      </c>
      <c r="B146" t="s">
        <v>340</v>
      </c>
      <c r="C146" t="s">
        <v>341</v>
      </c>
      <c r="D146" t="s">
        <v>20</v>
      </c>
      <c r="E146" t="s">
        <v>21</v>
      </c>
      <c r="F146" t="s">
        <v>863</v>
      </c>
      <c r="G146" t="s">
        <v>43</v>
      </c>
      <c r="H146" t="s">
        <v>71</v>
      </c>
      <c r="I146" s="29" t="s">
        <v>333</v>
      </c>
      <c r="J146" t="s">
        <v>46</v>
      </c>
      <c r="K146">
        <v>4</v>
      </c>
      <c r="L146">
        <v>1794</v>
      </c>
      <c r="M146">
        <v>0.03</v>
      </c>
      <c r="N146" s="25">
        <v>7176</v>
      </c>
      <c r="O146">
        <v>5922.74</v>
      </c>
      <c r="P146">
        <v>1253.2600000000002</v>
      </c>
      <c r="Q146" s="19">
        <f>Tabuľka4[[#This Row],[Zisk]]/Tabuľka4[[#This Row],[Trzba]]</f>
        <v>0.1746460423634337</v>
      </c>
      <c r="R146">
        <v>2024</v>
      </c>
      <c r="S146" t="str">
        <f>TEXT(Tabuľka4[[#This Row],[Datum]],"MMMM")</f>
        <v>júl</v>
      </c>
    </row>
    <row r="147" spans="1:19" x14ac:dyDescent="0.3">
      <c r="A147" s="2">
        <v>45442</v>
      </c>
      <c r="B147" t="s">
        <v>773</v>
      </c>
      <c r="C147" t="s">
        <v>208</v>
      </c>
      <c r="D147" t="s">
        <v>20</v>
      </c>
      <c r="E147" t="s">
        <v>68</v>
      </c>
      <c r="F147" t="s">
        <v>863</v>
      </c>
      <c r="G147" t="s">
        <v>58</v>
      </c>
      <c r="H147" t="s">
        <v>188</v>
      </c>
      <c r="I147" s="29" t="s">
        <v>772</v>
      </c>
      <c r="J147" t="s">
        <v>25</v>
      </c>
      <c r="K147">
        <v>3</v>
      </c>
      <c r="L147">
        <v>2355</v>
      </c>
      <c r="M147">
        <v>0.13</v>
      </c>
      <c r="N147" s="25">
        <v>7065</v>
      </c>
      <c r="O147">
        <v>3568.62</v>
      </c>
      <c r="P147">
        <v>3496.38</v>
      </c>
      <c r="Q147" s="19">
        <f>Tabuľka4[[#This Row],[Zisk]]/Tabuľka4[[#This Row],[Trzba]]</f>
        <v>0.49488747346072187</v>
      </c>
      <c r="R147">
        <v>2024</v>
      </c>
      <c r="S147" t="str">
        <f>TEXT(Tabuľka4[[#This Row],[Datum]],"MMMM")</f>
        <v>máj</v>
      </c>
    </row>
    <row r="148" spans="1:19" x14ac:dyDescent="0.3">
      <c r="A148" s="2">
        <v>45951</v>
      </c>
      <c r="B148" t="s">
        <v>355</v>
      </c>
      <c r="C148" t="s">
        <v>214</v>
      </c>
      <c r="D148" t="s">
        <v>20</v>
      </c>
      <c r="E148" t="s">
        <v>21</v>
      </c>
      <c r="F148" t="s">
        <v>863</v>
      </c>
      <c r="G148" t="s">
        <v>43</v>
      </c>
      <c r="H148" t="s">
        <v>71</v>
      </c>
      <c r="I148" s="29" t="s">
        <v>333</v>
      </c>
      <c r="J148" t="s">
        <v>38</v>
      </c>
      <c r="K148">
        <v>3</v>
      </c>
      <c r="L148">
        <v>2264</v>
      </c>
      <c r="M148">
        <v>0.11</v>
      </c>
      <c r="N148" s="25">
        <v>6792</v>
      </c>
      <c r="O148">
        <v>5338.26</v>
      </c>
      <c r="P148">
        <v>1453.7399999999998</v>
      </c>
      <c r="Q148" s="19">
        <f>Tabuľka4[[#This Row],[Zisk]]/Tabuľka4[[#This Row],[Trzba]]</f>
        <v>0.21403710247349819</v>
      </c>
      <c r="R148">
        <v>2025</v>
      </c>
      <c r="S148" t="str">
        <f>TEXT(Tabuľka4[[#This Row],[Datum]],"MMMM")</f>
        <v>október</v>
      </c>
    </row>
    <row r="149" spans="1:19" x14ac:dyDescent="0.3">
      <c r="A149" s="2">
        <v>45412</v>
      </c>
      <c r="B149" t="s">
        <v>89</v>
      </c>
      <c r="C149" t="s">
        <v>90</v>
      </c>
      <c r="D149" t="s">
        <v>20</v>
      </c>
      <c r="E149" t="s">
        <v>0</v>
      </c>
      <c r="F149" t="s">
        <v>863</v>
      </c>
      <c r="G149" t="s">
        <v>22</v>
      </c>
      <c r="H149" t="s">
        <v>86</v>
      </c>
      <c r="I149" s="29" t="s">
        <v>87</v>
      </c>
      <c r="J149" t="s">
        <v>25</v>
      </c>
      <c r="K149">
        <v>1</v>
      </c>
      <c r="L149">
        <v>6684</v>
      </c>
      <c r="M149">
        <v>0.09</v>
      </c>
      <c r="N149" s="25">
        <v>6684</v>
      </c>
      <c r="O149">
        <v>4242.88</v>
      </c>
      <c r="P149">
        <v>2441.12</v>
      </c>
      <c r="Q149" s="19">
        <f>Tabuľka4[[#This Row],[Zisk]]/Tabuľka4[[#This Row],[Trzba]]</f>
        <v>0.36521843207660082</v>
      </c>
      <c r="R149">
        <v>2024</v>
      </c>
      <c r="S149" t="str">
        <f>TEXT(Tabuľka4[[#This Row],[Datum]],"MMMM")</f>
        <v>apríl</v>
      </c>
    </row>
    <row r="150" spans="1:19" x14ac:dyDescent="0.3">
      <c r="A150" s="2">
        <v>45575</v>
      </c>
      <c r="B150" t="s">
        <v>157</v>
      </c>
      <c r="C150" t="s">
        <v>158</v>
      </c>
      <c r="D150" t="s">
        <v>20</v>
      </c>
      <c r="E150" t="s">
        <v>0</v>
      </c>
      <c r="F150" t="s">
        <v>863</v>
      </c>
      <c r="G150" t="s">
        <v>22</v>
      </c>
      <c r="H150" t="s">
        <v>23</v>
      </c>
      <c r="I150" s="29" t="s">
        <v>154</v>
      </c>
      <c r="J150" t="s">
        <v>51</v>
      </c>
      <c r="K150">
        <v>4</v>
      </c>
      <c r="L150">
        <v>1650</v>
      </c>
      <c r="M150">
        <v>0.15</v>
      </c>
      <c r="N150" s="25">
        <v>6600</v>
      </c>
      <c r="O150">
        <v>3530.57</v>
      </c>
      <c r="P150">
        <v>3069.43</v>
      </c>
      <c r="Q150" s="19">
        <f>Tabuľka4[[#This Row],[Zisk]]/Tabuľka4[[#This Row],[Trzba]]</f>
        <v>0.46506515151515149</v>
      </c>
      <c r="R150">
        <v>2024</v>
      </c>
      <c r="S150" t="str">
        <f>TEXT(Tabuľka4[[#This Row],[Datum]],"MMMM")</f>
        <v>október</v>
      </c>
    </row>
    <row r="151" spans="1:19" x14ac:dyDescent="0.3">
      <c r="A151" s="2">
        <v>45768</v>
      </c>
      <c r="B151" t="s">
        <v>544</v>
      </c>
      <c r="C151" t="s">
        <v>132</v>
      </c>
      <c r="D151" t="s">
        <v>49</v>
      </c>
      <c r="E151" t="s">
        <v>21</v>
      </c>
      <c r="F151" t="s">
        <v>863</v>
      </c>
      <c r="G151" t="s">
        <v>22</v>
      </c>
      <c r="H151" t="s">
        <v>71</v>
      </c>
      <c r="I151" s="29" t="s">
        <v>537</v>
      </c>
      <c r="J151" t="s">
        <v>25</v>
      </c>
      <c r="K151">
        <v>7</v>
      </c>
      <c r="L151">
        <v>940</v>
      </c>
      <c r="M151">
        <v>0</v>
      </c>
      <c r="N151" s="25">
        <v>6580</v>
      </c>
      <c r="O151">
        <v>5508.4</v>
      </c>
      <c r="P151">
        <v>1071.6000000000004</v>
      </c>
      <c r="Q151" s="19">
        <f>Tabuľka4[[#This Row],[Zisk]]/Tabuľka4[[#This Row],[Trzba]]</f>
        <v>0.16285714285714292</v>
      </c>
      <c r="R151">
        <v>2025</v>
      </c>
      <c r="S151" t="str">
        <f>TEXT(Tabuľka4[[#This Row],[Datum]],"MMMM")</f>
        <v>apríl</v>
      </c>
    </row>
    <row r="152" spans="1:19" x14ac:dyDescent="0.3">
      <c r="A152" s="2">
        <v>45481</v>
      </c>
      <c r="B152" t="s">
        <v>797</v>
      </c>
      <c r="C152" t="s">
        <v>235</v>
      </c>
      <c r="D152" t="s">
        <v>49</v>
      </c>
      <c r="E152" t="s">
        <v>0</v>
      </c>
      <c r="F152" t="s">
        <v>863</v>
      </c>
      <c r="G152" t="s">
        <v>43</v>
      </c>
      <c r="H152" t="s">
        <v>188</v>
      </c>
      <c r="I152" s="29" t="s">
        <v>791</v>
      </c>
      <c r="J152" t="s">
        <v>25</v>
      </c>
      <c r="K152">
        <v>8</v>
      </c>
      <c r="L152">
        <v>808</v>
      </c>
      <c r="M152">
        <v>0.09</v>
      </c>
      <c r="N152" s="25">
        <v>6464</v>
      </c>
      <c r="O152">
        <v>3734.98</v>
      </c>
      <c r="P152">
        <v>2729.02</v>
      </c>
      <c r="Q152" s="19">
        <f>Tabuľka4[[#This Row],[Zisk]]/Tabuľka4[[#This Row],[Trzba]]</f>
        <v>0.42218749999999999</v>
      </c>
      <c r="R152">
        <v>2024</v>
      </c>
      <c r="S152" t="str">
        <f>TEXT(Tabuľka4[[#This Row],[Datum]],"MMMM")</f>
        <v>júl</v>
      </c>
    </row>
    <row r="153" spans="1:19" x14ac:dyDescent="0.3">
      <c r="A153" s="2">
        <v>46055</v>
      </c>
      <c r="B153" t="s">
        <v>769</v>
      </c>
      <c r="C153" t="s">
        <v>132</v>
      </c>
      <c r="D153" t="s">
        <v>49</v>
      </c>
      <c r="E153" t="s">
        <v>68</v>
      </c>
      <c r="F153" t="s">
        <v>863</v>
      </c>
      <c r="G153" t="s">
        <v>58</v>
      </c>
      <c r="H153" t="s">
        <v>188</v>
      </c>
      <c r="I153" s="29" t="s">
        <v>738</v>
      </c>
      <c r="J153" t="s">
        <v>63</v>
      </c>
      <c r="K153">
        <v>8</v>
      </c>
      <c r="L153">
        <v>804</v>
      </c>
      <c r="M153">
        <v>0.12</v>
      </c>
      <c r="N153" s="25">
        <v>6432</v>
      </c>
      <c r="O153">
        <v>4462.79</v>
      </c>
      <c r="P153">
        <v>1969.21</v>
      </c>
      <c r="Q153" s="19">
        <f>Tabuľka4[[#This Row],[Zisk]]/Tabuľka4[[#This Row],[Trzba]]</f>
        <v>0.30615827114427863</v>
      </c>
      <c r="R153">
        <v>2026</v>
      </c>
      <c r="S153" t="str">
        <f>TEXT(Tabuľka4[[#This Row],[Datum]],"MMMM")</f>
        <v>február</v>
      </c>
    </row>
    <row r="154" spans="1:19" x14ac:dyDescent="0.3">
      <c r="A154" s="2">
        <v>45971</v>
      </c>
      <c r="B154" t="s">
        <v>785</v>
      </c>
      <c r="C154" t="s">
        <v>442</v>
      </c>
      <c r="D154" t="s">
        <v>20</v>
      </c>
      <c r="E154" t="s">
        <v>68</v>
      </c>
      <c r="F154" t="s">
        <v>863</v>
      </c>
      <c r="G154" t="s">
        <v>22</v>
      </c>
      <c r="H154" t="s">
        <v>188</v>
      </c>
      <c r="I154" s="29" t="s">
        <v>772</v>
      </c>
      <c r="J154" t="s">
        <v>25</v>
      </c>
      <c r="K154">
        <v>3</v>
      </c>
      <c r="L154">
        <v>2131</v>
      </c>
      <c r="M154">
        <v>0.11</v>
      </c>
      <c r="N154" s="25">
        <v>6393</v>
      </c>
      <c r="O154">
        <v>3743.08</v>
      </c>
      <c r="P154">
        <v>2649.92</v>
      </c>
      <c r="Q154" s="19">
        <f>Tabuľka4[[#This Row],[Zisk]]/Tabuľka4[[#This Row],[Trzba]]</f>
        <v>0.41450336305333962</v>
      </c>
      <c r="R154">
        <v>2025</v>
      </c>
      <c r="S154" t="str">
        <f>TEXT(Tabuľka4[[#This Row],[Datum]],"MMMM")</f>
        <v>november</v>
      </c>
    </row>
    <row r="155" spans="1:19" x14ac:dyDescent="0.3">
      <c r="A155" s="2">
        <v>46054</v>
      </c>
      <c r="B155" t="s">
        <v>179</v>
      </c>
      <c r="C155" t="s">
        <v>180</v>
      </c>
      <c r="D155" t="s">
        <v>20</v>
      </c>
      <c r="E155" t="s">
        <v>68</v>
      </c>
      <c r="F155" t="s">
        <v>863</v>
      </c>
      <c r="G155" t="s">
        <v>43</v>
      </c>
      <c r="H155" t="s">
        <v>23</v>
      </c>
      <c r="I155" s="29" t="s">
        <v>154</v>
      </c>
      <c r="J155" t="s">
        <v>88</v>
      </c>
      <c r="K155">
        <v>3</v>
      </c>
      <c r="L155">
        <v>2105</v>
      </c>
      <c r="M155">
        <v>0.02</v>
      </c>
      <c r="N155" s="25">
        <v>6315</v>
      </c>
      <c r="O155">
        <v>3651.47</v>
      </c>
      <c r="P155">
        <v>2663.53</v>
      </c>
      <c r="Q155" s="19">
        <f>Tabuľka4[[#This Row],[Zisk]]/Tabuľka4[[#This Row],[Trzba]]</f>
        <v>0.42177830562153606</v>
      </c>
      <c r="R155">
        <v>2026</v>
      </c>
      <c r="S155" t="str">
        <f>TEXT(Tabuľka4[[#This Row],[Datum]],"MMMM")</f>
        <v>február</v>
      </c>
    </row>
    <row r="156" spans="1:19" x14ac:dyDescent="0.3">
      <c r="A156" s="2">
        <v>45732</v>
      </c>
      <c r="B156" t="s">
        <v>804</v>
      </c>
      <c r="C156" t="s">
        <v>251</v>
      </c>
      <c r="D156" t="s">
        <v>20</v>
      </c>
      <c r="E156" t="s">
        <v>50</v>
      </c>
      <c r="F156" t="s">
        <v>863</v>
      </c>
      <c r="G156" t="s">
        <v>22</v>
      </c>
      <c r="H156" t="s">
        <v>188</v>
      </c>
      <c r="I156" s="29" t="s">
        <v>791</v>
      </c>
      <c r="J156" t="s">
        <v>38</v>
      </c>
      <c r="K156">
        <v>6</v>
      </c>
      <c r="L156">
        <v>1020</v>
      </c>
      <c r="M156">
        <v>0.03</v>
      </c>
      <c r="N156" s="25">
        <v>6120</v>
      </c>
      <c r="O156">
        <v>4183.8100000000004</v>
      </c>
      <c r="P156">
        <v>1936.1899999999996</v>
      </c>
      <c r="Q156" s="19">
        <f>Tabuľka4[[#This Row],[Zisk]]/Tabuľka4[[#This Row],[Trzba]]</f>
        <v>0.31637091503267967</v>
      </c>
      <c r="R156">
        <v>2025</v>
      </c>
      <c r="S156" t="str">
        <f>TEXT(Tabuľka4[[#This Row],[Datum]],"MMMM")</f>
        <v>marec</v>
      </c>
    </row>
    <row r="157" spans="1:19" x14ac:dyDescent="0.3">
      <c r="A157" s="2">
        <v>45617</v>
      </c>
      <c r="B157" t="s">
        <v>799</v>
      </c>
      <c r="C157" t="s">
        <v>588</v>
      </c>
      <c r="D157" t="s">
        <v>20</v>
      </c>
      <c r="E157" t="s">
        <v>0</v>
      </c>
      <c r="F157" t="s">
        <v>863</v>
      </c>
      <c r="G157" t="s">
        <v>22</v>
      </c>
      <c r="H157" t="s">
        <v>188</v>
      </c>
      <c r="I157" s="29" t="s">
        <v>791</v>
      </c>
      <c r="J157" t="s">
        <v>63</v>
      </c>
      <c r="K157">
        <v>4</v>
      </c>
      <c r="L157">
        <v>1452</v>
      </c>
      <c r="M157">
        <v>0.17</v>
      </c>
      <c r="N157" s="25">
        <v>5808</v>
      </c>
      <c r="O157">
        <v>2856.6</v>
      </c>
      <c r="P157">
        <v>2951.4</v>
      </c>
      <c r="Q157" s="19">
        <f>Tabuľka4[[#This Row],[Zisk]]/Tabuľka4[[#This Row],[Trzba]]</f>
        <v>0.50816115702479336</v>
      </c>
      <c r="R157">
        <v>2024</v>
      </c>
      <c r="S157" t="str">
        <f>TEXT(Tabuľka4[[#This Row],[Datum]],"MMMM")</f>
        <v>november</v>
      </c>
    </row>
    <row r="158" spans="1:19" x14ac:dyDescent="0.3">
      <c r="A158" s="2">
        <v>45391</v>
      </c>
      <c r="B158" t="s">
        <v>538</v>
      </c>
      <c r="C158" t="s">
        <v>57</v>
      </c>
      <c r="D158" t="s">
        <v>49</v>
      </c>
      <c r="E158" t="s">
        <v>21</v>
      </c>
      <c r="F158" t="s">
        <v>863</v>
      </c>
      <c r="G158" t="s">
        <v>22</v>
      </c>
      <c r="H158" t="s">
        <v>71</v>
      </c>
      <c r="I158" s="29" t="s">
        <v>537</v>
      </c>
      <c r="J158" t="s">
        <v>63</v>
      </c>
      <c r="K158">
        <v>10</v>
      </c>
      <c r="L158">
        <v>573</v>
      </c>
      <c r="M158">
        <v>0.09</v>
      </c>
      <c r="N158" s="25">
        <v>5730</v>
      </c>
      <c r="O158">
        <v>4550.54</v>
      </c>
      <c r="P158">
        <v>1179.46</v>
      </c>
      <c r="Q158" s="19">
        <f>Tabuľka4[[#This Row],[Zisk]]/Tabuľka4[[#This Row],[Trzba]]</f>
        <v>0.20583944153577663</v>
      </c>
      <c r="R158">
        <v>2024</v>
      </c>
      <c r="S158" t="str">
        <f>TEXT(Tabuľka4[[#This Row],[Datum]],"MMMM")</f>
        <v>apríl</v>
      </c>
    </row>
    <row r="159" spans="1:19" x14ac:dyDescent="0.3">
      <c r="A159" s="2">
        <v>45793</v>
      </c>
      <c r="B159" t="s">
        <v>139</v>
      </c>
      <c r="C159" t="s">
        <v>132</v>
      </c>
      <c r="D159" t="s">
        <v>49</v>
      </c>
      <c r="E159" t="s">
        <v>21</v>
      </c>
      <c r="F159" t="s">
        <v>863</v>
      </c>
      <c r="G159" t="s">
        <v>43</v>
      </c>
      <c r="H159" t="s">
        <v>86</v>
      </c>
      <c r="I159" s="29" t="s">
        <v>120</v>
      </c>
      <c r="J159" t="s">
        <v>46</v>
      </c>
      <c r="K159">
        <v>7</v>
      </c>
      <c r="L159">
        <v>816</v>
      </c>
      <c r="M159">
        <v>7.0000000000000007E-2</v>
      </c>
      <c r="N159" s="25">
        <v>5712</v>
      </c>
      <c r="O159">
        <v>3866.14</v>
      </c>
      <c r="P159">
        <v>1845.8600000000001</v>
      </c>
      <c r="Q159" s="19">
        <f>Tabuľka4[[#This Row],[Zisk]]/Tabuľka4[[#This Row],[Trzba]]</f>
        <v>0.32315476190476194</v>
      </c>
      <c r="R159">
        <v>2025</v>
      </c>
      <c r="S159" t="str">
        <f>TEXT(Tabuľka4[[#This Row],[Datum]],"MMMM")</f>
        <v>máj</v>
      </c>
    </row>
    <row r="160" spans="1:19" x14ac:dyDescent="0.3">
      <c r="A160" s="2">
        <v>45644</v>
      </c>
      <c r="B160" t="s">
        <v>161</v>
      </c>
      <c r="C160" t="s">
        <v>78</v>
      </c>
      <c r="D160" t="s">
        <v>20</v>
      </c>
      <c r="E160" t="s">
        <v>68</v>
      </c>
      <c r="F160" t="s">
        <v>863</v>
      </c>
      <c r="G160" t="s">
        <v>22</v>
      </c>
      <c r="H160" t="s">
        <v>23</v>
      </c>
      <c r="I160" s="29" t="s">
        <v>154</v>
      </c>
      <c r="J160" t="s">
        <v>63</v>
      </c>
      <c r="K160">
        <v>3</v>
      </c>
      <c r="L160">
        <v>1885</v>
      </c>
      <c r="M160">
        <v>0.24</v>
      </c>
      <c r="N160" s="25">
        <v>5655</v>
      </c>
      <c r="O160">
        <v>3191.95</v>
      </c>
      <c r="P160">
        <v>2463.0500000000002</v>
      </c>
      <c r="Q160" s="19">
        <f>Tabuľka4[[#This Row],[Zisk]]/Tabuľka4[[#This Row],[Trzba]]</f>
        <v>0.43555260831122905</v>
      </c>
      <c r="R160">
        <v>2024</v>
      </c>
      <c r="S160" t="str">
        <f>TEXT(Tabuľka4[[#This Row],[Datum]],"MMMM")</f>
        <v>december</v>
      </c>
    </row>
    <row r="161" spans="1:19" x14ac:dyDescent="0.3">
      <c r="A161" s="2">
        <v>45409</v>
      </c>
      <c r="B161" t="s">
        <v>794</v>
      </c>
      <c r="C161" t="s">
        <v>795</v>
      </c>
      <c r="D161" t="s">
        <v>20</v>
      </c>
      <c r="E161" t="s">
        <v>21</v>
      </c>
      <c r="F161" t="s">
        <v>863</v>
      </c>
      <c r="G161" t="s">
        <v>22</v>
      </c>
      <c r="H161" t="s">
        <v>188</v>
      </c>
      <c r="I161" s="29" t="s">
        <v>791</v>
      </c>
      <c r="J161" t="s">
        <v>63</v>
      </c>
      <c r="K161">
        <v>3</v>
      </c>
      <c r="L161">
        <v>1847</v>
      </c>
      <c r="M161">
        <v>0.14000000000000001</v>
      </c>
      <c r="N161" s="25">
        <v>5541</v>
      </c>
      <c r="O161">
        <v>3662.35</v>
      </c>
      <c r="P161">
        <v>1878.65</v>
      </c>
      <c r="Q161" s="19">
        <f>Tabuľka4[[#This Row],[Zisk]]/Tabuľka4[[#This Row],[Trzba]]</f>
        <v>0.33904529868254829</v>
      </c>
      <c r="R161">
        <v>2024</v>
      </c>
      <c r="S161" t="str">
        <f>TEXT(Tabuľka4[[#This Row],[Datum]],"MMMM")</f>
        <v>apríl</v>
      </c>
    </row>
    <row r="162" spans="1:19" x14ac:dyDescent="0.3">
      <c r="A162" s="2">
        <v>46073</v>
      </c>
      <c r="B162" t="s">
        <v>582</v>
      </c>
      <c r="C162" t="s">
        <v>180</v>
      </c>
      <c r="D162" t="s">
        <v>20</v>
      </c>
      <c r="E162" t="s">
        <v>21</v>
      </c>
      <c r="F162" t="s">
        <v>863</v>
      </c>
      <c r="G162" t="s">
        <v>22</v>
      </c>
      <c r="H162" t="s">
        <v>71</v>
      </c>
      <c r="I162" s="29" t="s">
        <v>558</v>
      </c>
      <c r="J162" t="s">
        <v>51</v>
      </c>
      <c r="K162">
        <v>1</v>
      </c>
      <c r="L162">
        <v>5451</v>
      </c>
      <c r="M162">
        <v>0.09</v>
      </c>
      <c r="N162" s="25">
        <v>5451</v>
      </c>
      <c r="O162">
        <v>4045.68</v>
      </c>
      <c r="P162">
        <v>1405.3200000000002</v>
      </c>
      <c r="Q162" s="19">
        <f>Tabuľka4[[#This Row],[Zisk]]/Tabuľka4[[#This Row],[Trzba]]</f>
        <v>0.25780957622454598</v>
      </c>
      <c r="R162">
        <v>2026</v>
      </c>
      <c r="S162" t="str">
        <f>TEXT(Tabuľka4[[#This Row],[Datum]],"MMMM")</f>
        <v>február</v>
      </c>
    </row>
    <row r="163" spans="1:19" x14ac:dyDescent="0.3">
      <c r="A163" s="2">
        <v>46026</v>
      </c>
      <c r="B163" t="s">
        <v>767</v>
      </c>
      <c r="C163" t="s">
        <v>96</v>
      </c>
      <c r="D163" t="s">
        <v>49</v>
      </c>
      <c r="E163" t="s">
        <v>0</v>
      </c>
      <c r="F163" t="s">
        <v>863</v>
      </c>
      <c r="G163" t="s">
        <v>58</v>
      </c>
      <c r="H163" t="s">
        <v>188</v>
      </c>
      <c r="I163" s="29" t="s">
        <v>738</v>
      </c>
      <c r="J163" t="s">
        <v>51</v>
      </c>
      <c r="K163">
        <v>9</v>
      </c>
      <c r="L163">
        <v>604</v>
      </c>
      <c r="M163">
        <v>0.03</v>
      </c>
      <c r="N163" s="25">
        <v>5436</v>
      </c>
      <c r="O163">
        <v>4486.21</v>
      </c>
      <c r="P163">
        <v>949.79</v>
      </c>
      <c r="Q163" s="19">
        <f>Tabuľka4[[#This Row],[Zisk]]/Tabuľka4[[#This Row],[Trzba]]</f>
        <v>0.17472222222222222</v>
      </c>
      <c r="R163">
        <v>2026</v>
      </c>
      <c r="S163" t="str">
        <f>TEXT(Tabuľka4[[#This Row],[Datum]],"MMMM")</f>
        <v>január</v>
      </c>
    </row>
    <row r="164" spans="1:19" x14ac:dyDescent="0.3">
      <c r="A164" s="2">
        <v>45774</v>
      </c>
      <c r="B164" t="s">
        <v>350</v>
      </c>
      <c r="C164" t="s">
        <v>57</v>
      </c>
      <c r="D164" t="s">
        <v>49</v>
      </c>
      <c r="E164" t="s">
        <v>50</v>
      </c>
      <c r="F164" t="s">
        <v>863</v>
      </c>
      <c r="G164" t="s">
        <v>43</v>
      </c>
      <c r="H164" t="s">
        <v>71</v>
      </c>
      <c r="I164" s="29" t="s">
        <v>333</v>
      </c>
      <c r="J164" t="s">
        <v>30</v>
      </c>
      <c r="K164">
        <v>6</v>
      </c>
      <c r="L164">
        <v>895</v>
      </c>
      <c r="M164">
        <v>0.08</v>
      </c>
      <c r="N164" s="25">
        <v>5370</v>
      </c>
      <c r="O164">
        <v>4341.09</v>
      </c>
      <c r="P164">
        <v>1028.9099999999999</v>
      </c>
      <c r="Q164" s="19">
        <f>Tabuľka4[[#This Row],[Zisk]]/Tabuľka4[[#This Row],[Trzba]]</f>
        <v>0.19160335195530723</v>
      </c>
      <c r="R164">
        <v>2025</v>
      </c>
      <c r="S164" t="str">
        <f>TEXT(Tabuľka4[[#This Row],[Datum]],"MMMM")</f>
        <v>apríl</v>
      </c>
    </row>
    <row r="165" spans="1:19" x14ac:dyDescent="0.3">
      <c r="A165" s="2">
        <v>45362</v>
      </c>
      <c r="B165" t="s">
        <v>560</v>
      </c>
      <c r="C165" t="s">
        <v>561</v>
      </c>
      <c r="D165" t="s">
        <v>20</v>
      </c>
      <c r="E165" t="s">
        <v>21</v>
      </c>
      <c r="F165" t="s">
        <v>863</v>
      </c>
      <c r="G165" t="s">
        <v>22</v>
      </c>
      <c r="H165" t="s">
        <v>71</v>
      </c>
      <c r="I165" s="29" t="s">
        <v>558</v>
      </c>
      <c r="J165" t="s">
        <v>51</v>
      </c>
      <c r="K165">
        <v>1</v>
      </c>
      <c r="L165">
        <v>5357</v>
      </c>
      <c r="M165">
        <v>0.04</v>
      </c>
      <c r="N165" s="25">
        <v>5357</v>
      </c>
      <c r="O165">
        <v>3905.39</v>
      </c>
      <c r="P165">
        <v>1451.6100000000001</v>
      </c>
      <c r="Q165" s="19">
        <f>Tabuľka4[[#This Row],[Zisk]]/Tabuľka4[[#This Row],[Trzba]]</f>
        <v>0.27097442598469296</v>
      </c>
      <c r="R165">
        <v>2024</v>
      </c>
      <c r="S165" t="str">
        <f>TEXT(Tabuľka4[[#This Row],[Datum]],"MMMM")</f>
        <v>marec</v>
      </c>
    </row>
    <row r="166" spans="1:19" x14ac:dyDescent="0.3">
      <c r="A166" s="2">
        <v>45856</v>
      </c>
      <c r="B166" t="s">
        <v>171</v>
      </c>
      <c r="C166" t="s">
        <v>172</v>
      </c>
      <c r="D166" t="s">
        <v>20</v>
      </c>
      <c r="E166" t="s">
        <v>21</v>
      </c>
      <c r="F166" t="s">
        <v>863</v>
      </c>
      <c r="G166" t="s">
        <v>22</v>
      </c>
      <c r="H166" t="s">
        <v>23</v>
      </c>
      <c r="I166" s="29" t="s">
        <v>154</v>
      </c>
      <c r="J166" t="s">
        <v>30</v>
      </c>
      <c r="K166">
        <v>3</v>
      </c>
      <c r="L166">
        <v>1780</v>
      </c>
      <c r="M166">
        <v>7.0000000000000007E-2</v>
      </c>
      <c r="N166" s="25">
        <v>5340</v>
      </c>
      <c r="O166">
        <v>3860.34</v>
      </c>
      <c r="P166">
        <v>1479.6599999999999</v>
      </c>
      <c r="Q166" s="19">
        <f>Tabuľka4[[#This Row],[Zisk]]/Tabuľka4[[#This Row],[Trzba]]</f>
        <v>0.27708988764044939</v>
      </c>
      <c r="R166">
        <v>2025</v>
      </c>
      <c r="S166" t="str">
        <f>TEXT(Tabuľka4[[#This Row],[Datum]],"MMMM")</f>
        <v>júl</v>
      </c>
    </row>
    <row r="167" spans="1:19" x14ac:dyDescent="0.3">
      <c r="A167" s="2">
        <v>45467</v>
      </c>
      <c r="B167" t="s">
        <v>746</v>
      </c>
      <c r="C167" t="s">
        <v>48</v>
      </c>
      <c r="D167" t="s">
        <v>49</v>
      </c>
      <c r="E167" t="s">
        <v>50</v>
      </c>
      <c r="F167" t="s">
        <v>863</v>
      </c>
      <c r="G167" t="s">
        <v>58</v>
      </c>
      <c r="H167" t="s">
        <v>188</v>
      </c>
      <c r="I167" s="29" t="s">
        <v>738</v>
      </c>
      <c r="J167" t="s">
        <v>46</v>
      </c>
      <c r="K167">
        <v>7</v>
      </c>
      <c r="L167">
        <v>755</v>
      </c>
      <c r="M167">
        <v>0.04</v>
      </c>
      <c r="N167" s="25">
        <v>5285</v>
      </c>
      <c r="O167">
        <v>3649.54</v>
      </c>
      <c r="P167">
        <v>1635.46</v>
      </c>
      <c r="Q167" s="19">
        <f>Tabuľka4[[#This Row],[Zisk]]/Tabuľka4[[#This Row],[Trzba]]</f>
        <v>0.30945316934720907</v>
      </c>
      <c r="R167">
        <v>2024</v>
      </c>
      <c r="S167" t="str">
        <f>TEXT(Tabuľka4[[#This Row],[Datum]],"MMMM")</f>
        <v>jún</v>
      </c>
    </row>
    <row r="168" spans="1:19" x14ac:dyDescent="0.3">
      <c r="A168" s="2">
        <v>45627</v>
      </c>
      <c r="B168" t="s">
        <v>801</v>
      </c>
      <c r="C168" t="s">
        <v>461</v>
      </c>
      <c r="D168" t="s">
        <v>20</v>
      </c>
      <c r="E168" t="s">
        <v>0</v>
      </c>
      <c r="F168" t="s">
        <v>863</v>
      </c>
      <c r="G168" t="s">
        <v>22</v>
      </c>
      <c r="H168" t="s">
        <v>188</v>
      </c>
      <c r="I168" s="29" t="s">
        <v>791</v>
      </c>
      <c r="J168" t="s">
        <v>63</v>
      </c>
      <c r="K168">
        <v>5</v>
      </c>
      <c r="L168">
        <v>1046</v>
      </c>
      <c r="M168">
        <v>0.12</v>
      </c>
      <c r="N168" s="25">
        <v>5230</v>
      </c>
      <c r="O168">
        <v>2767.15</v>
      </c>
      <c r="P168">
        <v>2462.85</v>
      </c>
      <c r="Q168" s="19">
        <f>Tabuľka4[[#This Row],[Zisk]]/Tabuľka4[[#This Row],[Trzba]]</f>
        <v>0.47090822179732311</v>
      </c>
      <c r="R168">
        <v>2024</v>
      </c>
      <c r="S168" t="str">
        <f>TEXT(Tabuľka4[[#This Row],[Datum]],"MMMM")</f>
        <v>december</v>
      </c>
    </row>
    <row r="169" spans="1:19" x14ac:dyDescent="0.3">
      <c r="A169" s="2">
        <v>45569</v>
      </c>
      <c r="B169" t="s">
        <v>34</v>
      </c>
      <c r="C169" t="s">
        <v>35</v>
      </c>
      <c r="D169" t="s">
        <v>20</v>
      </c>
      <c r="E169" t="s">
        <v>21</v>
      </c>
      <c r="F169" t="s">
        <v>863</v>
      </c>
      <c r="G169" t="s">
        <v>22</v>
      </c>
      <c r="H169" t="s">
        <v>23</v>
      </c>
      <c r="I169" s="29" t="s">
        <v>24</v>
      </c>
      <c r="J169" t="s">
        <v>30</v>
      </c>
      <c r="K169">
        <v>1</v>
      </c>
      <c r="L169">
        <v>5212</v>
      </c>
      <c r="M169">
        <v>7.0000000000000007E-2</v>
      </c>
      <c r="N169" s="25">
        <v>5212</v>
      </c>
      <c r="O169">
        <v>3194.96</v>
      </c>
      <c r="P169">
        <v>2017.04</v>
      </c>
      <c r="Q169" s="19">
        <f>Tabuľka4[[#This Row],[Zisk]]/Tabuľka4[[#This Row],[Trzba]]</f>
        <v>0.38699923254029162</v>
      </c>
      <c r="R169">
        <v>2024</v>
      </c>
      <c r="S169" t="str">
        <f>TEXT(Tabuľka4[[#This Row],[Datum]],"MMMM")</f>
        <v>október</v>
      </c>
    </row>
    <row r="170" spans="1:19" x14ac:dyDescent="0.3">
      <c r="A170" s="2">
        <v>46035</v>
      </c>
      <c r="B170" t="s">
        <v>580</v>
      </c>
      <c r="C170" t="s">
        <v>581</v>
      </c>
      <c r="D170" t="s">
        <v>20</v>
      </c>
      <c r="E170" t="s">
        <v>0</v>
      </c>
      <c r="F170" t="s">
        <v>863</v>
      </c>
      <c r="G170" t="s">
        <v>22</v>
      </c>
      <c r="H170" t="s">
        <v>71</v>
      </c>
      <c r="I170" s="29" t="s">
        <v>558</v>
      </c>
      <c r="J170" t="s">
        <v>38</v>
      </c>
      <c r="K170">
        <v>1</v>
      </c>
      <c r="L170">
        <v>5173</v>
      </c>
      <c r="M170">
        <v>0.06</v>
      </c>
      <c r="N170" s="25">
        <v>5173</v>
      </c>
      <c r="O170">
        <v>3584.28</v>
      </c>
      <c r="P170">
        <v>1588.7199999999998</v>
      </c>
      <c r="Q170" s="19">
        <f>Tabuľka4[[#This Row],[Zisk]]/Tabuľka4[[#This Row],[Trzba]]</f>
        <v>0.30711772665764542</v>
      </c>
      <c r="R170">
        <v>2026</v>
      </c>
      <c r="S170" t="str">
        <f>TEXT(Tabuľka4[[#This Row],[Datum]],"MMMM")</f>
        <v>január</v>
      </c>
    </row>
    <row r="171" spans="1:19" x14ac:dyDescent="0.3">
      <c r="A171" s="2">
        <v>46042</v>
      </c>
      <c r="B171" t="s">
        <v>393</v>
      </c>
      <c r="C171" t="s">
        <v>48</v>
      </c>
      <c r="D171" t="s">
        <v>49</v>
      </c>
      <c r="E171" t="s">
        <v>0</v>
      </c>
      <c r="F171" t="s">
        <v>863</v>
      </c>
      <c r="G171" t="s">
        <v>58</v>
      </c>
      <c r="H171" t="s">
        <v>71</v>
      </c>
      <c r="I171" s="29" t="s">
        <v>367</v>
      </c>
      <c r="J171" t="s">
        <v>88</v>
      </c>
      <c r="K171">
        <v>6</v>
      </c>
      <c r="L171">
        <v>860</v>
      </c>
      <c r="M171">
        <v>0.13</v>
      </c>
      <c r="N171" s="25">
        <v>5160</v>
      </c>
      <c r="O171">
        <v>3791.64</v>
      </c>
      <c r="P171">
        <v>1368.3600000000001</v>
      </c>
      <c r="Q171" s="19">
        <f>Tabuľka4[[#This Row],[Zisk]]/Tabuľka4[[#This Row],[Trzba]]</f>
        <v>0.26518604651162792</v>
      </c>
      <c r="R171">
        <v>2026</v>
      </c>
      <c r="S171" t="str">
        <f>TEXT(Tabuľka4[[#This Row],[Datum]],"MMMM")</f>
        <v>január</v>
      </c>
    </row>
    <row r="172" spans="1:19" x14ac:dyDescent="0.3">
      <c r="A172" s="2">
        <v>45555</v>
      </c>
      <c r="B172" t="s">
        <v>431</v>
      </c>
      <c r="C172" t="s">
        <v>57</v>
      </c>
      <c r="D172" t="s">
        <v>49</v>
      </c>
      <c r="E172" t="s">
        <v>0</v>
      </c>
      <c r="F172" t="s">
        <v>863</v>
      </c>
      <c r="G172" t="s">
        <v>58</v>
      </c>
      <c r="H172" t="s">
        <v>188</v>
      </c>
      <c r="I172" s="29" t="s">
        <v>424</v>
      </c>
      <c r="J172" t="s">
        <v>33</v>
      </c>
      <c r="K172">
        <v>6</v>
      </c>
      <c r="L172">
        <v>858</v>
      </c>
      <c r="M172">
        <v>0.1</v>
      </c>
      <c r="N172" s="25">
        <v>5148</v>
      </c>
      <c r="O172">
        <v>4074.82</v>
      </c>
      <c r="P172">
        <v>1073.1799999999998</v>
      </c>
      <c r="Q172" s="19">
        <f>Tabuľka4[[#This Row],[Zisk]]/Tabuľka4[[#This Row],[Trzba]]</f>
        <v>0.20846542346542343</v>
      </c>
      <c r="R172">
        <v>2024</v>
      </c>
      <c r="S172" t="str">
        <f>TEXT(Tabuľka4[[#This Row],[Datum]],"MMMM")</f>
        <v>september</v>
      </c>
    </row>
    <row r="173" spans="1:19" x14ac:dyDescent="0.3">
      <c r="A173" s="2">
        <v>45372</v>
      </c>
      <c r="B173" t="s">
        <v>711</v>
      </c>
      <c r="C173" t="s">
        <v>712</v>
      </c>
      <c r="D173" t="s">
        <v>20</v>
      </c>
      <c r="E173" t="s">
        <v>68</v>
      </c>
      <c r="F173" t="s">
        <v>863</v>
      </c>
      <c r="G173" t="s">
        <v>22</v>
      </c>
      <c r="H173" t="s">
        <v>86</v>
      </c>
      <c r="I173" s="29" t="s">
        <v>709</v>
      </c>
      <c r="J173" t="s">
        <v>88</v>
      </c>
      <c r="K173">
        <v>1</v>
      </c>
      <c r="L173">
        <v>5123</v>
      </c>
      <c r="M173">
        <v>0.19</v>
      </c>
      <c r="N173" s="25">
        <v>5123</v>
      </c>
      <c r="O173">
        <v>2578.48</v>
      </c>
      <c r="P173">
        <v>2544.52</v>
      </c>
      <c r="Q173" s="19">
        <f>Tabuľka4[[#This Row],[Zisk]]/Tabuľka4[[#This Row],[Trzba]]</f>
        <v>0.49668553581885616</v>
      </c>
      <c r="R173">
        <v>2024</v>
      </c>
      <c r="S173" t="str">
        <f>TEXT(Tabuľka4[[#This Row],[Datum]],"MMMM")</f>
        <v>marec</v>
      </c>
    </row>
    <row r="174" spans="1:19" x14ac:dyDescent="0.3">
      <c r="A174" s="2">
        <v>46023</v>
      </c>
      <c r="B174" t="s">
        <v>361</v>
      </c>
      <c r="C174" t="s">
        <v>362</v>
      </c>
      <c r="D174" t="s">
        <v>20</v>
      </c>
      <c r="E174" t="s">
        <v>0</v>
      </c>
      <c r="F174" t="s">
        <v>863</v>
      </c>
      <c r="G174" t="s">
        <v>22</v>
      </c>
      <c r="H174" t="s">
        <v>71</v>
      </c>
      <c r="I174" s="29" t="s">
        <v>333</v>
      </c>
      <c r="J174" t="s">
        <v>25</v>
      </c>
      <c r="K174">
        <v>3</v>
      </c>
      <c r="L174">
        <v>1698</v>
      </c>
      <c r="M174">
        <v>0.05</v>
      </c>
      <c r="N174" s="25">
        <v>5094</v>
      </c>
      <c r="O174">
        <v>4437.38</v>
      </c>
      <c r="P174">
        <v>656.61999999999989</v>
      </c>
      <c r="Q174" s="19">
        <f>Tabuľka4[[#This Row],[Zisk]]/Tabuľka4[[#This Row],[Trzba]]</f>
        <v>0.12890066745190418</v>
      </c>
      <c r="R174">
        <v>2026</v>
      </c>
      <c r="S174" t="str">
        <f>TEXT(Tabuľka4[[#This Row],[Datum]],"MMMM")</f>
        <v>január</v>
      </c>
    </row>
    <row r="175" spans="1:19" x14ac:dyDescent="0.3">
      <c r="A175" s="2">
        <v>45363</v>
      </c>
      <c r="B175" t="s">
        <v>423</v>
      </c>
      <c r="C175" t="s">
        <v>132</v>
      </c>
      <c r="D175" t="s">
        <v>49</v>
      </c>
      <c r="E175" t="s">
        <v>68</v>
      </c>
      <c r="F175" t="s">
        <v>863</v>
      </c>
      <c r="G175" t="s">
        <v>58</v>
      </c>
      <c r="H175" t="s">
        <v>188</v>
      </c>
      <c r="I175" s="29" t="s">
        <v>424</v>
      </c>
      <c r="J175" t="s">
        <v>33</v>
      </c>
      <c r="K175">
        <v>10</v>
      </c>
      <c r="L175">
        <v>504</v>
      </c>
      <c r="M175">
        <v>0.02</v>
      </c>
      <c r="N175" s="25">
        <v>5040</v>
      </c>
      <c r="O175">
        <v>2860.2</v>
      </c>
      <c r="P175">
        <v>2179.8000000000002</v>
      </c>
      <c r="Q175" s="19">
        <f>Tabuľka4[[#This Row],[Zisk]]/Tabuľka4[[#This Row],[Trzba]]</f>
        <v>0.43250000000000005</v>
      </c>
      <c r="R175">
        <v>2024</v>
      </c>
      <c r="S175" t="str">
        <f>TEXT(Tabuľka4[[#This Row],[Datum]],"MMMM")</f>
        <v>marec</v>
      </c>
    </row>
    <row r="176" spans="1:19" x14ac:dyDescent="0.3">
      <c r="A176" s="2">
        <v>45649</v>
      </c>
      <c r="B176" t="s">
        <v>490</v>
      </c>
      <c r="C176" t="s">
        <v>235</v>
      </c>
      <c r="D176" t="s">
        <v>49</v>
      </c>
      <c r="E176" t="s">
        <v>68</v>
      </c>
      <c r="F176" t="s">
        <v>863</v>
      </c>
      <c r="G176" t="s">
        <v>58</v>
      </c>
      <c r="H176" t="s">
        <v>86</v>
      </c>
      <c r="I176" s="29" t="s">
        <v>483</v>
      </c>
      <c r="J176" t="s">
        <v>25</v>
      </c>
      <c r="K176">
        <v>7</v>
      </c>
      <c r="L176">
        <v>716</v>
      </c>
      <c r="M176">
        <v>0.22</v>
      </c>
      <c r="N176" s="25">
        <v>5012</v>
      </c>
      <c r="O176">
        <v>3451.93</v>
      </c>
      <c r="P176">
        <v>1560.0700000000002</v>
      </c>
      <c r="Q176" s="19">
        <f>Tabuľka4[[#This Row],[Zisk]]/Tabuľka4[[#This Row],[Trzba]]</f>
        <v>0.31126695929768561</v>
      </c>
      <c r="R176">
        <v>2024</v>
      </c>
      <c r="S176" t="str">
        <f>TEXT(Tabuľka4[[#This Row],[Datum]],"MMMM")</f>
        <v>december</v>
      </c>
    </row>
    <row r="177" spans="1:19" x14ac:dyDescent="0.3">
      <c r="A177" s="2">
        <v>45396</v>
      </c>
      <c r="B177" t="s">
        <v>741</v>
      </c>
      <c r="C177" t="s">
        <v>185</v>
      </c>
      <c r="D177" t="s">
        <v>49</v>
      </c>
      <c r="E177" t="s">
        <v>68</v>
      </c>
      <c r="F177" t="s">
        <v>863</v>
      </c>
      <c r="G177" t="s">
        <v>22</v>
      </c>
      <c r="H177" t="s">
        <v>188</v>
      </c>
      <c r="I177" s="29" t="s">
        <v>738</v>
      </c>
      <c r="J177" t="s">
        <v>46</v>
      </c>
      <c r="K177">
        <v>10</v>
      </c>
      <c r="L177">
        <v>494</v>
      </c>
      <c r="M177">
        <v>0.03</v>
      </c>
      <c r="N177" s="25">
        <v>4940</v>
      </c>
      <c r="O177">
        <v>4219.71</v>
      </c>
      <c r="P177">
        <v>720.29</v>
      </c>
      <c r="Q177" s="19">
        <f>Tabuľka4[[#This Row],[Zisk]]/Tabuľka4[[#This Row],[Trzba]]</f>
        <v>0.1458076923076923</v>
      </c>
      <c r="R177">
        <v>2024</v>
      </c>
      <c r="S177" t="str">
        <f>TEXT(Tabuľka4[[#This Row],[Datum]],"MMMM")</f>
        <v>apríl</v>
      </c>
    </row>
    <row r="178" spans="1:19" x14ac:dyDescent="0.3">
      <c r="A178" s="2">
        <v>45846</v>
      </c>
      <c r="B178" t="s">
        <v>809</v>
      </c>
      <c r="C178" t="s">
        <v>810</v>
      </c>
      <c r="D178" t="s">
        <v>20</v>
      </c>
      <c r="E178" t="s">
        <v>21</v>
      </c>
      <c r="F178" t="s">
        <v>863</v>
      </c>
      <c r="G178" t="s">
        <v>22</v>
      </c>
      <c r="H178" t="s">
        <v>188</v>
      </c>
      <c r="I178" s="29" t="s">
        <v>791</v>
      </c>
      <c r="J178" t="s">
        <v>38</v>
      </c>
      <c r="K178">
        <v>4</v>
      </c>
      <c r="L178">
        <v>1221</v>
      </c>
      <c r="M178">
        <v>0.05</v>
      </c>
      <c r="N178" s="25">
        <v>4884</v>
      </c>
      <c r="O178">
        <v>3280.28</v>
      </c>
      <c r="P178">
        <v>1603.7199999999998</v>
      </c>
      <c r="Q178" s="19">
        <f>Tabuľka4[[#This Row],[Zisk]]/Tabuľka4[[#This Row],[Trzba]]</f>
        <v>0.32836199836199831</v>
      </c>
      <c r="R178">
        <v>2025</v>
      </c>
      <c r="S178" t="str">
        <f>TEXT(Tabuľka4[[#This Row],[Datum]],"MMMM")</f>
        <v>júl</v>
      </c>
    </row>
    <row r="179" spans="1:19" x14ac:dyDescent="0.3">
      <c r="A179" s="2">
        <v>45400</v>
      </c>
      <c r="B179" t="s">
        <v>313</v>
      </c>
      <c r="C179" t="s">
        <v>314</v>
      </c>
      <c r="D179" t="s">
        <v>20</v>
      </c>
      <c r="E179" t="s">
        <v>21</v>
      </c>
      <c r="F179" t="s">
        <v>863</v>
      </c>
      <c r="G179" t="s">
        <v>22</v>
      </c>
      <c r="H179" t="s">
        <v>86</v>
      </c>
      <c r="I179" s="29" t="s">
        <v>310</v>
      </c>
      <c r="J179" t="s">
        <v>38</v>
      </c>
      <c r="K179">
        <v>5</v>
      </c>
      <c r="L179">
        <v>953</v>
      </c>
      <c r="M179">
        <v>7.0000000000000007E-2</v>
      </c>
      <c r="N179" s="25">
        <v>4765</v>
      </c>
      <c r="O179">
        <v>3061.59</v>
      </c>
      <c r="P179">
        <v>1703.4099999999999</v>
      </c>
      <c r="Q179" s="19">
        <f>Tabuľka4[[#This Row],[Zisk]]/Tabuľka4[[#This Row],[Trzba]]</f>
        <v>0.35748373557187824</v>
      </c>
      <c r="R179">
        <v>2024</v>
      </c>
      <c r="S179" t="str">
        <f>TEXT(Tabuľka4[[#This Row],[Datum]],"MMMM")</f>
        <v>apríl</v>
      </c>
    </row>
    <row r="180" spans="1:19" x14ac:dyDescent="0.3">
      <c r="A180" s="2">
        <v>45956</v>
      </c>
      <c r="B180" t="s">
        <v>143</v>
      </c>
      <c r="C180" t="s">
        <v>48</v>
      </c>
      <c r="D180" t="s">
        <v>49</v>
      </c>
      <c r="E180" t="s">
        <v>21</v>
      </c>
      <c r="F180" t="s">
        <v>863</v>
      </c>
      <c r="G180" t="s">
        <v>22</v>
      </c>
      <c r="H180" t="s">
        <v>86</v>
      </c>
      <c r="I180" s="29" t="s">
        <v>120</v>
      </c>
      <c r="J180" t="s">
        <v>30</v>
      </c>
      <c r="K180">
        <v>6</v>
      </c>
      <c r="L180">
        <v>793</v>
      </c>
      <c r="M180">
        <v>0.18</v>
      </c>
      <c r="N180" s="25">
        <v>4758</v>
      </c>
      <c r="O180">
        <v>2862.57</v>
      </c>
      <c r="P180">
        <v>1895.4299999999998</v>
      </c>
      <c r="Q180" s="19">
        <f>Tabuľka4[[#This Row],[Zisk]]/Tabuľka4[[#This Row],[Trzba]]</f>
        <v>0.39836696090794449</v>
      </c>
      <c r="R180">
        <v>2025</v>
      </c>
      <c r="S180" t="str">
        <f>TEXT(Tabuľka4[[#This Row],[Datum]],"MMMM")</f>
        <v>október</v>
      </c>
    </row>
    <row r="181" spans="1:19" x14ac:dyDescent="0.3">
      <c r="A181" s="2">
        <v>45465</v>
      </c>
      <c r="B181" t="s">
        <v>562</v>
      </c>
      <c r="C181" t="s">
        <v>563</v>
      </c>
      <c r="D181" t="s">
        <v>20</v>
      </c>
      <c r="E181" t="s">
        <v>68</v>
      </c>
      <c r="F181" t="s">
        <v>863</v>
      </c>
      <c r="G181" t="s">
        <v>43</v>
      </c>
      <c r="H181" t="s">
        <v>71</v>
      </c>
      <c r="I181" s="29" t="s">
        <v>558</v>
      </c>
      <c r="J181" t="s">
        <v>25</v>
      </c>
      <c r="K181">
        <v>1</v>
      </c>
      <c r="L181">
        <v>4748</v>
      </c>
      <c r="M181">
        <v>0.04</v>
      </c>
      <c r="N181" s="25">
        <v>4748</v>
      </c>
      <c r="O181">
        <v>3331.37</v>
      </c>
      <c r="P181">
        <v>1416.63</v>
      </c>
      <c r="Q181" s="19">
        <f>Tabuľka4[[#This Row],[Zisk]]/Tabuľka4[[#This Row],[Trzba]]</f>
        <v>0.2983635214827296</v>
      </c>
      <c r="R181">
        <v>2024</v>
      </c>
      <c r="S181" t="str">
        <f>TEXT(Tabuľka4[[#This Row],[Datum]],"MMMM")</f>
        <v>jún</v>
      </c>
    </row>
    <row r="182" spans="1:19" x14ac:dyDescent="0.3">
      <c r="A182" s="2">
        <v>45786</v>
      </c>
      <c r="B182" t="s">
        <v>135</v>
      </c>
      <c r="C182" t="s">
        <v>136</v>
      </c>
      <c r="D182" t="s">
        <v>20</v>
      </c>
      <c r="E182" t="s">
        <v>0</v>
      </c>
      <c r="F182" t="s">
        <v>863</v>
      </c>
      <c r="G182" t="s">
        <v>43</v>
      </c>
      <c r="H182" t="s">
        <v>86</v>
      </c>
      <c r="I182" s="29" t="s">
        <v>120</v>
      </c>
      <c r="J182" t="s">
        <v>46</v>
      </c>
      <c r="K182">
        <v>5</v>
      </c>
      <c r="L182">
        <v>937</v>
      </c>
      <c r="M182">
        <v>0.14000000000000001</v>
      </c>
      <c r="N182" s="25">
        <v>4685</v>
      </c>
      <c r="O182">
        <v>3005.28</v>
      </c>
      <c r="P182">
        <v>1679.7199999999998</v>
      </c>
      <c r="Q182" s="19">
        <f>Tabuľka4[[#This Row],[Zisk]]/Tabuľka4[[#This Row],[Trzba]]</f>
        <v>0.35853148345784414</v>
      </c>
      <c r="R182">
        <v>2025</v>
      </c>
      <c r="S182" t="str">
        <f>TEXT(Tabuľka4[[#This Row],[Datum]],"MMMM")</f>
        <v>máj</v>
      </c>
    </row>
    <row r="183" spans="1:19" x14ac:dyDescent="0.3">
      <c r="A183" s="2">
        <v>45562</v>
      </c>
      <c r="B183" t="s">
        <v>155</v>
      </c>
      <c r="C183" t="s">
        <v>156</v>
      </c>
      <c r="D183" t="s">
        <v>20</v>
      </c>
      <c r="E183" t="s">
        <v>68</v>
      </c>
      <c r="F183" t="s">
        <v>863</v>
      </c>
      <c r="G183" t="s">
        <v>22</v>
      </c>
      <c r="H183" t="s">
        <v>23</v>
      </c>
      <c r="I183" s="29" t="s">
        <v>154</v>
      </c>
      <c r="J183" t="s">
        <v>51</v>
      </c>
      <c r="K183">
        <v>3</v>
      </c>
      <c r="L183">
        <v>1561</v>
      </c>
      <c r="M183">
        <v>0.05</v>
      </c>
      <c r="N183" s="25">
        <v>4683</v>
      </c>
      <c r="O183">
        <v>3126.78</v>
      </c>
      <c r="P183">
        <v>1556.2199999999998</v>
      </c>
      <c r="Q183" s="19">
        <f>Tabuľka4[[#This Row],[Zisk]]/Tabuľka4[[#This Row],[Trzba]]</f>
        <v>0.33231262011531065</v>
      </c>
      <c r="R183">
        <v>2024</v>
      </c>
      <c r="S183" t="str">
        <f>TEXT(Tabuľka4[[#This Row],[Datum]],"MMMM")</f>
        <v>september</v>
      </c>
    </row>
    <row r="184" spans="1:19" x14ac:dyDescent="0.3">
      <c r="A184" s="2">
        <v>46062</v>
      </c>
      <c r="B184" t="s">
        <v>394</v>
      </c>
      <c r="C184" t="s">
        <v>74</v>
      </c>
      <c r="D184" t="s">
        <v>49</v>
      </c>
      <c r="E184" t="s">
        <v>0</v>
      </c>
      <c r="F184" t="s">
        <v>863</v>
      </c>
      <c r="G184" t="s">
        <v>58</v>
      </c>
      <c r="H184" t="s">
        <v>71</v>
      </c>
      <c r="I184" s="29" t="s">
        <v>367</v>
      </c>
      <c r="J184" t="s">
        <v>30</v>
      </c>
      <c r="K184">
        <v>5</v>
      </c>
      <c r="L184">
        <v>926</v>
      </c>
      <c r="M184">
        <v>0.08</v>
      </c>
      <c r="N184" s="25">
        <v>4630</v>
      </c>
      <c r="O184">
        <v>3634.89</v>
      </c>
      <c r="P184">
        <v>995.11000000000013</v>
      </c>
      <c r="Q184" s="19">
        <f>Tabuľka4[[#This Row],[Zisk]]/Tabuľka4[[#This Row],[Trzba]]</f>
        <v>0.21492656587473005</v>
      </c>
      <c r="R184">
        <v>2026</v>
      </c>
      <c r="S184" t="str">
        <f>TEXT(Tabuľka4[[#This Row],[Datum]],"MMMM")</f>
        <v>február</v>
      </c>
    </row>
    <row r="185" spans="1:19" x14ac:dyDescent="0.3">
      <c r="A185" s="2">
        <v>45360</v>
      </c>
      <c r="B185" t="s">
        <v>334</v>
      </c>
      <c r="C185" t="s">
        <v>149</v>
      </c>
      <c r="D185" t="s">
        <v>20</v>
      </c>
      <c r="E185" t="s">
        <v>68</v>
      </c>
      <c r="F185" t="s">
        <v>863</v>
      </c>
      <c r="G185" t="s">
        <v>43</v>
      </c>
      <c r="H185" t="s">
        <v>71</v>
      </c>
      <c r="I185" s="29" t="s">
        <v>333</v>
      </c>
      <c r="J185" t="s">
        <v>51</v>
      </c>
      <c r="K185">
        <v>3</v>
      </c>
      <c r="L185">
        <v>1539</v>
      </c>
      <c r="M185">
        <v>0.04</v>
      </c>
      <c r="N185" s="25">
        <v>4617</v>
      </c>
      <c r="O185">
        <v>3680.29</v>
      </c>
      <c r="P185">
        <v>936.71</v>
      </c>
      <c r="Q185" s="19">
        <f>Tabuľka4[[#This Row],[Zisk]]/Tabuľka4[[#This Row],[Trzba]]</f>
        <v>0.20288282434481267</v>
      </c>
      <c r="R185">
        <v>2024</v>
      </c>
      <c r="S185" t="str">
        <f>TEXT(Tabuľka4[[#This Row],[Datum]],"MMMM")</f>
        <v>marec</v>
      </c>
    </row>
    <row r="186" spans="1:19" x14ac:dyDescent="0.3">
      <c r="A186" s="2">
        <v>45580</v>
      </c>
      <c r="B186" t="s">
        <v>595</v>
      </c>
      <c r="C186" t="s">
        <v>596</v>
      </c>
      <c r="D186" t="s">
        <v>20</v>
      </c>
      <c r="E186" t="s">
        <v>21</v>
      </c>
      <c r="F186" t="s">
        <v>863</v>
      </c>
      <c r="G186" t="s">
        <v>22</v>
      </c>
      <c r="H186" t="s">
        <v>86</v>
      </c>
      <c r="I186" s="29" t="s">
        <v>586</v>
      </c>
      <c r="J186" t="s">
        <v>25</v>
      </c>
      <c r="K186">
        <v>2</v>
      </c>
      <c r="L186">
        <v>2302</v>
      </c>
      <c r="M186">
        <v>0.13</v>
      </c>
      <c r="N186" s="25">
        <v>4604</v>
      </c>
      <c r="O186">
        <v>2868.59</v>
      </c>
      <c r="P186">
        <v>1735.4099999999999</v>
      </c>
      <c r="Q186" s="19">
        <f>Tabuľka4[[#This Row],[Zisk]]/Tabuľka4[[#This Row],[Trzba]]</f>
        <v>0.37693527367506513</v>
      </c>
      <c r="R186">
        <v>2024</v>
      </c>
      <c r="S186" t="str">
        <f>TEXT(Tabuľka4[[#This Row],[Datum]],"MMMM")</f>
        <v>október</v>
      </c>
    </row>
    <row r="187" spans="1:19" x14ac:dyDescent="0.3">
      <c r="A187" s="2">
        <v>45356</v>
      </c>
      <c r="B187" t="s">
        <v>484</v>
      </c>
      <c r="C187" t="s">
        <v>345</v>
      </c>
      <c r="D187" t="s">
        <v>20</v>
      </c>
      <c r="E187" t="s">
        <v>21</v>
      </c>
      <c r="F187" t="s">
        <v>863</v>
      </c>
      <c r="G187" t="s">
        <v>43</v>
      </c>
      <c r="H187" t="s">
        <v>86</v>
      </c>
      <c r="I187" s="29" t="s">
        <v>483</v>
      </c>
      <c r="J187" t="s">
        <v>38</v>
      </c>
      <c r="K187">
        <v>4</v>
      </c>
      <c r="L187">
        <v>1145</v>
      </c>
      <c r="M187">
        <v>7.0000000000000007E-2</v>
      </c>
      <c r="N187" s="25">
        <v>4580</v>
      </c>
      <c r="O187">
        <v>3298.3</v>
      </c>
      <c r="P187">
        <v>1281.6999999999998</v>
      </c>
      <c r="Q187" s="19">
        <f>Tabuľka4[[#This Row],[Zisk]]/Tabuľka4[[#This Row],[Trzba]]</f>
        <v>0.27984716157205236</v>
      </c>
      <c r="R187">
        <v>2024</v>
      </c>
      <c r="S187" t="str">
        <f>TEXT(Tabuľka4[[#This Row],[Datum]],"MMMM")</f>
        <v>marec</v>
      </c>
    </row>
    <row r="188" spans="1:19" x14ac:dyDescent="0.3">
      <c r="A188" s="2">
        <v>45610</v>
      </c>
      <c r="B188" t="s">
        <v>347</v>
      </c>
      <c r="C188" t="s">
        <v>348</v>
      </c>
      <c r="D188" t="s">
        <v>20</v>
      </c>
      <c r="E188" t="s">
        <v>68</v>
      </c>
      <c r="F188" t="s">
        <v>863</v>
      </c>
      <c r="G188" t="s">
        <v>43</v>
      </c>
      <c r="H188" t="s">
        <v>71</v>
      </c>
      <c r="I188" s="29" t="s">
        <v>333</v>
      </c>
      <c r="J188" t="s">
        <v>33</v>
      </c>
      <c r="K188">
        <v>2</v>
      </c>
      <c r="L188">
        <v>2272</v>
      </c>
      <c r="M188">
        <v>0.18</v>
      </c>
      <c r="N188" s="25">
        <v>4544</v>
      </c>
      <c r="O188">
        <v>3160.49</v>
      </c>
      <c r="P188">
        <v>1383.5100000000002</v>
      </c>
      <c r="Q188" s="19">
        <f>Tabuľka4[[#This Row],[Zisk]]/Tabuľka4[[#This Row],[Trzba]]</f>
        <v>0.30446963028169016</v>
      </c>
      <c r="R188">
        <v>2024</v>
      </c>
      <c r="S188" t="str">
        <f>TEXT(Tabuľka4[[#This Row],[Datum]],"MMMM")</f>
        <v>november</v>
      </c>
    </row>
    <row r="189" spans="1:19" x14ac:dyDescent="0.3">
      <c r="A189" s="2">
        <v>45623</v>
      </c>
      <c r="B189" t="s">
        <v>91</v>
      </c>
      <c r="C189" t="s">
        <v>92</v>
      </c>
      <c r="D189" t="s">
        <v>20</v>
      </c>
      <c r="E189" t="s">
        <v>50</v>
      </c>
      <c r="F189" t="s">
        <v>863</v>
      </c>
      <c r="G189" t="s">
        <v>43</v>
      </c>
      <c r="H189" t="s">
        <v>86</v>
      </c>
      <c r="I189" s="29" t="s">
        <v>87</v>
      </c>
      <c r="J189" t="s">
        <v>30</v>
      </c>
      <c r="K189">
        <v>1</v>
      </c>
      <c r="L189">
        <v>4540</v>
      </c>
      <c r="M189">
        <v>0.04</v>
      </c>
      <c r="N189" s="25">
        <v>4540</v>
      </c>
      <c r="O189">
        <v>3213.24</v>
      </c>
      <c r="P189">
        <v>1326.7600000000002</v>
      </c>
      <c r="Q189" s="19">
        <f>Tabuľka4[[#This Row],[Zisk]]/Tabuľka4[[#This Row],[Trzba]]</f>
        <v>0.29223788546255514</v>
      </c>
      <c r="R189">
        <v>2024</v>
      </c>
      <c r="S189" t="str">
        <f>TEXT(Tabuľka4[[#This Row],[Datum]],"MMMM")</f>
        <v>november</v>
      </c>
    </row>
    <row r="190" spans="1:19" x14ac:dyDescent="0.3">
      <c r="A190" s="2">
        <v>46130</v>
      </c>
      <c r="B190" t="s">
        <v>244</v>
      </c>
      <c r="C190" t="s">
        <v>245</v>
      </c>
      <c r="D190" t="s">
        <v>20</v>
      </c>
      <c r="E190" t="s">
        <v>0</v>
      </c>
      <c r="F190" t="s">
        <v>863</v>
      </c>
      <c r="G190" t="s">
        <v>22</v>
      </c>
      <c r="H190" t="s">
        <v>71</v>
      </c>
      <c r="I190" s="29" t="s">
        <v>229</v>
      </c>
      <c r="J190" t="s">
        <v>38</v>
      </c>
      <c r="K190">
        <v>3</v>
      </c>
      <c r="L190">
        <v>1510</v>
      </c>
      <c r="M190">
        <v>0</v>
      </c>
      <c r="N190" s="25">
        <v>4530</v>
      </c>
      <c r="O190">
        <v>3787.29</v>
      </c>
      <c r="P190">
        <v>742.71</v>
      </c>
      <c r="Q190" s="19">
        <f>Tabuľka4[[#This Row],[Zisk]]/Tabuľka4[[#This Row],[Trzba]]</f>
        <v>0.16395364238410598</v>
      </c>
      <c r="R190">
        <v>2026</v>
      </c>
      <c r="S190" t="str">
        <f>TEXT(Tabuľka4[[#This Row],[Datum]],"MMMM")</f>
        <v>apríl</v>
      </c>
    </row>
    <row r="191" spans="1:19" x14ac:dyDescent="0.3">
      <c r="A191" s="2">
        <v>45318</v>
      </c>
      <c r="B191" t="s">
        <v>587</v>
      </c>
      <c r="C191" t="s">
        <v>588</v>
      </c>
      <c r="D191" t="s">
        <v>20</v>
      </c>
      <c r="E191" t="s">
        <v>50</v>
      </c>
      <c r="F191" t="s">
        <v>863</v>
      </c>
      <c r="G191" t="s">
        <v>43</v>
      </c>
      <c r="H191" t="s">
        <v>86</v>
      </c>
      <c r="I191" s="29" t="s">
        <v>586</v>
      </c>
      <c r="J191" t="s">
        <v>63</v>
      </c>
      <c r="K191">
        <v>3</v>
      </c>
      <c r="L191">
        <v>1494</v>
      </c>
      <c r="M191">
        <v>0.18</v>
      </c>
      <c r="N191" s="25">
        <v>4482</v>
      </c>
      <c r="O191">
        <v>2775.06</v>
      </c>
      <c r="P191">
        <v>1706.94</v>
      </c>
      <c r="Q191" s="19">
        <f>Tabuľka4[[#This Row],[Zisk]]/Tabuľka4[[#This Row],[Trzba]]</f>
        <v>0.3808433734939759</v>
      </c>
      <c r="R191">
        <v>2024</v>
      </c>
      <c r="S191" t="str">
        <f>TEXT(Tabuľka4[[#This Row],[Datum]],"MMMM")</f>
        <v>január</v>
      </c>
    </row>
    <row r="192" spans="1:19" x14ac:dyDescent="0.3">
      <c r="A192" s="2">
        <v>45975</v>
      </c>
      <c r="B192" t="s">
        <v>388</v>
      </c>
      <c r="C192" t="s">
        <v>389</v>
      </c>
      <c r="D192" t="s">
        <v>20</v>
      </c>
      <c r="E192" t="s">
        <v>21</v>
      </c>
      <c r="F192" t="s">
        <v>863</v>
      </c>
      <c r="G192" t="s">
        <v>22</v>
      </c>
      <c r="H192" t="s">
        <v>71</v>
      </c>
      <c r="I192" s="29" t="s">
        <v>367</v>
      </c>
      <c r="J192" t="s">
        <v>25</v>
      </c>
      <c r="K192">
        <v>3</v>
      </c>
      <c r="L192">
        <v>1478</v>
      </c>
      <c r="M192">
        <v>0.05</v>
      </c>
      <c r="N192" s="25">
        <v>4434</v>
      </c>
      <c r="O192">
        <v>3078.15</v>
      </c>
      <c r="P192">
        <v>1355.85</v>
      </c>
      <c r="Q192" s="19">
        <f>Tabuľka4[[#This Row],[Zisk]]/Tabuľka4[[#This Row],[Trzba]]</f>
        <v>0.30578484438430309</v>
      </c>
      <c r="R192">
        <v>2025</v>
      </c>
      <c r="S192" t="str">
        <f>TEXT(Tabuľka4[[#This Row],[Datum]],"MMMM")</f>
        <v>november</v>
      </c>
    </row>
    <row r="193" spans="1:19" x14ac:dyDescent="0.3">
      <c r="A193" s="2">
        <v>45952</v>
      </c>
      <c r="B193" t="s">
        <v>356</v>
      </c>
      <c r="C193" t="s">
        <v>357</v>
      </c>
      <c r="D193" t="s">
        <v>20</v>
      </c>
      <c r="E193" t="s">
        <v>0</v>
      </c>
      <c r="F193" t="s">
        <v>863</v>
      </c>
      <c r="G193" t="s">
        <v>43</v>
      </c>
      <c r="H193" t="s">
        <v>71</v>
      </c>
      <c r="I193" s="29" t="s">
        <v>333</v>
      </c>
      <c r="J193" t="s">
        <v>25</v>
      </c>
      <c r="K193">
        <v>4</v>
      </c>
      <c r="L193">
        <v>1103</v>
      </c>
      <c r="M193">
        <v>0.12</v>
      </c>
      <c r="N193" s="25">
        <v>4412</v>
      </c>
      <c r="O193">
        <v>3327.47</v>
      </c>
      <c r="P193">
        <v>1084.5300000000002</v>
      </c>
      <c r="Q193" s="19">
        <f>Tabuľka4[[#This Row],[Zisk]]/Tabuľka4[[#This Row],[Trzba]]</f>
        <v>0.24581368993653677</v>
      </c>
      <c r="R193">
        <v>2025</v>
      </c>
      <c r="S193" t="str">
        <f>TEXT(Tabuľka4[[#This Row],[Datum]],"MMMM")</f>
        <v>október</v>
      </c>
    </row>
    <row r="194" spans="1:19" x14ac:dyDescent="0.3">
      <c r="A194" s="2">
        <v>45493</v>
      </c>
      <c r="B194" t="s">
        <v>315</v>
      </c>
      <c r="C194" t="s">
        <v>235</v>
      </c>
      <c r="D194" t="s">
        <v>49</v>
      </c>
      <c r="E194" t="s">
        <v>21</v>
      </c>
      <c r="F194" t="s">
        <v>863</v>
      </c>
      <c r="G194" t="s">
        <v>58</v>
      </c>
      <c r="H194" t="s">
        <v>86</v>
      </c>
      <c r="I194" s="29" t="s">
        <v>310</v>
      </c>
      <c r="J194" t="s">
        <v>46</v>
      </c>
      <c r="K194">
        <v>8</v>
      </c>
      <c r="L194">
        <v>551</v>
      </c>
      <c r="M194">
        <v>0.08</v>
      </c>
      <c r="N194" s="25">
        <v>4408</v>
      </c>
      <c r="O194">
        <v>3313.36</v>
      </c>
      <c r="P194">
        <v>1094.6399999999999</v>
      </c>
      <c r="Q194" s="19">
        <f>Tabuľka4[[#This Row],[Zisk]]/Tabuľka4[[#This Row],[Trzba]]</f>
        <v>0.24833030852994553</v>
      </c>
      <c r="R194">
        <v>2024</v>
      </c>
      <c r="S194" t="str">
        <f>TEXT(Tabuľka4[[#This Row],[Datum]],"MMMM")</f>
        <v>júl</v>
      </c>
    </row>
    <row r="195" spans="1:19" x14ac:dyDescent="0.3">
      <c r="A195" s="2">
        <v>45506</v>
      </c>
      <c r="B195" t="s">
        <v>31</v>
      </c>
      <c r="C195" t="s">
        <v>32</v>
      </c>
      <c r="D195" t="s">
        <v>20</v>
      </c>
      <c r="E195" t="s">
        <v>21</v>
      </c>
      <c r="F195" t="s">
        <v>863</v>
      </c>
      <c r="G195" t="s">
        <v>22</v>
      </c>
      <c r="H195" t="s">
        <v>23</v>
      </c>
      <c r="I195" s="29" t="s">
        <v>24</v>
      </c>
      <c r="J195" t="s">
        <v>33</v>
      </c>
      <c r="K195">
        <v>1</v>
      </c>
      <c r="L195">
        <v>4387</v>
      </c>
      <c r="M195">
        <v>0</v>
      </c>
      <c r="N195" s="25">
        <v>4387</v>
      </c>
      <c r="O195">
        <v>2923.97</v>
      </c>
      <c r="P195">
        <v>1463.0300000000002</v>
      </c>
      <c r="Q195" s="19">
        <f>Tabuľka4[[#This Row],[Zisk]]/Tabuľka4[[#This Row],[Trzba]]</f>
        <v>0.33349213585593807</v>
      </c>
      <c r="R195">
        <v>2024</v>
      </c>
      <c r="S195" t="str">
        <f>TEXT(Tabuľka4[[#This Row],[Datum]],"MMMM")</f>
        <v>august</v>
      </c>
    </row>
    <row r="196" spans="1:19" x14ac:dyDescent="0.3">
      <c r="A196" s="2">
        <v>45972</v>
      </c>
      <c r="B196" t="s">
        <v>549</v>
      </c>
      <c r="C196" t="s">
        <v>387</v>
      </c>
      <c r="D196" t="s">
        <v>20</v>
      </c>
      <c r="E196" t="s">
        <v>68</v>
      </c>
      <c r="F196" t="s">
        <v>863</v>
      </c>
      <c r="G196" t="s">
        <v>22</v>
      </c>
      <c r="H196" t="s">
        <v>71</v>
      </c>
      <c r="I196" s="29" t="s">
        <v>537</v>
      </c>
      <c r="J196" t="s">
        <v>51</v>
      </c>
      <c r="K196">
        <v>7</v>
      </c>
      <c r="L196">
        <v>626</v>
      </c>
      <c r="M196">
        <v>0.08</v>
      </c>
      <c r="N196" s="25">
        <v>4382</v>
      </c>
      <c r="O196">
        <v>3226.18</v>
      </c>
      <c r="P196">
        <v>1155.8200000000002</v>
      </c>
      <c r="Q196" s="19">
        <f>Tabuľka4[[#This Row],[Zisk]]/Tabuľka4[[#This Row],[Trzba]]</f>
        <v>0.26376540392514836</v>
      </c>
      <c r="R196">
        <v>2025</v>
      </c>
      <c r="S196" t="str">
        <f>TEXT(Tabuľka4[[#This Row],[Datum]],"MMMM")</f>
        <v>november</v>
      </c>
    </row>
    <row r="197" spans="1:19" x14ac:dyDescent="0.3">
      <c r="A197" s="2">
        <v>45430</v>
      </c>
      <c r="B197" t="s">
        <v>123</v>
      </c>
      <c r="C197" t="s">
        <v>124</v>
      </c>
      <c r="D197" t="s">
        <v>49</v>
      </c>
      <c r="E197" t="s">
        <v>0</v>
      </c>
      <c r="F197" t="s">
        <v>863</v>
      </c>
      <c r="G197" t="s">
        <v>58</v>
      </c>
      <c r="H197" t="s">
        <v>86</v>
      </c>
      <c r="I197" s="29" t="s">
        <v>120</v>
      </c>
      <c r="J197" t="s">
        <v>88</v>
      </c>
      <c r="K197">
        <v>6</v>
      </c>
      <c r="L197">
        <v>728</v>
      </c>
      <c r="M197">
        <v>0.09</v>
      </c>
      <c r="N197" s="25">
        <v>4368</v>
      </c>
      <c r="O197">
        <v>2703.8</v>
      </c>
      <c r="P197">
        <v>1664.1999999999998</v>
      </c>
      <c r="Q197" s="19">
        <f>Tabuľka4[[#This Row],[Zisk]]/Tabuľka4[[#This Row],[Trzba]]</f>
        <v>0.38099816849816848</v>
      </c>
      <c r="R197">
        <v>2024</v>
      </c>
      <c r="S197" t="str">
        <f>TEXT(Tabuľka4[[#This Row],[Datum]],"MMMM")</f>
        <v>máj</v>
      </c>
    </row>
    <row r="198" spans="1:19" x14ac:dyDescent="0.3">
      <c r="A198" s="2">
        <v>45658</v>
      </c>
      <c r="B198" t="s">
        <v>381</v>
      </c>
      <c r="C198" t="s">
        <v>126</v>
      </c>
      <c r="D198" t="s">
        <v>20</v>
      </c>
      <c r="E198" t="s">
        <v>50</v>
      </c>
      <c r="F198" t="s">
        <v>863</v>
      </c>
      <c r="G198" t="s">
        <v>43</v>
      </c>
      <c r="H198" t="s">
        <v>71</v>
      </c>
      <c r="I198" s="29" t="s">
        <v>367</v>
      </c>
      <c r="J198" t="s">
        <v>46</v>
      </c>
      <c r="K198">
        <v>4</v>
      </c>
      <c r="L198">
        <v>1090</v>
      </c>
      <c r="M198">
        <v>0.14000000000000001</v>
      </c>
      <c r="N198" s="25">
        <v>4360</v>
      </c>
      <c r="O198">
        <v>2818.2</v>
      </c>
      <c r="P198">
        <v>1541.8000000000002</v>
      </c>
      <c r="Q198" s="19">
        <f>Tabuľka4[[#This Row],[Zisk]]/Tabuľka4[[#This Row],[Trzba]]</f>
        <v>0.3536238532110092</v>
      </c>
      <c r="R198">
        <v>2025</v>
      </c>
      <c r="S198" t="str">
        <f>TEXT(Tabuľka4[[#This Row],[Datum]],"MMMM")</f>
        <v>január</v>
      </c>
    </row>
    <row r="199" spans="1:19" x14ac:dyDescent="0.3">
      <c r="A199" s="2">
        <v>45832</v>
      </c>
      <c r="B199" t="s">
        <v>782</v>
      </c>
      <c r="C199" t="s">
        <v>510</v>
      </c>
      <c r="D199" t="s">
        <v>20</v>
      </c>
      <c r="E199" t="s">
        <v>0</v>
      </c>
      <c r="F199" t="s">
        <v>863</v>
      </c>
      <c r="G199" t="s">
        <v>22</v>
      </c>
      <c r="H199" t="s">
        <v>188</v>
      </c>
      <c r="I199" s="29" t="s">
        <v>772</v>
      </c>
      <c r="J199" t="s">
        <v>33</v>
      </c>
      <c r="K199">
        <v>2</v>
      </c>
      <c r="L199">
        <v>2165</v>
      </c>
      <c r="M199">
        <v>0.14000000000000001</v>
      </c>
      <c r="N199" s="25">
        <v>4330</v>
      </c>
      <c r="O199">
        <v>2432.9</v>
      </c>
      <c r="P199">
        <v>1897.1</v>
      </c>
      <c r="Q199" s="19">
        <f>Tabuľka4[[#This Row],[Zisk]]/Tabuľka4[[#This Row],[Trzba]]</f>
        <v>0.43812933025404155</v>
      </c>
      <c r="R199">
        <v>2025</v>
      </c>
      <c r="S199" t="str">
        <f>TEXT(Tabuľka4[[#This Row],[Datum]],"MMMM")</f>
        <v>jún</v>
      </c>
    </row>
    <row r="200" spans="1:19" x14ac:dyDescent="0.3">
      <c r="A200" s="2">
        <v>46116</v>
      </c>
      <c r="B200" t="s">
        <v>602</v>
      </c>
      <c r="C200" t="s">
        <v>257</v>
      </c>
      <c r="D200" t="s">
        <v>20</v>
      </c>
      <c r="E200" t="s">
        <v>68</v>
      </c>
      <c r="F200" t="s">
        <v>863</v>
      </c>
      <c r="G200" t="s">
        <v>22</v>
      </c>
      <c r="H200" t="s">
        <v>86</v>
      </c>
      <c r="I200" s="29" t="s">
        <v>586</v>
      </c>
      <c r="J200" t="s">
        <v>51</v>
      </c>
      <c r="K200">
        <v>3</v>
      </c>
      <c r="L200">
        <v>1435</v>
      </c>
      <c r="M200">
        <v>0.09</v>
      </c>
      <c r="N200" s="25">
        <v>4305</v>
      </c>
      <c r="O200">
        <v>2900.01</v>
      </c>
      <c r="P200">
        <v>1404.9899999999998</v>
      </c>
      <c r="Q200" s="19">
        <f>Tabuľka4[[#This Row],[Zisk]]/Tabuľka4[[#This Row],[Trzba]]</f>
        <v>0.32636236933797902</v>
      </c>
      <c r="R200">
        <v>2026</v>
      </c>
      <c r="S200" t="str">
        <f>TEXT(Tabuľka4[[#This Row],[Datum]],"MMMM")</f>
        <v>apríl</v>
      </c>
    </row>
    <row r="201" spans="1:19" x14ac:dyDescent="0.3">
      <c r="A201" s="2">
        <v>45653</v>
      </c>
      <c r="B201" t="s">
        <v>692</v>
      </c>
      <c r="C201" t="s">
        <v>693</v>
      </c>
      <c r="D201" t="s">
        <v>20</v>
      </c>
      <c r="E201" t="s">
        <v>68</v>
      </c>
      <c r="F201" t="s">
        <v>863</v>
      </c>
      <c r="G201" t="s">
        <v>22</v>
      </c>
      <c r="H201" t="s">
        <v>188</v>
      </c>
      <c r="I201" s="29" t="s">
        <v>688</v>
      </c>
      <c r="J201" t="s">
        <v>51</v>
      </c>
      <c r="K201">
        <v>4</v>
      </c>
      <c r="L201">
        <v>1066</v>
      </c>
      <c r="M201">
        <v>0.06</v>
      </c>
      <c r="N201" s="25">
        <v>4264</v>
      </c>
      <c r="O201">
        <v>2872.27</v>
      </c>
      <c r="P201">
        <v>1391.73</v>
      </c>
      <c r="Q201" s="19">
        <f>Tabuľka4[[#This Row],[Zisk]]/Tabuľka4[[#This Row],[Trzba]]</f>
        <v>0.32639071294559102</v>
      </c>
      <c r="R201">
        <v>2024</v>
      </c>
      <c r="S201" t="str">
        <f>TEXT(Tabuľka4[[#This Row],[Datum]],"MMMM")</f>
        <v>december</v>
      </c>
    </row>
    <row r="202" spans="1:19" x14ac:dyDescent="0.3">
      <c r="A202" s="2">
        <v>45948</v>
      </c>
      <c r="B202" t="s">
        <v>384</v>
      </c>
      <c r="C202" t="s">
        <v>385</v>
      </c>
      <c r="D202" t="s">
        <v>20</v>
      </c>
      <c r="E202" t="s">
        <v>0</v>
      </c>
      <c r="F202" t="s">
        <v>863</v>
      </c>
      <c r="G202" t="s">
        <v>43</v>
      </c>
      <c r="H202" t="s">
        <v>71</v>
      </c>
      <c r="I202" s="29" t="s">
        <v>367</v>
      </c>
      <c r="J202" t="s">
        <v>30</v>
      </c>
      <c r="K202">
        <v>5</v>
      </c>
      <c r="L202">
        <v>852</v>
      </c>
      <c r="M202">
        <v>0.09</v>
      </c>
      <c r="N202" s="25">
        <v>4260</v>
      </c>
      <c r="O202">
        <v>3341.36</v>
      </c>
      <c r="P202">
        <v>918.63999999999987</v>
      </c>
      <c r="Q202" s="19">
        <f>Tabuľka4[[#This Row],[Zisk]]/Tabuľka4[[#This Row],[Trzba]]</f>
        <v>0.21564319248826289</v>
      </c>
      <c r="R202">
        <v>2025</v>
      </c>
      <c r="S202" t="str">
        <f>TEXT(Tabuľka4[[#This Row],[Datum]],"MMMM")</f>
        <v>október</v>
      </c>
    </row>
    <row r="203" spans="1:19" x14ac:dyDescent="0.3">
      <c r="A203" s="2">
        <v>45902</v>
      </c>
      <c r="B203" t="s">
        <v>236</v>
      </c>
      <c r="C203" t="s">
        <v>237</v>
      </c>
      <c r="D203" t="s">
        <v>20</v>
      </c>
      <c r="E203" t="s">
        <v>21</v>
      </c>
      <c r="F203" t="s">
        <v>863</v>
      </c>
      <c r="G203" t="s">
        <v>43</v>
      </c>
      <c r="H203" t="s">
        <v>71</v>
      </c>
      <c r="I203" s="29" t="s">
        <v>229</v>
      </c>
      <c r="J203" t="s">
        <v>38</v>
      </c>
      <c r="K203">
        <v>4</v>
      </c>
      <c r="L203">
        <v>1062</v>
      </c>
      <c r="M203">
        <v>0.09</v>
      </c>
      <c r="N203" s="25">
        <v>4248</v>
      </c>
      <c r="O203">
        <v>3137.25</v>
      </c>
      <c r="P203">
        <v>1110.75</v>
      </c>
      <c r="Q203" s="19">
        <f>Tabuľka4[[#This Row],[Zisk]]/Tabuľka4[[#This Row],[Trzba]]</f>
        <v>0.26147598870056499</v>
      </c>
      <c r="R203">
        <v>2025</v>
      </c>
      <c r="S203" t="str">
        <f>TEXT(Tabuľka4[[#This Row],[Datum]],"MMMM")</f>
        <v>september</v>
      </c>
    </row>
    <row r="204" spans="1:19" x14ac:dyDescent="0.3">
      <c r="A204" s="2">
        <v>45448</v>
      </c>
      <c r="B204" t="s">
        <v>428</v>
      </c>
      <c r="C204" t="s">
        <v>235</v>
      </c>
      <c r="D204" t="s">
        <v>49</v>
      </c>
      <c r="E204" t="s">
        <v>68</v>
      </c>
      <c r="F204" t="s">
        <v>863</v>
      </c>
      <c r="G204" t="s">
        <v>22</v>
      </c>
      <c r="H204" t="s">
        <v>188</v>
      </c>
      <c r="I204" s="29" t="s">
        <v>424</v>
      </c>
      <c r="J204" t="s">
        <v>63</v>
      </c>
      <c r="K204">
        <v>8</v>
      </c>
      <c r="L204">
        <v>521</v>
      </c>
      <c r="M204">
        <v>0</v>
      </c>
      <c r="N204" s="25">
        <v>4168</v>
      </c>
      <c r="O204">
        <v>2885.05</v>
      </c>
      <c r="P204">
        <v>1282.9499999999998</v>
      </c>
      <c r="Q204" s="19">
        <f>Tabuľka4[[#This Row],[Zisk]]/Tabuľka4[[#This Row],[Trzba]]</f>
        <v>0.30780950095969284</v>
      </c>
      <c r="R204">
        <v>2024</v>
      </c>
      <c r="S204" t="str">
        <f>TEXT(Tabuľka4[[#This Row],[Datum]],"MMMM")</f>
        <v>jún</v>
      </c>
    </row>
    <row r="205" spans="1:19" x14ac:dyDescent="0.3">
      <c r="A205" s="2">
        <v>45675</v>
      </c>
      <c r="B205" t="s">
        <v>821</v>
      </c>
      <c r="C205" t="s">
        <v>132</v>
      </c>
      <c r="D205" t="s">
        <v>49</v>
      </c>
      <c r="E205" t="s">
        <v>21</v>
      </c>
      <c r="F205" t="s">
        <v>863</v>
      </c>
      <c r="G205" t="s">
        <v>22</v>
      </c>
      <c r="H205" t="s">
        <v>188</v>
      </c>
      <c r="I205" s="29" t="s">
        <v>815</v>
      </c>
      <c r="J205" t="s">
        <v>46</v>
      </c>
      <c r="K205">
        <v>10</v>
      </c>
      <c r="L205">
        <v>416</v>
      </c>
      <c r="M205">
        <v>0.09</v>
      </c>
      <c r="N205" s="25">
        <v>4160</v>
      </c>
      <c r="O205">
        <v>2969.31</v>
      </c>
      <c r="P205">
        <v>1190.69</v>
      </c>
      <c r="Q205" s="19">
        <f>Tabuľka4[[#This Row],[Zisk]]/Tabuľka4[[#This Row],[Trzba]]</f>
        <v>0.28622355769230773</v>
      </c>
      <c r="R205">
        <v>2025</v>
      </c>
      <c r="S205" t="str">
        <f>TEXT(Tabuľka4[[#This Row],[Datum]],"MMMM")</f>
        <v>január</v>
      </c>
    </row>
    <row r="206" spans="1:19" x14ac:dyDescent="0.3">
      <c r="A206" s="2">
        <v>45360</v>
      </c>
      <c r="B206" t="s">
        <v>589</v>
      </c>
      <c r="C206" t="s">
        <v>590</v>
      </c>
      <c r="D206" t="s">
        <v>20</v>
      </c>
      <c r="E206" t="s">
        <v>68</v>
      </c>
      <c r="F206" t="s">
        <v>863</v>
      </c>
      <c r="G206" t="s">
        <v>43</v>
      </c>
      <c r="H206" t="s">
        <v>86</v>
      </c>
      <c r="I206" s="29" t="s">
        <v>586</v>
      </c>
      <c r="J206" t="s">
        <v>51</v>
      </c>
      <c r="K206">
        <v>4</v>
      </c>
      <c r="L206">
        <v>1037</v>
      </c>
      <c r="M206">
        <v>0.09</v>
      </c>
      <c r="N206" s="25">
        <v>4148</v>
      </c>
      <c r="O206">
        <v>2180.83</v>
      </c>
      <c r="P206">
        <v>1967.17</v>
      </c>
      <c r="Q206" s="19">
        <f>Tabuľka4[[#This Row],[Zisk]]/Tabuľka4[[#This Row],[Trzba]]</f>
        <v>0.47424541947926713</v>
      </c>
      <c r="R206">
        <v>2024</v>
      </c>
      <c r="S206" t="str">
        <f>TEXT(Tabuľka4[[#This Row],[Datum]],"MMMM")</f>
        <v>marec</v>
      </c>
    </row>
    <row r="207" spans="1:19" x14ac:dyDescent="0.3">
      <c r="A207" s="2">
        <v>45595</v>
      </c>
      <c r="B207" t="s">
        <v>722</v>
      </c>
      <c r="C207" t="s">
        <v>147</v>
      </c>
      <c r="D207" t="s">
        <v>20</v>
      </c>
      <c r="E207" t="s">
        <v>21</v>
      </c>
      <c r="F207" t="s">
        <v>863</v>
      </c>
      <c r="G207" t="s">
        <v>43</v>
      </c>
      <c r="H207" t="s">
        <v>86</v>
      </c>
      <c r="I207" s="29" t="s">
        <v>709</v>
      </c>
      <c r="J207" t="s">
        <v>88</v>
      </c>
      <c r="K207">
        <v>1</v>
      </c>
      <c r="L207">
        <v>4100</v>
      </c>
      <c r="M207">
        <v>0.11</v>
      </c>
      <c r="N207" s="25">
        <v>4100</v>
      </c>
      <c r="O207">
        <v>2745.83</v>
      </c>
      <c r="P207">
        <v>1354.17</v>
      </c>
      <c r="Q207" s="19">
        <f>Tabuľka4[[#This Row],[Zisk]]/Tabuľka4[[#This Row],[Trzba]]</f>
        <v>0.33028536585365853</v>
      </c>
      <c r="R207">
        <v>2024</v>
      </c>
      <c r="S207" t="str">
        <f>TEXT(Tabuľka4[[#This Row],[Datum]],"MMMM")</f>
        <v>október</v>
      </c>
    </row>
    <row r="208" spans="1:19" x14ac:dyDescent="0.3">
      <c r="A208" s="2">
        <v>45380</v>
      </c>
      <c r="B208" t="s">
        <v>230</v>
      </c>
      <c r="C208" t="s">
        <v>158</v>
      </c>
      <c r="D208" t="s">
        <v>20</v>
      </c>
      <c r="E208" t="s">
        <v>21</v>
      </c>
      <c r="F208" t="s">
        <v>863</v>
      </c>
      <c r="G208" t="s">
        <v>22</v>
      </c>
      <c r="H208" t="s">
        <v>71</v>
      </c>
      <c r="I208" s="29" t="s">
        <v>229</v>
      </c>
      <c r="J208" t="s">
        <v>46</v>
      </c>
      <c r="K208">
        <v>2</v>
      </c>
      <c r="L208">
        <v>2045</v>
      </c>
      <c r="M208">
        <v>0.03</v>
      </c>
      <c r="N208" s="25">
        <v>4090</v>
      </c>
      <c r="O208">
        <v>3204.09</v>
      </c>
      <c r="P208">
        <v>885.90999999999985</v>
      </c>
      <c r="Q208" s="19">
        <f>Tabuľka4[[#This Row],[Zisk]]/Tabuľka4[[#This Row],[Trzba]]</f>
        <v>0.21660391198044007</v>
      </c>
      <c r="R208">
        <v>2024</v>
      </c>
      <c r="S208" t="str">
        <f>TEXT(Tabuľka4[[#This Row],[Datum]],"MMMM")</f>
        <v>marec</v>
      </c>
    </row>
    <row r="209" spans="1:19" x14ac:dyDescent="0.3">
      <c r="A209" s="2">
        <v>46127</v>
      </c>
      <c r="B209" t="s">
        <v>112</v>
      </c>
      <c r="C209" t="s">
        <v>113</v>
      </c>
      <c r="D209" t="s">
        <v>20</v>
      </c>
      <c r="E209" t="s">
        <v>68</v>
      </c>
      <c r="F209" t="s">
        <v>863</v>
      </c>
      <c r="G209" t="s">
        <v>22</v>
      </c>
      <c r="H209" t="s">
        <v>86</v>
      </c>
      <c r="I209" s="29" t="s">
        <v>87</v>
      </c>
      <c r="J209" t="s">
        <v>38</v>
      </c>
      <c r="K209">
        <v>1</v>
      </c>
      <c r="L209">
        <v>4089</v>
      </c>
      <c r="M209">
        <v>7.0000000000000007E-2</v>
      </c>
      <c r="N209" s="25">
        <v>4089</v>
      </c>
      <c r="O209">
        <v>2676.44</v>
      </c>
      <c r="P209">
        <v>1412.56</v>
      </c>
      <c r="Q209" s="19">
        <f>Tabuľka4[[#This Row],[Zisk]]/Tabuľka4[[#This Row],[Trzba]]</f>
        <v>0.34545365615064805</v>
      </c>
      <c r="R209">
        <v>2026</v>
      </c>
      <c r="S209" t="str">
        <f>TEXT(Tabuľka4[[#This Row],[Datum]],"MMMM")</f>
        <v>apríl</v>
      </c>
    </row>
    <row r="210" spans="1:19" x14ac:dyDescent="0.3">
      <c r="A210" s="2">
        <v>45799</v>
      </c>
      <c r="B210" t="s">
        <v>351</v>
      </c>
      <c r="C210" t="s">
        <v>352</v>
      </c>
      <c r="D210" t="s">
        <v>20</v>
      </c>
      <c r="E210" t="s">
        <v>21</v>
      </c>
      <c r="F210" t="s">
        <v>863</v>
      </c>
      <c r="G210" t="s">
        <v>43</v>
      </c>
      <c r="H210" t="s">
        <v>71</v>
      </c>
      <c r="I210" s="29" t="s">
        <v>333</v>
      </c>
      <c r="J210" t="s">
        <v>33</v>
      </c>
      <c r="K210">
        <v>2</v>
      </c>
      <c r="L210">
        <v>2042</v>
      </c>
      <c r="M210">
        <v>0.03</v>
      </c>
      <c r="N210" s="25">
        <v>4084</v>
      </c>
      <c r="O210">
        <v>3181.43</v>
      </c>
      <c r="P210">
        <v>902.57000000000016</v>
      </c>
      <c r="Q210" s="19">
        <f>Tabuľka4[[#This Row],[Zisk]]/Tabuľka4[[#This Row],[Trzba]]</f>
        <v>0.22100146914789426</v>
      </c>
      <c r="R210">
        <v>2025</v>
      </c>
      <c r="S210" t="str">
        <f>TEXT(Tabuľka4[[#This Row],[Datum]],"MMMM")</f>
        <v>máj</v>
      </c>
    </row>
    <row r="211" spans="1:19" x14ac:dyDescent="0.3">
      <c r="A211" s="2">
        <v>46053</v>
      </c>
      <c r="B211" t="s">
        <v>813</v>
      </c>
      <c r="C211" t="s">
        <v>219</v>
      </c>
      <c r="D211" t="s">
        <v>20</v>
      </c>
      <c r="E211" t="s">
        <v>0</v>
      </c>
      <c r="F211" t="s">
        <v>863</v>
      </c>
      <c r="G211" t="s">
        <v>58</v>
      </c>
      <c r="H211" t="s">
        <v>188</v>
      </c>
      <c r="I211" s="29" t="s">
        <v>791</v>
      </c>
      <c r="J211" t="s">
        <v>46</v>
      </c>
      <c r="K211">
        <v>4</v>
      </c>
      <c r="L211">
        <v>1008</v>
      </c>
      <c r="M211">
        <v>0.12</v>
      </c>
      <c r="N211" s="25">
        <v>4032</v>
      </c>
      <c r="O211">
        <v>2263.88</v>
      </c>
      <c r="P211">
        <v>1768.12</v>
      </c>
      <c r="Q211" s="19">
        <f>Tabuľka4[[#This Row],[Zisk]]/Tabuľka4[[#This Row],[Trzba]]</f>
        <v>0.43852182539682538</v>
      </c>
      <c r="R211">
        <v>2026</v>
      </c>
      <c r="S211" t="str">
        <f>TEXT(Tabuľka4[[#This Row],[Datum]],"MMMM")</f>
        <v>január</v>
      </c>
    </row>
    <row r="212" spans="1:19" x14ac:dyDescent="0.3">
      <c r="A212" s="2">
        <v>45428</v>
      </c>
      <c r="B212" t="s">
        <v>426</v>
      </c>
      <c r="C212" t="s">
        <v>427</v>
      </c>
      <c r="D212" t="s">
        <v>20</v>
      </c>
      <c r="E212" t="s">
        <v>0</v>
      </c>
      <c r="F212" t="s">
        <v>863</v>
      </c>
      <c r="G212" t="s">
        <v>22</v>
      </c>
      <c r="H212" t="s">
        <v>188</v>
      </c>
      <c r="I212" s="29" t="s">
        <v>424</v>
      </c>
      <c r="J212" t="s">
        <v>25</v>
      </c>
      <c r="K212">
        <v>4</v>
      </c>
      <c r="L212">
        <v>1007</v>
      </c>
      <c r="M212">
        <v>0.03</v>
      </c>
      <c r="N212" s="25">
        <v>4028</v>
      </c>
      <c r="O212">
        <v>2523.5700000000002</v>
      </c>
      <c r="P212">
        <v>1504.4299999999998</v>
      </c>
      <c r="Q212" s="19">
        <f>Tabuľka4[[#This Row],[Zisk]]/Tabuľka4[[#This Row],[Trzba]]</f>
        <v>0.37349304865938426</v>
      </c>
      <c r="R212">
        <v>2024</v>
      </c>
      <c r="S212" t="str">
        <f>TEXT(Tabuľka4[[#This Row],[Datum]],"MMMM")</f>
        <v>máj</v>
      </c>
    </row>
    <row r="213" spans="1:19" x14ac:dyDescent="0.3">
      <c r="A213" s="2">
        <v>45392</v>
      </c>
      <c r="B213" t="s">
        <v>674</v>
      </c>
      <c r="C213" t="s">
        <v>147</v>
      </c>
      <c r="D213" t="s">
        <v>20</v>
      </c>
      <c r="E213" t="s">
        <v>68</v>
      </c>
      <c r="F213" t="s">
        <v>863</v>
      </c>
      <c r="G213" t="s">
        <v>22</v>
      </c>
      <c r="H213" t="s">
        <v>71</v>
      </c>
      <c r="I213" s="29" t="s">
        <v>675</v>
      </c>
      <c r="J213" t="s">
        <v>30</v>
      </c>
      <c r="K213">
        <v>2</v>
      </c>
      <c r="L213">
        <v>2014</v>
      </c>
      <c r="M213">
        <v>7.0000000000000007E-2</v>
      </c>
      <c r="N213" s="25">
        <v>4028</v>
      </c>
      <c r="O213">
        <v>3051.75</v>
      </c>
      <c r="P213">
        <v>976.25</v>
      </c>
      <c r="Q213" s="19">
        <f>Tabuľka4[[#This Row],[Zisk]]/Tabuľka4[[#This Row],[Trzba]]</f>
        <v>0.24236593843098311</v>
      </c>
      <c r="R213">
        <v>2024</v>
      </c>
      <c r="S213" t="str">
        <f>TEXT(Tabuľka4[[#This Row],[Datum]],"MMMM")</f>
        <v>apríl</v>
      </c>
    </row>
    <row r="214" spans="1:19" x14ac:dyDescent="0.3">
      <c r="A214" s="2">
        <v>46118</v>
      </c>
      <c r="B214" t="s">
        <v>787</v>
      </c>
      <c r="C214" t="s">
        <v>788</v>
      </c>
      <c r="D214" t="s">
        <v>20</v>
      </c>
      <c r="E214" t="s">
        <v>0</v>
      </c>
      <c r="F214" t="s">
        <v>863</v>
      </c>
      <c r="G214" t="s">
        <v>43</v>
      </c>
      <c r="H214" t="s">
        <v>188</v>
      </c>
      <c r="I214" s="29" t="s">
        <v>772</v>
      </c>
      <c r="J214" t="s">
        <v>33</v>
      </c>
      <c r="K214">
        <v>2</v>
      </c>
      <c r="L214">
        <v>1976</v>
      </c>
      <c r="M214">
        <v>0</v>
      </c>
      <c r="N214" s="25">
        <v>3952</v>
      </c>
      <c r="O214">
        <v>2300.17</v>
      </c>
      <c r="P214">
        <v>1651.83</v>
      </c>
      <c r="Q214" s="19">
        <f>Tabuľka4[[#This Row],[Zisk]]/Tabuľka4[[#This Row],[Trzba]]</f>
        <v>0.41797317813765178</v>
      </c>
      <c r="R214">
        <v>2026</v>
      </c>
      <c r="S214" t="str">
        <f>TEXT(Tabuľka4[[#This Row],[Datum]],"MMMM")</f>
        <v>apríl</v>
      </c>
    </row>
    <row r="215" spans="1:19" x14ac:dyDescent="0.3">
      <c r="A215" s="2">
        <v>46108</v>
      </c>
      <c r="B215" t="s">
        <v>242</v>
      </c>
      <c r="C215" t="s">
        <v>243</v>
      </c>
      <c r="D215" t="s">
        <v>20</v>
      </c>
      <c r="E215" t="s">
        <v>0</v>
      </c>
      <c r="F215" t="s">
        <v>863</v>
      </c>
      <c r="G215" t="s">
        <v>22</v>
      </c>
      <c r="H215" t="s">
        <v>71</v>
      </c>
      <c r="I215" s="29" t="s">
        <v>229</v>
      </c>
      <c r="J215" t="s">
        <v>88</v>
      </c>
      <c r="K215">
        <v>2</v>
      </c>
      <c r="L215">
        <v>1955</v>
      </c>
      <c r="M215">
        <v>0.08</v>
      </c>
      <c r="N215" s="25">
        <v>3910</v>
      </c>
      <c r="O215">
        <v>2845.23</v>
      </c>
      <c r="P215">
        <v>1064.77</v>
      </c>
      <c r="Q215" s="19">
        <f>Tabuľka4[[#This Row],[Zisk]]/Tabuľka4[[#This Row],[Trzba]]</f>
        <v>0.27231969309462917</v>
      </c>
      <c r="R215">
        <v>2026</v>
      </c>
      <c r="S215" t="str">
        <f>TEXT(Tabuľka4[[#This Row],[Datum]],"MMMM")</f>
        <v>marec</v>
      </c>
    </row>
    <row r="216" spans="1:19" x14ac:dyDescent="0.3">
      <c r="A216" s="2">
        <v>45996</v>
      </c>
      <c r="B216" t="s">
        <v>600</v>
      </c>
      <c r="C216" t="s">
        <v>457</v>
      </c>
      <c r="D216" t="s">
        <v>20</v>
      </c>
      <c r="E216" t="s">
        <v>68</v>
      </c>
      <c r="F216" t="s">
        <v>863</v>
      </c>
      <c r="G216" t="s">
        <v>43</v>
      </c>
      <c r="H216" t="s">
        <v>86</v>
      </c>
      <c r="I216" s="29" t="s">
        <v>586</v>
      </c>
      <c r="J216" t="s">
        <v>30</v>
      </c>
      <c r="K216">
        <v>2</v>
      </c>
      <c r="L216">
        <v>1951</v>
      </c>
      <c r="M216">
        <v>0.12</v>
      </c>
      <c r="N216" s="25">
        <v>3902</v>
      </c>
      <c r="O216">
        <v>2770.53</v>
      </c>
      <c r="P216">
        <v>1131.4699999999998</v>
      </c>
      <c r="Q216" s="19">
        <f>Tabuľka4[[#This Row],[Zisk]]/Tabuľka4[[#This Row],[Trzba]]</f>
        <v>0.28997180932854943</v>
      </c>
      <c r="R216">
        <v>2025</v>
      </c>
      <c r="S216" t="str">
        <f>TEXT(Tabuľka4[[#This Row],[Datum]],"MMMM")</f>
        <v>december</v>
      </c>
    </row>
    <row r="217" spans="1:19" x14ac:dyDescent="0.3">
      <c r="A217" s="2">
        <v>45575</v>
      </c>
      <c r="B217" t="s">
        <v>594</v>
      </c>
      <c r="C217" t="s">
        <v>427</v>
      </c>
      <c r="D217" t="s">
        <v>20</v>
      </c>
      <c r="E217" t="s">
        <v>0</v>
      </c>
      <c r="F217" t="s">
        <v>863</v>
      </c>
      <c r="G217" t="s">
        <v>22</v>
      </c>
      <c r="H217" t="s">
        <v>86</v>
      </c>
      <c r="I217" s="29" t="s">
        <v>586</v>
      </c>
      <c r="J217" t="s">
        <v>25</v>
      </c>
      <c r="K217">
        <v>3</v>
      </c>
      <c r="L217">
        <v>1294</v>
      </c>
      <c r="M217">
        <v>0.14000000000000001</v>
      </c>
      <c r="N217" s="25">
        <v>3882</v>
      </c>
      <c r="O217">
        <v>2785.48</v>
      </c>
      <c r="P217">
        <v>1096.52</v>
      </c>
      <c r="Q217" s="19">
        <f>Tabuľka4[[#This Row],[Zisk]]/Tabuľka4[[#This Row],[Trzba]]</f>
        <v>0.28246264811952604</v>
      </c>
      <c r="R217">
        <v>2024</v>
      </c>
      <c r="S217" t="str">
        <f>TEXT(Tabuľka4[[#This Row],[Datum]],"MMMM")</f>
        <v>október</v>
      </c>
    </row>
    <row r="218" spans="1:19" x14ac:dyDescent="0.3">
      <c r="A218" s="2">
        <v>45837</v>
      </c>
      <c r="B218" t="s">
        <v>44</v>
      </c>
      <c r="C218" t="s">
        <v>45</v>
      </c>
      <c r="D218" t="s">
        <v>20</v>
      </c>
      <c r="E218" t="s">
        <v>21</v>
      </c>
      <c r="F218" t="s">
        <v>863</v>
      </c>
      <c r="G218" t="s">
        <v>43</v>
      </c>
      <c r="H218" t="s">
        <v>23</v>
      </c>
      <c r="I218" s="29" t="s">
        <v>24</v>
      </c>
      <c r="J218" t="s">
        <v>46</v>
      </c>
      <c r="K218">
        <v>1</v>
      </c>
      <c r="L218">
        <v>3880</v>
      </c>
      <c r="M218">
        <v>0.08</v>
      </c>
      <c r="N218" s="25">
        <v>3880</v>
      </c>
      <c r="O218">
        <v>2693.72</v>
      </c>
      <c r="P218">
        <v>1186.2800000000002</v>
      </c>
      <c r="Q218" s="19">
        <f>Tabuľka4[[#This Row],[Zisk]]/Tabuľka4[[#This Row],[Trzba]]</f>
        <v>0.30574226804123716</v>
      </c>
      <c r="R218">
        <v>2025</v>
      </c>
      <c r="S218" t="str">
        <f>TEXT(Tabuľka4[[#This Row],[Datum]],"MMMM")</f>
        <v>jún</v>
      </c>
    </row>
    <row r="219" spans="1:19" x14ac:dyDescent="0.3">
      <c r="A219" s="2">
        <v>45525</v>
      </c>
      <c r="B219" t="s">
        <v>689</v>
      </c>
      <c r="C219" t="s">
        <v>176</v>
      </c>
      <c r="D219" t="s">
        <v>20</v>
      </c>
      <c r="E219" t="s">
        <v>68</v>
      </c>
      <c r="F219" t="s">
        <v>863</v>
      </c>
      <c r="G219" t="s">
        <v>43</v>
      </c>
      <c r="H219" t="s">
        <v>188</v>
      </c>
      <c r="I219" s="29" t="s">
        <v>688</v>
      </c>
      <c r="J219" t="s">
        <v>46</v>
      </c>
      <c r="K219">
        <v>3</v>
      </c>
      <c r="L219">
        <v>1272</v>
      </c>
      <c r="M219">
        <v>0.05</v>
      </c>
      <c r="N219" s="25">
        <v>3816</v>
      </c>
      <c r="O219">
        <v>2705.45</v>
      </c>
      <c r="P219">
        <v>1110.5500000000002</v>
      </c>
      <c r="Q219" s="19">
        <f>Tabuľka4[[#This Row],[Zisk]]/Tabuľka4[[#This Row],[Trzba]]</f>
        <v>0.29102463312368976</v>
      </c>
      <c r="R219">
        <v>2024</v>
      </c>
      <c r="S219" t="str">
        <f>TEXT(Tabuľka4[[#This Row],[Datum]],"MMMM")</f>
        <v>august</v>
      </c>
    </row>
    <row r="220" spans="1:19" x14ac:dyDescent="0.3">
      <c r="A220" s="2">
        <v>45678</v>
      </c>
      <c r="B220" t="s">
        <v>166</v>
      </c>
      <c r="C220" t="s">
        <v>167</v>
      </c>
      <c r="D220" t="s">
        <v>20</v>
      </c>
      <c r="E220" t="s">
        <v>0</v>
      </c>
      <c r="F220" t="s">
        <v>863</v>
      </c>
      <c r="G220" t="s">
        <v>43</v>
      </c>
      <c r="H220" t="s">
        <v>23</v>
      </c>
      <c r="I220" s="29" t="s">
        <v>154</v>
      </c>
      <c r="J220" t="s">
        <v>25</v>
      </c>
      <c r="K220">
        <v>2</v>
      </c>
      <c r="L220">
        <v>1904</v>
      </c>
      <c r="M220">
        <v>0.01</v>
      </c>
      <c r="N220" s="25">
        <v>3808</v>
      </c>
      <c r="O220">
        <v>3242.98</v>
      </c>
      <c r="P220">
        <v>565.02</v>
      </c>
      <c r="Q220" s="19">
        <f>Tabuľka4[[#This Row],[Zisk]]/Tabuľka4[[#This Row],[Trzba]]</f>
        <v>0.14837710084033612</v>
      </c>
      <c r="R220">
        <v>2025</v>
      </c>
      <c r="S220" t="str">
        <f>TEXT(Tabuľka4[[#This Row],[Datum]],"MMMM")</f>
        <v>január</v>
      </c>
    </row>
    <row r="221" spans="1:19" x14ac:dyDescent="0.3">
      <c r="A221" s="2">
        <v>45979</v>
      </c>
      <c r="B221" t="s">
        <v>498</v>
      </c>
      <c r="C221" t="s">
        <v>499</v>
      </c>
      <c r="D221" t="s">
        <v>20</v>
      </c>
      <c r="E221" t="s">
        <v>0</v>
      </c>
      <c r="F221" t="s">
        <v>863</v>
      </c>
      <c r="G221" t="s">
        <v>22</v>
      </c>
      <c r="H221" t="s">
        <v>86</v>
      </c>
      <c r="I221" s="29" t="s">
        <v>483</v>
      </c>
      <c r="J221" t="s">
        <v>30</v>
      </c>
      <c r="K221">
        <v>4</v>
      </c>
      <c r="L221">
        <v>943</v>
      </c>
      <c r="M221">
        <v>0.11</v>
      </c>
      <c r="N221" s="25">
        <v>3772</v>
      </c>
      <c r="O221">
        <v>2588.6799999999998</v>
      </c>
      <c r="P221">
        <v>1183.3200000000002</v>
      </c>
      <c r="Q221" s="19">
        <f>Tabuľka4[[#This Row],[Zisk]]/Tabuľka4[[#This Row],[Trzba]]</f>
        <v>0.31371155885471902</v>
      </c>
      <c r="R221">
        <v>2025</v>
      </c>
      <c r="S221" t="str">
        <f>TEXT(Tabuľka4[[#This Row],[Datum]],"MMMM")</f>
        <v>november</v>
      </c>
    </row>
    <row r="222" spans="1:19" x14ac:dyDescent="0.3">
      <c r="A222" s="2">
        <v>46135</v>
      </c>
      <c r="B222" t="s">
        <v>66</v>
      </c>
      <c r="C222" t="s">
        <v>67</v>
      </c>
      <c r="D222" t="s">
        <v>20</v>
      </c>
      <c r="E222" t="s">
        <v>68</v>
      </c>
      <c r="F222" t="s">
        <v>863</v>
      </c>
      <c r="G222" t="s">
        <v>43</v>
      </c>
      <c r="H222" t="s">
        <v>23</v>
      </c>
      <c r="I222" s="29" t="s">
        <v>24</v>
      </c>
      <c r="J222" t="s">
        <v>38</v>
      </c>
      <c r="K222">
        <v>1</v>
      </c>
      <c r="L222">
        <v>3763</v>
      </c>
      <c r="M222">
        <v>0.05</v>
      </c>
      <c r="N222" s="25">
        <v>3763</v>
      </c>
      <c r="O222">
        <v>2438.7199999999998</v>
      </c>
      <c r="P222">
        <v>1324.2800000000002</v>
      </c>
      <c r="Q222" s="19">
        <f>Tabuľka4[[#This Row],[Zisk]]/Tabuľka4[[#This Row],[Trzba]]</f>
        <v>0.35192133935689612</v>
      </c>
      <c r="R222">
        <v>2026</v>
      </c>
      <c r="S222" t="str">
        <f>TEXT(Tabuľka4[[#This Row],[Datum]],"MMMM")</f>
        <v>apríl</v>
      </c>
    </row>
    <row r="223" spans="1:19" x14ac:dyDescent="0.3">
      <c r="A223" s="2">
        <v>45677</v>
      </c>
      <c r="B223" t="s">
        <v>802</v>
      </c>
      <c r="C223" t="s">
        <v>803</v>
      </c>
      <c r="D223" t="s">
        <v>20</v>
      </c>
      <c r="E223" t="s">
        <v>50</v>
      </c>
      <c r="F223" t="s">
        <v>863</v>
      </c>
      <c r="G223" t="s">
        <v>22</v>
      </c>
      <c r="H223" t="s">
        <v>188</v>
      </c>
      <c r="I223" s="29" t="s">
        <v>791</v>
      </c>
      <c r="J223" t="s">
        <v>38</v>
      </c>
      <c r="K223">
        <v>4</v>
      </c>
      <c r="L223">
        <v>933</v>
      </c>
      <c r="M223">
        <v>0.06</v>
      </c>
      <c r="N223" s="25">
        <v>3732</v>
      </c>
      <c r="O223">
        <v>2719.48</v>
      </c>
      <c r="P223">
        <v>1012.52</v>
      </c>
      <c r="Q223" s="19">
        <f>Tabuľka4[[#This Row],[Zisk]]/Tabuľka4[[#This Row],[Trzba]]</f>
        <v>0.27130760986066454</v>
      </c>
      <c r="R223">
        <v>2025</v>
      </c>
      <c r="S223" t="str">
        <f>TEXT(Tabuľka4[[#This Row],[Datum]],"MMMM")</f>
        <v>január</v>
      </c>
    </row>
    <row r="224" spans="1:19" x14ac:dyDescent="0.3">
      <c r="A224" s="2">
        <v>46162</v>
      </c>
      <c r="B224" t="s">
        <v>114</v>
      </c>
      <c r="C224" t="s">
        <v>115</v>
      </c>
      <c r="D224" t="s">
        <v>20</v>
      </c>
      <c r="E224" t="s">
        <v>68</v>
      </c>
      <c r="F224" t="s">
        <v>863</v>
      </c>
      <c r="G224" t="s">
        <v>22</v>
      </c>
      <c r="H224" t="s">
        <v>86</v>
      </c>
      <c r="I224" s="29" t="s">
        <v>87</v>
      </c>
      <c r="J224" t="s">
        <v>51</v>
      </c>
      <c r="K224">
        <v>1</v>
      </c>
      <c r="L224">
        <v>3679</v>
      </c>
      <c r="M224">
        <v>0</v>
      </c>
      <c r="N224" s="25">
        <v>3679</v>
      </c>
      <c r="O224">
        <v>2493.13</v>
      </c>
      <c r="P224">
        <v>1185.8699999999999</v>
      </c>
      <c r="Q224" s="19">
        <f>Tabuľka4[[#This Row],[Zisk]]/Tabuľka4[[#This Row],[Trzba]]</f>
        <v>0.32233487360695839</v>
      </c>
      <c r="R224">
        <v>2026</v>
      </c>
      <c r="S224" t="str">
        <f>TEXT(Tabuľka4[[#This Row],[Datum]],"MMMM")</f>
        <v>máj</v>
      </c>
    </row>
    <row r="225" spans="1:19" x14ac:dyDescent="0.3">
      <c r="A225" s="2">
        <v>45860</v>
      </c>
      <c r="B225" t="s">
        <v>698</v>
      </c>
      <c r="C225" t="s">
        <v>699</v>
      </c>
      <c r="D225" t="s">
        <v>20</v>
      </c>
      <c r="E225" t="s">
        <v>21</v>
      </c>
      <c r="F225" t="s">
        <v>863</v>
      </c>
      <c r="G225" t="s">
        <v>22</v>
      </c>
      <c r="H225" t="s">
        <v>188</v>
      </c>
      <c r="I225" s="29" t="s">
        <v>688</v>
      </c>
      <c r="J225" t="s">
        <v>30</v>
      </c>
      <c r="K225">
        <v>3</v>
      </c>
      <c r="L225">
        <v>1184</v>
      </c>
      <c r="M225">
        <v>0.13</v>
      </c>
      <c r="N225" s="25">
        <v>3552</v>
      </c>
      <c r="O225">
        <v>2467.4</v>
      </c>
      <c r="P225">
        <v>1084.5999999999999</v>
      </c>
      <c r="Q225" s="19">
        <f>Tabuľka4[[#This Row],[Zisk]]/Tabuľka4[[#This Row],[Trzba]]</f>
        <v>0.30534909909909907</v>
      </c>
      <c r="R225">
        <v>2025</v>
      </c>
      <c r="S225" t="str">
        <f>TEXT(Tabuľka4[[#This Row],[Datum]],"MMMM")</f>
        <v>júl</v>
      </c>
    </row>
    <row r="226" spans="1:19" x14ac:dyDescent="0.3">
      <c r="A226" s="2">
        <v>45586</v>
      </c>
      <c r="B226" t="s">
        <v>127</v>
      </c>
      <c r="C226" t="s">
        <v>128</v>
      </c>
      <c r="D226" t="s">
        <v>20</v>
      </c>
      <c r="E226" t="s">
        <v>21</v>
      </c>
      <c r="F226" t="s">
        <v>863</v>
      </c>
      <c r="G226" t="s">
        <v>22</v>
      </c>
      <c r="H226" t="s">
        <v>86</v>
      </c>
      <c r="I226" s="29" t="s">
        <v>120</v>
      </c>
      <c r="J226" t="s">
        <v>46</v>
      </c>
      <c r="K226">
        <v>4</v>
      </c>
      <c r="L226">
        <v>883</v>
      </c>
      <c r="M226">
        <v>0.02</v>
      </c>
      <c r="N226" s="25">
        <v>3532</v>
      </c>
      <c r="O226">
        <v>2765.08</v>
      </c>
      <c r="P226">
        <v>766.92000000000007</v>
      </c>
      <c r="Q226" s="19">
        <f>Tabuľka4[[#This Row],[Zisk]]/Tabuľka4[[#This Row],[Trzba]]</f>
        <v>0.21713476783691962</v>
      </c>
      <c r="R226">
        <v>2024</v>
      </c>
      <c r="S226" t="str">
        <f>TEXT(Tabuľka4[[#This Row],[Datum]],"MMMM")</f>
        <v>október</v>
      </c>
    </row>
    <row r="227" spans="1:19" x14ac:dyDescent="0.3">
      <c r="A227" s="2">
        <v>45309</v>
      </c>
      <c r="B227" t="s">
        <v>584</v>
      </c>
      <c r="C227" t="s">
        <v>585</v>
      </c>
      <c r="D227" t="s">
        <v>20</v>
      </c>
      <c r="E227" t="s">
        <v>0</v>
      </c>
      <c r="F227" t="s">
        <v>863</v>
      </c>
      <c r="G227" t="s">
        <v>22</v>
      </c>
      <c r="H227" t="s">
        <v>86</v>
      </c>
      <c r="I227" s="29" t="s">
        <v>586</v>
      </c>
      <c r="J227" t="s">
        <v>63</v>
      </c>
      <c r="K227">
        <v>3</v>
      </c>
      <c r="L227">
        <v>1172</v>
      </c>
      <c r="M227">
        <v>0.14000000000000001</v>
      </c>
      <c r="N227" s="25">
        <v>3516</v>
      </c>
      <c r="O227">
        <v>2225.37</v>
      </c>
      <c r="P227">
        <v>1290.6300000000001</v>
      </c>
      <c r="Q227" s="19">
        <f>Tabuľka4[[#This Row],[Zisk]]/Tabuľka4[[#This Row],[Trzba]]</f>
        <v>0.36707337883959046</v>
      </c>
      <c r="R227">
        <v>2024</v>
      </c>
      <c r="S227" t="str">
        <f>TEXT(Tabuľka4[[#This Row],[Datum]],"MMMM")</f>
        <v>január</v>
      </c>
    </row>
    <row r="228" spans="1:19" x14ac:dyDescent="0.3">
      <c r="A228" s="2">
        <v>45706</v>
      </c>
      <c r="B228" t="s">
        <v>77</v>
      </c>
      <c r="C228" t="s">
        <v>78</v>
      </c>
      <c r="D228" t="s">
        <v>20</v>
      </c>
      <c r="E228" t="s">
        <v>21</v>
      </c>
      <c r="F228" t="s">
        <v>863</v>
      </c>
      <c r="G228" t="s">
        <v>22</v>
      </c>
      <c r="H228" t="s">
        <v>71</v>
      </c>
      <c r="I228" s="29" t="s">
        <v>72</v>
      </c>
      <c r="J228" t="s">
        <v>51</v>
      </c>
      <c r="K228">
        <v>2</v>
      </c>
      <c r="L228">
        <v>1744</v>
      </c>
      <c r="M228">
        <v>0.01</v>
      </c>
      <c r="N228" s="25">
        <v>3488</v>
      </c>
      <c r="O228">
        <v>2805.15</v>
      </c>
      <c r="P228">
        <v>682.84999999999991</v>
      </c>
      <c r="Q228" s="19">
        <f>Tabuľka4[[#This Row],[Zisk]]/Tabuľka4[[#This Row],[Trzba]]</f>
        <v>0.19577121559633026</v>
      </c>
      <c r="R228">
        <v>2025</v>
      </c>
      <c r="S228" t="str">
        <f>TEXT(Tabuľka4[[#This Row],[Datum]],"MMMM")</f>
        <v>február</v>
      </c>
    </row>
    <row r="229" spans="1:19" x14ac:dyDescent="0.3">
      <c r="A229" s="2">
        <v>46140</v>
      </c>
      <c r="B229" t="s">
        <v>182</v>
      </c>
      <c r="C229" t="s">
        <v>183</v>
      </c>
      <c r="D229" t="s">
        <v>20</v>
      </c>
      <c r="E229" t="s">
        <v>21</v>
      </c>
      <c r="F229" t="s">
        <v>863</v>
      </c>
      <c r="G229" t="s">
        <v>43</v>
      </c>
      <c r="H229" t="s">
        <v>23</v>
      </c>
      <c r="I229" s="29" t="s">
        <v>154</v>
      </c>
      <c r="J229" t="s">
        <v>51</v>
      </c>
      <c r="K229">
        <v>2</v>
      </c>
      <c r="L229">
        <v>1708</v>
      </c>
      <c r="M229">
        <v>0.08</v>
      </c>
      <c r="N229" s="25">
        <v>3416</v>
      </c>
      <c r="O229">
        <v>2391.2800000000002</v>
      </c>
      <c r="P229">
        <v>1024.7199999999998</v>
      </c>
      <c r="Q229" s="19">
        <f>Tabuľka4[[#This Row],[Zisk]]/Tabuľka4[[#This Row],[Trzba]]</f>
        <v>0.29997658079625289</v>
      </c>
      <c r="R229">
        <v>2026</v>
      </c>
      <c r="S229" t="str">
        <f>TEXT(Tabuľka4[[#This Row],[Datum]],"MMMM")</f>
        <v>apríl</v>
      </c>
    </row>
    <row r="230" spans="1:19" x14ac:dyDescent="0.3">
      <c r="A230" s="2">
        <v>45742</v>
      </c>
      <c r="B230" t="s">
        <v>324</v>
      </c>
      <c r="C230" t="s">
        <v>57</v>
      </c>
      <c r="D230" t="s">
        <v>49</v>
      </c>
      <c r="E230" t="s">
        <v>21</v>
      </c>
      <c r="F230" t="s">
        <v>863</v>
      </c>
      <c r="G230" t="s">
        <v>58</v>
      </c>
      <c r="H230" t="s">
        <v>86</v>
      </c>
      <c r="I230" s="29" t="s">
        <v>310</v>
      </c>
      <c r="J230" t="s">
        <v>30</v>
      </c>
      <c r="K230">
        <v>5</v>
      </c>
      <c r="L230">
        <v>679</v>
      </c>
      <c r="M230">
        <v>0</v>
      </c>
      <c r="N230" s="25">
        <v>3395</v>
      </c>
      <c r="O230">
        <v>2428.91</v>
      </c>
      <c r="P230">
        <v>966.09000000000015</v>
      </c>
      <c r="Q230" s="19">
        <f>Tabuľka4[[#This Row],[Zisk]]/Tabuľka4[[#This Row],[Trzba]]</f>
        <v>0.28456259204712819</v>
      </c>
      <c r="R230">
        <v>2025</v>
      </c>
      <c r="S230" t="str">
        <f>TEXT(Tabuľka4[[#This Row],[Datum]],"MMMM")</f>
        <v>marec</v>
      </c>
    </row>
    <row r="231" spans="1:19" x14ac:dyDescent="0.3">
      <c r="A231" s="2">
        <v>45413</v>
      </c>
      <c r="B231" t="s">
        <v>152</v>
      </c>
      <c r="C231" t="s">
        <v>153</v>
      </c>
      <c r="D231" t="s">
        <v>20</v>
      </c>
      <c r="E231" t="s">
        <v>21</v>
      </c>
      <c r="F231" t="s">
        <v>863</v>
      </c>
      <c r="G231" t="s">
        <v>43</v>
      </c>
      <c r="H231" t="s">
        <v>23</v>
      </c>
      <c r="I231" s="29" t="s">
        <v>154</v>
      </c>
      <c r="J231" t="s">
        <v>51</v>
      </c>
      <c r="K231">
        <v>2</v>
      </c>
      <c r="L231">
        <v>1671</v>
      </c>
      <c r="M231">
        <v>0.03</v>
      </c>
      <c r="N231" s="25">
        <v>3342</v>
      </c>
      <c r="O231">
        <v>2060.4899999999998</v>
      </c>
      <c r="P231">
        <v>1281.5100000000002</v>
      </c>
      <c r="Q231" s="19">
        <f>Tabuľka4[[#This Row],[Zisk]]/Tabuľka4[[#This Row],[Trzba]]</f>
        <v>0.38345601436265714</v>
      </c>
      <c r="R231">
        <v>2024</v>
      </c>
      <c r="S231" t="str">
        <f>TEXT(Tabuľka4[[#This Row],[Datum]],"MMMM")</f>
        <v>máj</v>
      </c>
    </row>
    <row r="232" spans="1:19" x14ac:dyDescent="0.3">
      <c r="A232" s="2">
        <v>46010</v>
      </c>
      <c r="B232" t="s">
        <v>504</v>
      </c>
      <c r="C232" t="s">
        <v>60</v>
      </c>
      <c r="D232" t="s">
        <v>20</v>
      </c>
      <c r="E232" t="s">
        <v>0</v>
      </c>
      <c r="F232" t="s">
        <v>863</v>
      </c>
      <c r="G232" t="s">
        <v>22</v>
      </c>
      <c r="H232" t="s">
        <v>86</v>
      </c>
      <c r="I232" s="29" t="s">
        <v>483</v>
      </c>
      <c r="J232" t="s">
        <v>25</v>
      </c>
      <c r="K232">
        <v>3</v>
      </c>
      <c r="L232">
        <v>1106</v>
      </c>
      <c r="M232">
        <v>0.03</v>
      </c>
      <c r="N232" s="25">
        <v>3318</v>
      </c>
      <c r="O232">
        <v>2288.42</v>
      </c>
      <c r="P232">
        <v>1029.58</v>
      </c>
      <c r="Q232" s="19">
        <f>Tabuľka4[[#This Row],[Zisk]]/Tabuľka4[[#This Row],[Trzba]]</f>
        <v>0.31030138637733573</v>
      </c>
      <c r="R232">
        <v>2025</v>
      </c>
      <c r="S232" t="str">
        <f>TEXT(Tabuľka4[[#This Row],[Datum]],"MMMM")</f>
        <v>december</v>
      </c>
    </row>
    <row r="233" spans="1:19" x14ac:dyDescent="0.3">
      <c r="A233" s="2">
        <v>46045</v>
      </c>
      <c r="B233" t="s">
        <v>363</v>
      </c>
      <c r="C233" t="s">
        <v>364</v>
      </c>
      <c r="D233" t="s">
        <v>20</v>
      </c>
      <c r="E233" t="s">
        <v>0</v>
      </c>
      <c r="F233" t="s">
        <v>863</v>
      </c>
      <c r="G233" t="s">
        <v>22</v>
      </c>
      <c r="H233" t="s">
        <v>71</v>
      </c>
      <c r="I233" s="29" t="s">
        <v>333</v>
      </c>
      <c r="J233" t="s">
        <v>38</v>
      </c>
      <c r="K233">
        <v>3</v>
      </c>
      <c r="L233">
        <v>1093</v>
      </c>
      <c r="M233">
        <v>0.15</v>
      </c>
      <c r="N233" s="25">
        <v>3279</v>
      </c>
      <c r="O233">
        <v>2179.0500000000002</v>
      </c>
      <c r="P233">
        <v>1099.9499999999998</v>
      </c>
      <c r="Q233" s="19">
        <f>Tabuľka4[[#This Row],[Zisk]]/Tabuľka4[[#This Row],[Trzba]]</f>
        <v>0.3354528819762122</v>
      </c>
      <c r="R233">
        <v>2026</v>
      </c>
      <c r="S233" t="str">
        <f>TEXT(Tabuľka4[[#This Row],[Datum]],"MMMM")</f>
        <v>január</v>
      </c>
    </row>
    <row r="234" spans="1:19" x14ac:dyDescent="0.3">
      <c r="A234" s="2">
        <v>46025</v>
      </c>
      <c r="B234" t="s">
        <v>601</v>
      </c>
      <c r="C234" t="s">
        <v>352</v>
      </c>
      <c r="D234" t="s">
        <v>20</v>
      </c>
      <c r="E234" t="s">
        <v>68</v>
      </c>
      <c r="F234" t="s">
        <v>863</v>
      </c>
      <c r="G234" t="s">
        <v>43</v>
      </c>
      <c r="H234" t="s">
        <v>86</v>
      </c>
      <c r="I234" s="29" t="s">
        <v>586</v>
      </c>
      <c r="J234" t="s">
        <v>30</v>
      </c>
      <c r="K234">
        <v>3</v>
      </c>
      <c r="L234">
        <v>1088</v>
      </c>
      <c r="M234">
        <v>0.08</v>
      </c>
      <c r="N234" s="25">
        <v>3264</v>
      </c>
      <c r="O234">
        <v>2064.4499999999998</v>
      </c>
      <c r="P234">
        <v>1199.5500000000002</v>
      </c>
      <c r="Q234" s="19">
        <f>Tabuľka4[[#This Row],[Zisk]]/Tabuľka4[[#This Row],[Trzba]]</f>
        <v>0.36750919117647063</v>
      </c>
      <c r="R234">
        <v>2026</v>
      </c>
      <c r="S234" t="str">
        <f>TEXT(Tabuľka4[[#This Row],[Datum]],"MMMM")</f>
        <v>január</v>
      </c>
    </row>
    <row r="235" spans="1:19" x14ac:dyDescent="0.3">
      <c r="A235" s="2">
        <v>45655</v>
      </c>
      <c r="B235" t="s">
        <v>133</v>
      </c>
      <c r="C235" t="s">
        <v>134</v>
      </c>
      <c r="D235" t="s">
        <v>20</v>
      </c>
      <c r="E235" t="s">
        <v>21</v>
      </c>
      <c r="F235" t="s">
        <v>863</v>
      </c>
      <c r="G235" t="s">
        <v>22</v>
      </c>
      <c r="H235" t="s">
        <v>86</v>
      </c>
      <c r="I235" s="29" t="s">
        <v>120</v>
      </c>
      <c r="J235" t="s">
        <v>33</v>
      </c>
      <c r="K235">
        <v>5</v>
      </c>
      <c r="L235">
        <v>645</v>
      </c>
      <c r="M235">
        <v>7.0000000000000007E-2</v>
      </c>
      <c r="N235" s="25">
        <v>3225</v>
      </c>
      <c r="O235">
        <v>2174.23</v>
      </c>
      <c r="P235">
        <v>1050.77</v>
      </c>
      <c r="Q235" s="19">
        <f>Tabuľka4[[#This Row],[Zisk]]/Tabuľka4[[#This Row],[Trzba]]</f>
        <v>0.32582015503875966</v>
      </c>
      <c r="R235">
        <v>2024</v>
      </c>
      <c r="S235" t="str">
        <f>TEXT(Tabuľka4[[#This Row],[Datum]],"MMMM")</f>
        <v>december</v>
      </c>
    </row>
    <row r="236" spans="1:19" x14ac:dyDescent="0.3">
      <c r="A236" s="2">
        <v>46119</v>
      </c>
      <c r="B236" t="s">
        <v>398</v>
      </c>
      <c r="C236" t="s">
        <v>399</v>
      </c>
      <c r="D236" t="s">
        <v>20</v>
      </c>
      <c r="E236" t="s">
        <v>0</v>
      </c>
      <c r="F236" t="s">
        <v>863</v>
      </c>
      <c r="G236" t="s">
        <v>43</v>
      </c>
      <c r="H236" t="s">
        <v>71</v>
      </c>
      <c r="I236" s="29" t="s">
        <v>367</v>
      </c>
      <c r="J236" t="s">
        <v>25</v>
      </c>
      <c r="K236">
        <v>3</v>
      </c>
      <c r="L236">
        <v>1072</v>
      </c>
      <c r="M236">
        <v>0</v>
      </c>
      <c r="N236" s="25">
        <v>3216</v>
      </c>
      <c r="O236">
        <v>2688.93</v>
      </c>
      <c r="P236">
        <v>527.07000000000016</v>
      </c>
      <c r="Q236" s="19">
        <f>Tabuľka4[[#This Row],[Zisk]]/Tabuľka4[[#This Row],[Trzba]]</f>
        <v>0.16388992537313438</v>
      </c>
      <c r="R236">
        <v>2026</v>
      </c>
      <c r="S236" t="str">
        <f>TEXT(Tabuľka4[[#This Row],[Datum]],"MMMM")</f>
        <v>apríl</v>
      </c>
    </row>
    <row r="237" spans="1:19" x14ac:dyDescent="0.3">
      <c r="A237" s="2">
        <v>46054</v>
      </c>
      <c r="B237" t="s">
        <v>441</v>
      </c>
      <c r="C237" t="s">
        <v>442</v>
      </c>
      <c r="D237" t="s">
        <v>20</v>
      </c>
      <c r="E237" t="s">
        <v>68</v>
      </c>
      <c r="F237" t="s">
        <v>863</v>
      </c>
      <c r="G237" t="s">
        <v>43</v>
      </c>
      <c r="H237" t="s">
        <v>188</v>
      </c>
      <c r="I237" s="29" t="s">
        <v>424</v>
      </c>
      <c r="J237" t="s">
        <v>88</v>
      </c>
      <c r="K237">
        <v>5</v>
      </c>
      <c r="L237">
        <v>635</v>
      </c>
      <c r="M237">
        <v>0.06</v>
      </c>
      <c r="N237" s="25">
        <v>3175</v>
      </c>
      <c r="O237">
        <v>1913.79</v>
      </c>
      <c r="P237">
        <v>1261.21</v>
      </c>
      <c r="Q237" s="19">
        <f>Tabuľka4[[#This Row],[Zisk]]/Tabuľka4[[#This Row],[Trzba]]</f>
        <v>0.39723149606299213</v>
      </c>
      <c r="R237">
        <v>2026</v>
      </c>
      <c r="S237" t="str">
        <f>TEXT(Tabuľka4[[#This Row],[Datum]],"MMMM")</f>
        <v>február</v>
      </c>
    </row>
    <row r="238" spans="1:19" x14ac:dyDescent="0.3">
      <c r="A238" s="2">
        <v>45796</v>
      </c>
      <c r="B238" t="s">
        <v>140</v>
      </c>
      <c r="C238" t="s">
        <v>141</v>
      </c>
      <c r="D238" t="s">
        <v>20</v>
      </c>
      <c r="E238" t="s">
        <v>21</v>
      </c>
      <c r="F238" t="s">
        <v>863</v>
      </c>
      <c r="G238" t="s">
        <v>22</v>
      </c>
      <c r="H238" t="s">
        <v>86</v>
      </c>
      <c r="I238" s="29" t="s">
        <v>120</v>
      </c>
      <c r="J238" t="s">
        <v>33</v>
      </c>
      <c r="K238">
        <v>4</v>
      </c>
      <c r="L238">
        <v>792</v>
      </c>
      <c r="M238">
        <v>0</v>
      </c>
      <c r="N238" s="25">
        <v>3168</v>
      </c>
      <c r="O238">
        <v>2681.96</v>
      </c>
      <c r="P238">
        <v>486.03999999999996</v>
      </c>
      <c r="Q238" s="19">
        <f>Tabuľka4[[#This Row],[Zisk]]/Tabuľka4[[#This Row],[Trzba]]</f>
        <v>0.15342171717171715</v>
      </c>
      <c r="R238">
        <v>2025</v>
      </c>
      <c r="S238" t="str">
        <f>TEXT(Tabuľka4[[#This Row],[Datum]],"MMMM")</f>
        <v>máj</v>
      </c>
    </row>
    <row r="239" spans="1:19" x14ac:dyDescent="0.3">
      <c r="A239" s="2">
        <v>45884</v>
      </c>
      <c r="B239" t="s">
        <v>700</v>
      </c>
      <c r="C239" t="s">
        <v>701</v>
      </c>
      <c r="D239" t="s">
        <v>20</v>
      </c>
      <c r="E239" t="s">
        <v>21</v>
      </c>
      <c r="F239" t="s">
        <v>863</v>
      </c>
      <c r="G239" t="s">
        <v>22</v>
      </c>
      <c r="H239" t="s">
        <v>188</v>
      </c>
      <c r="I239" s="29" t="s">
        <v>688</v>
      </c>
      <c r="J239" t="s">
        <v>33</v>
      </c>
      <c r="K239">
        <v>3</v>
      </c>
      <c r="L239">
        <v>1056</v>
      </c>
      <c r="M239">
        <v>0.08</v>
      </c>
      <c r="N239" s="25">
        <v>3168</v>
      </c>
      <c r="O239">
        <v>2308.0500000000002</v>
      </c>
      <c r="P239">
        <v>859.94999999999982</v>
      </c>
      <c r="Q239" s="19">
        <f>Tabuľka4[[#This Row],[Zisk]]/Tabuľka4[[#This Row],[Trzba]]</f>
        <v>0.27144886363636356</v>
      </c>
      <c r="R239">
        <v>2025</v>
      </c>
      <c r="S239" t="str">
        <f>TEXT(Tabuľka4[[#This Row],[Datum]],"MMMM")</f>
        <v>august</v>
      </c>
    </row>
    <row r="240" spans="1:19" x14ac:dyDescent="0.3">
      <c r="A240" s="2">
        <v>45965</v>
      </c>
      <c r="B240" t="s">
        <v>358</v>
      </c>
      <c r="C240" t="s">
        <v>359</v>
      </c>
      <c r="D240" t="s">
        <v>20</v>
      </c>
      <c r="E240" t="s">
        <v>0</v>
      </c>
      <c r="F240" t="s">
        <v>863</v>
      </c>
      <c r="G240" t="s">
        <v>22</v>
      </c>
      <c r="H240" t="s">
        <v>71</v>
      </c>
      <c r="I240" s="29" t="s">
        <v>333</v>
      </c>
      <c r="J240" t="s">
        <v>25</v>
      </c>
      <c r="K240">
        <v>2</v>
      </c>
      <c r="L240">
        <v>1579</v>
      </c>
      <c r="M240">
        <v>0.04</v>
      </c>
      <c r="N240" s="25">
        <v>3158</v>
      </c>
      <c r="O240">
        <v>2095.33</v>
      </c>
      <c r="P240">
        <v>1062.67</v>
      </c>
      <c r="Q240" s="19">
        <f>Tabuľka4[[#This Row],[Zisk]]/Tabuľka4[[#This Row],[Trzba]]</f>
        <v>0.33650094996833441</v>
      </c>
      <c r="R240">
        <v>2025</v>
      </c>
      <c r="S240" t="str">
        <f>TEXT(Tabuľka4[[#This Row],[Datum]],"MMMM")</f>
        <v>november</v>
      </c>
    </row>
    <row r="241" spans="1:19" x14ac:dyDescent="0.3">
      <c r="A241" s="2">
        <v>45949</v>
      </c>
      <c r="B241" t="s">
        <v>81</v>
      </c>
      <c r="C241" t="s">
        <v>82</v>
      </c>
      <c r="D241" t="s">
        <v>20</v>
      </c>
      <c r="E241" t="s">
        <v>0</v>
      </c>
      <c r="F241" t="s">
        <v>863</v>
      </c>
      <c r="G241" t="s">
        <v>22</v>
      </c>
      <c r="H241" t="s">
        <v>71</v>
      </c>
      <c r="I241" s="29" t="s">
        <v>72</v>
      </c>
      <c r="J241" t="s">
        <v>30</v>
      </c>
      <c r="K241">
        <v>4</v>
      </c>
      <c r="L241">
        <v>789</v>
      </c>
      <c r="M241">
        <v>0.02</v>
      </c>
      <c r="N241" s="25">
        <v>3156</v>
      </c>
      <c r="O241">
        <v>2678.77</v>
      </c>
      <c r="P241">
        <v>477.23</v>
      </c>
      <c r="Q241" s="19">
        <f>Tabuľka4[[#This Row],[Zisk]]/Tabuľka4[[#This Row],[Trzba]]</f>
        <v>0.15121356147021547</v>
      </c>
      <c r="R241">
        <v>2025</v>
      </c>
      <c r="S241" t="str">
        <f>TEXT(Tabuľka4[[#This Row],[Datum]],"MMMM")</f>
        <v>október</v>
      </c>
    </row>
    <row r="242" spans="1:19" x14ac:dyDescent="0.3">
      <c r="A242" s="2">
        <v>46079</v>
      </c>
      <c r="B242" t="s">
        <v>550</v>
      </c>
      <c r="C242" t="s">
        <v>551</v>
      </c>
      <c r="D242" t="s">
        <v>20</v>
      </c>
      <c r="E242" t="s">
        <v>0</v>
      </c>
      <c r="F242" t="s">
        <v>863</v>
      </c>
      <c r="G242" t="s">
        <v>22</v>
      </c>
      <c r="H242" t="s">
        <v>71</v>
      </c>
      <c r="I242" s="29" t="s">
        <v>537</v>
      </c>
      <c r="J242" t="s">
        <v>88</v>
      </c>
      <c r="K242">
        <v>5</v>
      </c>
      <c r="L242">
        <v>630</v>
      </c>
      <c r="M242">
        <v>0.04</v>
      </c>
      <c r="N242" s="25">
        <v>3150</v>
      </c>
      <c r="O242">
        <v>2616.77</v>
      </c>
      <c r="P242">
        <v>533.23</v>
      </c>
      <c r="Q242" s="19">
        <f>Tabuľka4[[#This Row],[Zisk]]/Tabuľka4[[#This Row],[Trzba]]</f>
        <v>0.16927936507936509</v>
      </c>
      <c r="R242">
        <v>2026</v>
      </c>
      <c r="S242" t="str">
        <f>TEXT(Tabuľka4[[#This Row],[Datum]],"MMMM")</f>
        <v>február</v>
      </c>
    </row>
    <row r="243" spans="1:19" x14ac:dyDescent="0.3">
      <c r="A243" s="2">
        <v>45533</v>
      </c>
      <c r="B243" t="s">
        <v>591</v>
      </c>
      <c r="C243" t="s">
        <v>546</v>
      </c>
      <c r="D243" t="s">
        <v>20</v>
      </c>
      <c r="E243" t="s">
        <v>50</v>
      </c>
      <c r="F243" t="s">
        <v>863</v>
      </c>
      <c r="G243" t="s">
        <v>22</v>
      </c>
      <c r="H243" t="s">
        <v>86</v>
      </c>
      <c r="I243" s="29" t="s">
        <v>586</v>
      </c>
      <c r="J243" t="s">
        <v>63</v>
      </c>
      <c r="K243">
        <v>2</v>
      </c>
      <c r="L243">
        <v>1549</v>
      </c>
      <c r="M243">
        <v>0.01</v>
      </c>
      <c r="N243" s="25">
        <v>3098</v>
      </c>
      <c r="O243">
        <v>2088.02</v>
      </c>
      <c r="P243">
        <v>1009.98</v>
      </c>
      <c r="Q243" s="19">
        <f>Tabuľka4[[#This Row],[Zisk]]/Tabuľka4[[#This Row],[Trzba]]</f>
        <v>0.32601032924467399</v>
      </c>
      <c r="R243">
        <v>2024</v>
      </c>
      <c r="S243" t="str">
        <f>TEXT(Tabuľka4[[#This Row],[Datum]],"MMMM")</f>
        <v>august</v>
      </c>
    </row>
    <row r="244" spans="1:19" x14ac:dyDescent="0.3">
      <c r="A244" s="2">
        <v>45685</v>
      </c>
      <c r="B244" t="s">
        <v>493</v>
      </c>
      <c r="C244" t="s">
        <v>48</v>
      </c>
      <c r="D244" t="s">
        <v>49</v>
      </c>
      <c r="E244" t="s">
        <v>0</v>
      </c>
      <c r="F244" t="s">
        <v>863</v>
      </c>
      <c r="G244" t="s">
        <v>58</v>
      </c>
      <c r="H244" t="s">
        <v>86</v>
      </c>
      <c r="I244" s="29" t="s">
        <v>483</v>
      </c>
      <c r="J244" t="s">
        <v>25</v>
      </c>
      <c r="K244">
        <v>5</v>
      </c>
      <c r="L244">
        <v>619</v>
      </c>
      <c r="M244">
        <v>0.11</v>
      </c>
      <c r="N244" s="25">
        <v>3095</v>
      </c>
      <c r="O244">
        <v>1938.89</v>
      </c>
      <c r="P244">
        <v>1156.1099999999999</v>
      </c>
      <c r="Q244" s="19">
        <f>Tabuľka4[[#This Row],[Zisk]]/Tabuľka4[[#This Row],[Trzba]]</f>
        <v>0.37354119547657511</v>
      </c>
      <c r="R244">
        <v>2025</v>
      </c>
      <c r="S244" t="str">
        <f>TEXT(Tabuľka4[[#This Row],[Datum]],"MMMM")</f>
        <v>január</v>
      </c>
    </row>
    <row r="245" spans="1:19" x14ac:dyDescent="0.3">
      <c r="A245" s="2">
        <v>45738</v>
      </c>
      <c r="B245" t="s">
        <v>169</v>
      </c>
      <c r="C245" t="s">
        <v>170</v>
      </c>
      <c r="D245" t="s">
        <v>20</v>
      </c>
      <c r="E245" t="s">
        <v>68</v>
      </c>
      <c r="F245" t="s">
        <v>863</v>
      </c>
      <c r="G245" t="s">
        <v>43</v>
      </c>
      <c r="H245" t="s">
        <v>23</v>
      </c>
      <c r="I245" s="29" t="s">
        <v>154</v>
      </c>
      <c r="J245" t="s">
        <v>25</v>
      </c>
      <c r="K245">
        <v>2</v>
      </c>
      <c r="L245">
        <v>1538</v>
      </c>
      <c r="M245">
        <v>0.02</v>
      </c>
      <c r="N245" s="25">
        <v>3076</v>
      </c>
      <c r="O245">
        <v>2068.9899999999998</v>
      </c>
      <c r="P245">
        <v>1007.0100000000002</v>
      </c>
      <c r="Q245" s="19">
        <f>Tabuľka4[[#This Row],[Zisk]]/Tabuľka4[[#This Row],[Trzba]]</f>
        <v>0.32737646293888173</v>
      </c>
      <c r="R245">
        <v>2025</v>
      </c>
      <c r="S245" t="str">
        <f>TEXT(Tabuľka4[[#This Row],[Datum]],"MMMM")</f>
        <v>marec</v>
      </c>
    </row>
    <row r="246" spans="1:19" x14ac:dyDescent="0.3">
      <c r="A246" s="2">
        <v>45943</v>
      </c>
      <c r="B246" t="s">
        <v>650</v>
      </c>
      <c r="C246" t="s">
        <v>48</v>
      </c>
      <c r="D246" t="s">
        <v>49</v>
      </c>
      <c r="E246" t="s">
        <v>0</v>
      </c>
      <c r="F246" t="s">
        <v>863</v>
      </c>
      <c r="G246" t="s">
        <v>22</v>
      </c>
      <c r="H246" t="s">
        <v>23</v>
      </c>
      <c r="I246" s="29" t="s">
        <v>632</v>
      </c>
      <c r="J246" t="s">
        <v>51</v>
      </c>
      <c r="K246">
        <v>10</v>
      </c>
      <c r="L246">
        <v>306</v>
      </c>
      <c r="M246">
        <v>0.05</v>
      </c>
      <c r="N246" s="25">
        <v>3060</v>
      </c>
      <c r="O246">
        <v>2182.48</v>
      </c>
      <c r="P246">
        <v>877.52</v>
      </c>
      <c r="Q246" s="19">
        <f>Tabuľka4[[#This Row],[Zisk]]/Tabuľka4[[#This Row],[Trzba]]</f>
        <v>0.28677124183006536</v>
      </c>
      <c r="R246">
        <v>2025</v>
      </c>
      <c r="S246" t="str">
        <f>TEXT(Tabuľka4[[#This Row],[Datum]],"MMMM")</f>
        <v>október</v>
      </c>
    </row>
    <row r="247" spans="1:19" x14ac:dyDescent="0.3">
      <c r="A247" s="2">
        <v>45789</v>
      </c>
      <c r="B247" t="s">
        <v>137</v>
      </c>
      <c r="C247" t="s">
        <v>138</v>
      </c>
      <c r="D247" t="s">
        <v>20</v>
      </c>
      <c r="E247" t="s">
        <v>21</v>
      </c>
      <c r="F247" t="s">
        <v>863</v>
      </c>
      <c r="G247" t="s">
        <v>22</v>
      </c>
      <c r="H247" t="s">
        <v>86</v>
      </c>
      <c r="I247" s="29" t="s">
        <v>120</v>
      </c>
      <c r="J247" t="s">
        <v>25</v>
      </c>
      <c r="K247">
        <v>3</v>
      </c>
      <c r="L247">
        <v>1008</v>
      </c>
      <c r="M247">
        <v>7.0000000000000007E-2</v>
      </c>
      <c r="N247" s="25">
        <v>3024</v>
      </c>
      <c r="O247">
        <v>2325.92</v>
      </c>
      <c r="P247">
        <v>698.07999999999993</v>
      </c>
      <c r="Q247" s="19">
        <f>Tabuľka4[[#This Row],[Zisk]]/Tabuľka4[[#This Row],[Trzba]]</f>
        <v>0.23084656084656083</v>
      </c>
      <c r="R247">
        <v>2025</v>
      </c>
      <c r="S247" t="str">
        <f>TEXT(Tabuľka4[[#This Row],[Datum]],"MMMM")</f>
        <v>máj</v>
      </c>
    </row>
    <row r="248" spans="1:19" x14ac:dyDescent="0.3">
      <c r="A248" s="2">
        <v>45499</v>
      </c>
      <c r="B248" t="s">
        <v>125</v>
      </c>
      <c r="C248" t="s">
        <v>126</v>
      </c>
      <c r="D248" t="s">
        <v>20</v>
      </c>
      <c r="E248" t="s">
        <v>68</v>
      </c>
      <c r="F248" t="s">
        <v>863</v>
      </c>
      <c r="G248" t="s">
        <v>43</v>
      </c>
      <c r="H248" t="s">
        <v>86</v>
      </c>
      <c r="I248" s="29" t="s">
        <v>120</v>
      </c>
      <c r="J248" t="s">
        <v>63</v>
      </c>
      <c r="K248">
        <v>2</v>
      </c>
      <c r="L248">
        <v>1510</v>
      </c>
      <c r="M248">
        <v>0.06</v>
      </c>
      <c r="N248" s="25">
        <v>3020</v>
      </c>
      <c r="O248">
        <v>2025.01</v>
      </c>
      <c r="P248">
        <v>994.99</v>
      </c>
      <c r="Q248" s="19">
        <f>Tabuľka4[[#This Row],[Zisk]]/Tabuľka4[[#This Row],[Trzba]]</f>
        <v>0.32946688741721852</v>
      </c>
      <c r="R248">
        <v>2024</v>
      </c>
      <c r="S248" t="str">
        <f>TEXT(Tabuľka4[[#This Row],[Datum]],"MMMM")</f>
        <v>júl</v>
      </c>
    </row>
    <row r="249" spans="1:19" x14ac:dyDescent="0.3">
      <c r="A249" s="2">
        <v>45309</v>
      </c>
      <c r="B249" t="s">
        <v>536</v>
      </c>
      <c r="C249" t="s">
        <v>111</v>
      </c>
      <c r="D249" t="s">
        <v>20</v>
      </c>
      <c r="E249" t="s">
        <v>0</v>
      </c>
      <c r="F249" t="s">
        <v>863</v>
      </c>
      <c r="G249" t="s">
        <v>22</v>
      </c>
      <c r="H249" t="s">
        <v>71</v>
      </c>
      <c r="I249" s="29" t="s">
        <v>537</v>
      </c>
      <c r="J249" t="s">
        <v>38</v>
      </c>
      <c r="K249">
        <v>5</v>
      </c>
      <c r="L249">
        <v>602</v>
      </c>
      <c r="M249">
        <v>0.05</v>
      </c>
      <c r="N249" s="25">
        <v>3010</v>
      </c>
      <c r="O249">
        <v>2309.33</v>
      </c>
      <c r="P249">
        <v>700.67000000000007</v>
      </c>
      <c r="Q249" s="19">
        <f>Tabuľka4[[#This Row],[Zisk]]/Tabuľka4[[#This Row],[Trzba]]</f>
        <v>0.23278073089700999</v>
      </c>
      <c r="R249">
        <v>2024</v>
      </c>
      <c r="S249" t="str">
        <f>TEXT(Tabuľka4[[#This Row],[Datum]],"MMMM")</f>
        <v>január</v>
      </c>
    </row>
    <row r="250" spans="1:19" x14ac:dyDescent="0.3">
      <c r="A250" s="2">
        <v>45435</v>
      </c>
      <c r="B250" t="s">
        <v>686</v>
      </c>
      <c r="C250" t="s">
        <v>687</v>
      </c>
      <c r="D250" t="s">
        <v>20</v>
      </c>
      <c r="E250" t="s">
        <v>0</v>
      </c>
      <c r="F250" t="s">
        <v>863</v>
      </c>
      <c r="G250" t="s">
        <v>43</v>
      </c>
      <c r="H250" t="s">
        <v>188</v>
      </c>
      <c r="I250" s="29" t="s">
        <v>688</v>
      </c>
      <c r="J250" t="s">
        <v>33</v>
      </c>
      <c r="K250">
        <v>4</v>
      </c>
      <c r="L250">
        <v>750</v>
      </c>
      <c r="M250">
        <v>0.02</v>
      </c>
      <c r="N250" s="25">
        <v>3000</v>
      </c>
      <c r="O250">
        <v>2310.12</v>
      </c>
      <c r="P250">
        <v>689.88000000000011</v>
      </c>
      <c r="Q250" s="19">
        <f>Tabuľka4[[#This Row],[Zisk]]/Tabuľka4[[#This Row],[Trzba]]</f>
        <v>0.22996000000000003</v>
      </c>
      <c r="R250">
        <v>2024</v>
      </c>
      <c r="S250" t="str">
        <f>TEXT(Tabuľka4[[#This Row],[Datum]],"MMMM")</f>
        <v>máj</v>
      </c>
    </row>
    <row r="251" spans="1:19" x14ac:dyDescent="0.3">
      <c r="A251" s="2">
        <v>45849</v>
      </c>
      <c r="B251" t="s">
        <v>811</v>
      </c>
      <c r="C251" t="s">
        <v>754</v>
      </c>
      <c r="D251" t="s">
        <v>20</v>
      </c>
      <c r="E251" t="s">
        <v>68</v>
      </c>
      <c r="F251" t="s">
        <v>863</v>
      </c>
      <c r="G251" t="s">
        <v>22</v>
      </c>
      <c r="H251" t="s">
        <v>188</v>
      </c>
      <c r="I251" s="29" t="s">
        <v>791</v>
      </c>
      <c r="J251" t="s">
        <v>25</v>
      </c>
      <c r="K251">
        <v>2</v>
      </c>
      <c r="L251">
        <v>1498</v>
      </c>
      <c r="M251">
        <v>0.12</v>
      </c>
      <c r="N251" s="25">
        <v>2996</v>
      </c>
      <c r="O251">
        <v>1858.08</v>
      </c>
      <c r="P251">
        <v>1137.92</v>
      </c>
      <c r="Q251" s="19">
        <f>Tabuľka4[[#This Row],[Zisk]]/Tabuľka4[[#This Row],[Trzba]]</f>
        <v>0.37981308411214953</v>
      </c>
      <c r="R251">
        <v>2025</v>
      </c>
      <c r="S251" t="str">
        <f>TEXT(Tabuľka4[[#This Row],[Datum]],"MMMM")</f>
        <v>júl</v>
      </c>
    </row>
    <row r="252" spans="1:19" x14ac:dyDescent="0.3">
      <c r="A252" s="2">
        <v>46150</v>
      </c>
      <c r="B252" t="s">
        <v>305</v>
      </c>
      <c r="C252" t="s">
        <v>235</v>
      </c>
      <c r="D252" t="s">
        <v>49</v>
      </c>
      <c r="E252" t="s">
        <v>68</v>
      </c>
      <c r="F252" t="s">
        <v>863</v>
      </c>
      <c r="G252" t="s">
        <v>58</v>
      </c>
      <c r="H252" t="s">
        <v>86</v>
      </c>
      <c r="I252" s="29" t="s">
        <v>271</v>
      </c>
      <c r="J252" t="s">
        <v>25</v>
      </c>
      <c r="K252">
        <v>7</v>
      </c>
      <c r="L252">
        <v>423</v>
      </c>
      <c r="M252">
        <v>0.05</v>
      </c>
      <c r="N252" s="25">
        <v>2961</v>
      </c>
      <c r="O252">
        <v>2051.96</v>
      </c>
      <c r="P252">
        <v>909.04</v>
      </c>
      <c r="Q252" s="19">
        <f>Tabuľka4[[#This Row],[Zisk]]/Tabuľka4[[#This Row],[Trzba]]</f>
        <v>0.30700439040864569</v>
      </c>
      <c r="R252">
        <v>2026</v>
      </c>
      <c r="S252" t="str">
        <f>TEXT(Tabuľka4[[#This Row],[Datum]],"MMMM")</f>
        <v>máj</v>
      </c>
    </row>
    <row r="253" spans="1:19" x14ac:dyDescent="0.3">
      <c r="A253" s="2">
        <v>45621</v>
      </c>
      <c r="B253" t="s">
        <v>377</v>
      </c>
      <c r="C253" t="s">
        <v>378</v>
      </c>
      <c r="D253" t="s">
        <v>20</v>
      </c>
      <c r="E253" t="s">
        <v>0</v>
      </c>
      <c r="F253" t="s">
        <v>863</v>
      </c>
      <c r="G253" t="s">
        <v>22</v>
      </c>
      <c r="H253" t="s">
        <v>71</v>
      </c>
      <c r="I253" s="29" t="s">
        <v>367</v>
      </c>
      <c r="J253" t="s">
        <v>33</v>
      </c>
      <c r="K253">
        <v>4</v>
      </c>
      <c r="L253">
        <v>729</v>
      </c>
      <c r="M253">
        <v>0.14000000000000001</v>
      </c>
      <c r="N253" s="25">
        <v>2916</v>
      </c>
      <c r="O253">
        <v>1908.3</v>
      </c>
      <c r="P253">
        <v>1007.7</v>
      </c>
      <c r="Q253" s="19">
        <f>Tabuľka4[[#This Row],[Zisk]]/Tabuľka4[[#This Row],[Trzba]]</f>
        <v>0.34557613168724283</v>
      </c>
      <c r="R253">
        <v>2024</v>
      </c>
      <c r="S253" t="str">
        <f>TEXT(Tabuľka4[[#This Row],[Datum]],"MMMM")</f>
        <v>november</v>
      </c>
    </row>
    <row r="254" spans="1:19" x14ac:dyDescent="0.3">
      <c r="A254" s="2">
        <v>45976</v>
      </c>
      <c r="B254" t="s">
        <v>83</v>
      </c>
      <c r="C254" t="s">
        <v>84</v>
      </c>
      <c r="D254" t="s">
        <v>20</v>
      </c>
      <c r="E254" t="s">
        <v>68</v>
      </c>
      <c r="F254" t="s">
        <v>863</v>
      </c>
      <c r="G254" t="s">
        <v>22</v>
      </c>
      <c r="H254" t="s">
        <v>71</v>
      </c>
      <c r="I254" s="29" t="s">
        <v>72</v>
      </c>
      <c r="J254" t="s">
        <v>30</v>
      </c>
      <c r="K254">
        <v>4</v>
      </c>
      <c r="L254">
        <v>728</v>
      </c>
      <c r="M254">
        <v>7.0000000000000007E-2</v>
      </c>
      <c r="N254" s="25">
        <v>2912</v>
      </c>
      <c r="O254">
        <v>2206.91</v>
      </c>
      <c r="P254">
        <v>705.09000000000015</v>
      </c>
      <c r="Q254" s="19">
        <f>Tabuľka4[[#This Row],[Zisk]]/Tabuľka4[[#This Row],[Trzba]]</f>
        <v>0.24213255494505501</v>
      </c>
      <c r="R254">
        <v>2025</v>
      </c>
      <c r="S254" t="str">
        <f>TEXT(Tabuľka4[[#This Row],[Datum]],"MMMM")</f>
        <v>november</v>
      </c>
    </row>
    <row r="255" spans="1:19" x14ac:dyDescent="0.3">
      <c r="A255" s="2">
        <v>45558</v>
      </c>
      <c r="B255" t="s">
        <v>344</v>
      </c>
      <c r="C255" t="s">
        <v>345</v>
      </c>
      <c r="D255" t="s">
        <v>20</v>
      </c>
      <c r="E255" t="s">
        <v>0</v>
      </c>
      <c r="F255" t="s">
        <v>863</v>
      </c>
      <c r="G255" t="s">
        <v>43</v>
      </c>
      <c r="H255" t="s">
        <v>71</v>
      </c>
      <c r="I255" s="29" t="s">
        <v>333</v>
      </c>
      <c r="J255" t="s">
        <v>25</v>
      </c>
      <c r="K255">
        <v>2</v>
      </c>
      <c r="L255">
        <v>1450</v>
      </c>
      <c r="M255">
        <v>0.1</v>
      </c>
      <c r="N255" s="25">
        <v>2900</v>
      </c>
      <c r="O255">
        <v>2152.7600000000002</v>
      </c>
      <c r="P255">
        <v>747.23999999999978</v>
      </c>
      <c r="Q255" s="19">
        <f>Tabuľka4[[#This Row],[Zisk]]/Tabuľka4[[#This Row],[Trzba]]</f>
        <v>0.25766896551724128</v>
      </c>
      <c r="R255">
        <v>2024</v>
      </c>
      <c r="S255" t="str">
        <f>TEXT(Tabuľka4[[#This Row],[Datum]],"MMMM")</f>
        <v>september</v>
      </c>
    </row>
    <row r="256" spans="1:19" x14ac:dyDescent="0.3">
      <c r="A256" s="2">
        <v>45645</v>
      </c>
      <c r="B256" t="s">
        <v>75</v>
      </c>
      <c r="C256" t="s">
        <v>76</v>
      </c>
      <c r="D256" t="s">
        <v>20</v>
      </c>
      <c r="E256" t="s">
        <v>21</v>
      </c>
      <c r="F256" t="s">
        <v>863</v>
      </c>
      <c r="G256" t="s">
        <v>43</v>
      </c>
      <c r="H256" t="s">
        <v>71</v>
      </c>
      <c r="I256" s="29" t="s">
        <v>72</v>
      </c>
      <c r="J256" t="s">
        <v>63</v>
      </c>
      <c r="K256">
        <v>4</v>
      </c>
      <c r="L256">
        <v>716</v>
      </c>
      <c r="M256">
        <v>0.22</v>
      </c>
      <c r="N256" s="25">
        <v>2864</v>
      </c>
      <c r="O256">
        <v>1915.35</v>
      </c>
      <c r="P256">
        <v>948.65000000000009</v>
      </c>
      <c r="Q256" s="19">
        <f>Tabuľka4[[#This Row],[Zisk]]/Tabuľka4[[#This Row],[Trzba]]</f>
        <v>0.33123254189944135</v>
      </c>
      <c r="R256">
        <v>2024</v>
      </c>
      <c r="S256" t="str">
        <f>TEXT(Tabuľka4[[#This Row],[Datum]],"MMMM")</f>
        <v>december</v>
      </c>
    </row>
    <row r="257" spans="1:19" x14ac:dyDescent="0.3">
      <c r="A257" s="2">
        <v>46129</v>
      </c>
      <c r="B257" t="s">
        <v>302</v>
      </c>
      <c r="C257" t="s">
        <v>151</v>
      </c>
      <c r="D257" t="s">
        <v>20</v>
      </c>
      <c r="E257" t="s">
        <v>21</v>
      </c>
      <c r="F257" t="s">
        <v>863</v>
      </c>
      <c r="G257" t="s">
        <v>22</v>
      </c>
      <c r="H257" t="s">
        <v>86</v>
      </c>
      <c r="I257" s="29" t="s">
        <v>271</v>
      </c>
      <c r="J257" t="s">
        <v>25</v>
      </c>
      <c r="K257">
        <v>4</v>
      </c>
      <c r="L257">
        <v>715</v>
      </c>
      <c r="M257">
        <v>0.05</v>
      </c>
      <c r="N257" s="25">
        <v>2860</v>
      </c>
      <c r="O257">
        <v>2093.06</v>
      </c>
      <c r="P257">
        <v>766.94</v>
      </c>
      <c r="Q257" s="19">
        <f>Tabuľka4[[#This Row],[Zisk]]/Tabuľka4[[#This Row],[Trzba]]</f>
        <v>0.26816083916083916</v>
      </c>
      <c r="R257">
        <v>2026</v>
      </c>
      <c r="S257" t="str">
        <f>TEXT(Tabuľka4[[#This Row],[Datum]],"MMMM")</f>
        <v>apríl</v>
      </c>
    </row>
    <row r="258" spans="1:19" x14ac:dyDescent="0.3">
      <c r="A258" s="2">
        <v>46164</v>
      </c>
      <c r="B258" t="s">
        <v>556</v>
      </c>
      <c r="C258" t="s">
        <v>389</v>
      </c>
      <c r="D258" t="s">
        <v>20</v>
      </c>
      <c r="E258" t="s">
        <v>68</v>
      </c>
      <c r="F258" t="s">
        <v>863</v>
      </c>
      <c r="G258" t="s">
        <v>43</v>
      </c>
      <c r="H258" t="s">
        <v>71</v>
      </c>
      <c r="I258" s="29" t="s">
        <v>537</v>
      </c>
      <c r="J258" t="s">
        <v>30</v>
      </c>
      <c r="K258">
        <v>4</v>
      </c>
      <c r="L258">
        <v>710</v>
      </c>
      <c r="M258">
        <v>0.1</v>
      </c>
      <c r="N258" s="25">
        <v>2840</v>
      </c>
      <c r="O258">
        <v>2127.52</v>
      </c>
      <c r="P258">
        <v>712.48</v>
      </c>
      <c r="Q258" s="19">
        <f>Tabuľka4[[#This Row],[Zisk]]/Tabuľka4[[#This Row],[Trzba]]</f>
        <v>0.25087323943661971</v>
      </c>
      <c r="R258">
        <v>2026</v>
      </c>
      <c r="S258" t="str">
        <f>TEXT(Tabuľka4[[#This Row],[Datum]],"MMMM")</f>
        <v>máj</v>
      </c>
    </row>
    <row r="259" spans="1:19" x14ac:dyDescent="0.3">
      <c r="A259" s="2">
        <v>45670</v>
      </c>
      <c r="B259" t="s">
        <v>164</v>
      </c>
      <c r="C259" t="s">
        <v>165</v>
      </c>
      <c r="D259" t="s">
        <v>20</v>
      </c>
      <c r="E259" t="s">
        <v>68</v>
      </c>
      <c r="F259" t="s">
        <v>863</v>
      </c>
      <c r="G259" t="s">
        <v>43</v>
      </c>
      <c r="H259" t="s">
        <v>23</v>
      </c>
      <c r="I259" s="29" t="s">
        <v>154</v>
      </c>
      <c r="J259" t="s">
        <v>51</v>
      </c>
      <c r="K259">
        <v>2</v>
      </c>
      <c r="L259">
        <v>1416</v>
      </c>
      <c r="M259">
        <v>0.16</v>
      </c>
      <c r="N259" s="25">
        <v>2832</v>
      </c>
      <c r="O259">
        <v>1701.36</v>
      </c>
      <c r="P259">
        <v>1130.6400000000001</v>
      </c>
      <c r="Q259" s="19">
        <f>Tabuľka4[[#This Row],[Zisk]]/Tabuľka4[[#This Row],[Trzba]]</f>
        <v>0.39923728813559328</v>
      </c>
      <c r="R259">
        <v>2025</v>
      </c>
      <c r="S259" t="str">
        <f>TEXT(Tabuľka4[[#This Row],[Datum]],"MMMM")</f>
        <v>január</v>
      </c>
    </row>
    <row r="260" spans="1:19" x14ac:dyDescent="0.3">
      <c r="A260" s="2">
        <v>45943</v>
      </c>
      <c r="B260" t="s">
        <v>296</v>
      </c>
      <c r="C260" t="s">
        <v>297</v>
      </c>
      <c r="D260" t="s">
        <v>20</v>
      </c>
      <c r="E260" t="s">
        <v>68</v>
      </c>
      <c r="F260" t="s">
        <v>863</v>
      </c>
      <c r="G260" t="s">
        <v>43</v>
      </c>
      <c r="H260" t="s">
        <v>86</v>
      </c>
      <c r="I260" s="29" t="s">
        <v>271</v>
      </c>
      <c r="J260" t="s">
        <v>38</v>
      </c>
      <c r="K260">
        <v>6</v>
      </c>
      <c r="L260">
        <v>471</v>
      </c>
      <c r="M260">
        <v>0</v>
      </c>
      <c r="N260" s="25">
        <v>2826</v>
      </c>
      <c r="O260">
        <v>2206</v>
      </c>
      <c r="P260">
        <v>620</v>
      </c>
      <c r="Q260" s="19">
        <f>Tabuľka4[[#This Row],[Zisk]]/Tabuľka4[[#This Row],[Trzba]]</f>
        <v>0.21939136588818117</v>
      </c>
      <c r="R260">
        <v>2025</v>
      </c>
      <c r="S260" t="str">
        <f>TEXT(Tabuľka4[[#This Row],[Datum]],"MMMM")</f>
        <v>október</v>
      </c>
    </row>
    <row r="261" spans="1:19" x14ac:dyDescent="0.3">
      <c r="A261" s="2">
        <v>45705</v>
      </c>
      <c r="B261" t="s">
        <v>283</v>
      </c>
      <c r="C261" t="s">
        <v>57</v>
      </c>
      <c r="D261" t="s">
        <v>49</v>
      </c>
      <c r="E261" t="s">
        <v>0</v>
      </c>
      <c r="F261" t="s">
        <v>863</v>
      </c>
      <c r="G261" t="s">
        <v>22</v>
      </c>
      <c r="H261" t="s">
        <v>86</v>
      </c>
      <c r="I261" s="29" t="s">
        <v>271</v>
      </c>
      <c r="J261" t="s">
        <v>63</v>
      </c>
      <c r="K261">
        <v>8</v>
      </c>
      <c r="L261">
        <v>350</v>
      </c>
      <c r="M261">
        <v>0.14000000000000001</v>
      </c>
      <c r="N261" s="25">
        <v>2800</v>
      </c>
      <c r="O261">
        <v>1548.68</v>
      </c>
      <c r="P261">
        <v>1251.32</v>
      </c>
      <c r="Q261" s="19">
        <f>Tabuľka4[[#This Row],[Zisk]]/Tabuľka4[[#This Row],[Trzba]]</f>
        <v>0.44689999999999996</v>
      </c>
      <c r="R261">
        <v>2025</v>
      </c>
      <c r="S261" t="str">
        <f>TEXT(Tabuľka4[[#This Row],[Datum]],"MMMM")</f>
        <v>február</v>
      </c>
    </row>
    <row r="262" spans="1:19" x14ac:dyDescent="0.3">
      <c r="A262" s="2">
        <v>45828</v>
      </c>
      <c r="B262" t="s">
        <v>678</v>
      </c>
      <c r="C262" t="s">
        <v>679</v>
      </c>
      <c r="D262" t="s">
        <v>20</v>
      </c>
      <c r="E262" t="s">
        <v>68</v>
      </c>
      <c r="F262" t="s">
        <v>863</v>
      </c>
      <c r="G262" t="s">
        <v>43</v>
      </c>
      <c r="H262" t="s">
        <v>71</v>
      </c>
      <c r="I262" s="29" t="s">
        <v>675</v>
      </c>
      <c r="J262" t="s">
        <v>38</v>
      </c>
      <c r="K262">
        <v>1</v>
      </c>
      <c r="L262">
        <v>2780</v>
      </c>
      <c r="M262">
        <v>0.13</v>
      </c>
      <c r="N262" s="25">
        <v>2780</v>
      </c>
      <c r="O262">
        <v>2020.76</v>
      </c>
      <c r="P262">
        <v>759.24</v>
      </c>
      <c r="Q262" s="19">
        <f>Tabuľka4[[#This Row],[Zisk]]/Tabuľka4[[#This Row],[Trzba]]</f>
        <v>0.27310791366906473</v>
      </c>
      <c r="R262">
        <v>2025</v>
      </c>
      <c r="S262" t="str">
        <f>TEXT(Tabuľka4[[#This Row],[Datum]],"MMMM")</f>
        <v>jún</v>
      </c>
    </row>
    <row r="263" spans="1:19" x14ac:dyDescent="0.3">
      <c r="A263" s="2">
        <v>46159</v>
      </c>
      <c r="B263" t="s">
        <v>306</v>
      </c>
      <c r="C263" t="s">
        <v>48</v>
      </c>
      <c r="D263" t="s">
        <v>49</v>
      </c>
      <c r="E263" t="s">
        <v>50</v>
      </c>
      <c r="F263" t="s">
        <v>863</v>
      </c>
      <c r="G263" t="s">
        <v>22</v>
      </c>
      <c r="H263" t="s">
        <v>86</v>
      </c>
      <c r="I263" s="29" t="s">
        <v>271</v>
      </c>
      <c r="J263" t="s">
        <v>25</v>
      </c>
      <c r="K263">
        <v>8</v>
      </c>
      <c r="L263">
        <v>341</v>
      </c>
      <c r="M263">
        <v>0.13</v>
      </c>
      <c r="N263" s="25">
        <v>2728</v>
      </c>
      <c r="O263">
        <v>1488.55</v>
      </c>
      <c r="P263">
        <v>1239.45</v>
      </c>
      <c r="Q263" s="19">
        <f>Tabuľka4[[#This Row],[Zisk]]/Tabuľka4[[#This Row],[Trzba]]</f>
        <v>0.45434384164222874</v>
      </c>
      <c r="R263">
        <v>2026</v>
      </c>
      <c r="S263" t="str">
        <f>TEXT(Tabuľka4[[#This Row],[Datum]],"MMMM")</f>
        <v>máj</v>
      </c>
    </row>
    <row r="264" spans="1:19" x14ac:dyDescent="0.3">
      <c r="A264" s="2">
        <v>46000</v>
      </c>
      <c r="B264" t="s">
        <v>144</v>
      </c>
      <c r="C264" t="s">
        <v>145</v>
      </c>
      <c r="D264" t="s">
        <v>20</v>
      </c>
      <c r="E264" t="s">
        <v>0</v>
      </c>
      <c r="F264" t="s">
        <v>863</v>
      </c>
      <c r="G264" t="s">
        <v>22</v>
      </c>
      <c r="H264" t="s">
        <v>86</v>
      </c>
      <c r="I264" s="29" t="s">
        <v>120</v>
      </c>
      <c r="J264" t="s">
        <v>30</v>
      </c>
      <c r="K264">
        <v>2</v>
      </c>
      <c r="L264">
        <v>1334</v>
      </c>
      <c r="M264">
        <v>0.12</v>
      </c>
      <c r="N264" s="25">
        <v>2668</v>
      </c>
      <c r="O264">
        <v>1877.19</v>
      </c>
      <c r="P264">
        <v>790.81</v>
      </c>
      <c r="Q264" s="19">
        <f>Tabuľka4[[#This Row],[Zisk]]/Tabuľka4[[#This Row],[Trzba]]</f>
        <v>0.29640554722638679</v>
      </c>
      <c r="R264">
        <v>2025</v>
      </c>
      <c r="S264" t="str">
        <f>TEXT(Tabuľka4[[#This Row],[Datum]],"MMMM")</f>
        <v>december</v>
      </c>
    </row>
    <row r="265" spans="1:19" x14ac:dyDescent="0.3">
      <c r="A265" s="2">
        <v>45390</v>
      </c>
      <c r="B265" t="s">
        <v>335</v>
      </c>
      <c r="C265" t="s">
        <v>336</v>
      </c>
      <c r="D265" t="s">
        <v>20</v>
      </c>
      <c r="E265" t="s">
        <v>68</v>
      </c>
      <c r="F265" t="s">
        <v>863</v>
      </c>
      <c r="G265" t="s">
        <v>22</v>
      </c>
      <c r="H265" t="s">
        <v>71</v>
      </c>
      <c r="I265" s="29" t="s">
        <v>333</v>
      </c>
      <c r="J265" t="s">
        <v>25</v>
      </c>
      <c r="K265">
        <v>2</v>
      </c>
      <c r="L265">
        <v>1311</v>
      </c>
      <c r="M265">
        <v>0.08</v>
      </c>
      <c r="N265" s="25">
        <v>2622</v>
      </c>
      <c r="O265">
        <v>1987.67</v>
      </c>
      <c r="P265">
        <v>634.32999999999993</v>
      </c>
      <c r="Q265" s="19">
        <f>Tabuľka4[[#This Row],[Zisk]]/Tabuľka4[[#This Row],[Trzba]]</f>
        <v>0.24192601067887107</v>
      </c>
      <c r="R265">
        <v>2024</v>
      </c>
      <c r="S265" t="str">
        <f>TEXT(Tabuľka4[[#This Row],[Datum]],"MMMM")</f>
        <v>apríl</v>
      </c>
    </row>
    <row r="266" spans="1:19" x14ac:dyDescent="0.3">
      <c r="A266" s="2">
        <v>46036</v>
      </c>
      <c r="B266" t="s">
        <v>768</v>
      </c>
      <c r="C266" t="s">
        <v>652</v>
      </c>
      <c r="D266" t="s">
        <v>20</v>
      </c>
      <c r="E266" t="s">
        <v>0</v>
      </c>
      <c r="F266" t="s">
        <v>863</v>
      </c>
      <c r="G266" t="s">
        <v>22</v>
      </c>
      <c r="H266" t="s">
        <v>188</v>
      </c>
      <c r="I266" s="29" t="s">
        <v>738</v>
      </c>
      <c r="J266" t="s">
        <v>30</v>
      </c>
      <c r="K266">
        <v>4</v>
      </c>
      <c r="L266">
        <v>652</v>
      </c>
      <c r="M266">
        <v>0.12</v>
      </c>
      <c r="N266" s="25">
        <v>2608</v>
      </c>
      <c r="O266">
        <v>1711.33</v>
      </c>
      <c r="P266">
        <v>896.67000000000007</v>
      </c>
      <c r="Q266" s="19">
        <f>Tabuľka4[[#This Row],[Zisk]]/Tabuľka4[[#This Row],[Trzba]]</f>
        <v>0.34381518404907979</v>
      </c>
      <c r="R266">
        <v>2026</v>
      </c>
      <c r="S266" t="str">
        <f>TEXT(Tabuľka4[[#This Row],[Datum]],"MMMM")</f>
        <v>január</v>
      </c>
    </row>
    <row r="267" spans="1:19" x14ac:dyDescent="0.3">
      <c r="A267" s="2">
        <v>46164</v>
      </c>
      <c r="B267" t="s">
        <v>554</v>
      </c>
      <c r="C267" t="s">
        <v>555</v>
      </c>
      <c r="D267" t="s">
        <v>20</v>
      </c>
      <c r="E267" t="s">
        <v>0</v>
      </c>
      <c r="F267" t="s">
        <v>863</v>
      </c>
      <c r="G267" t="s">
        <v>43</v>
      </c>
      <c r="H267" t="s">
        <v>71</v>
      </c>
      <c r="I267" s="29" t="s">
        <v>537</v>
      </c>
      <c r="J267" t="s">
        <v>46</v>
      </c>
      <c r="K267">
        <v>3</v>
      </c>
      <c r="L267">
        <v>869</v>
      </c>
      <c r="M267">
        <v>0.11</v>
      </c>
      <c r="N267" s="25">
        <v>2607</v>
      </c>
      <c r="O267">
        <v>1787.96</v>
      </c>
      <c r="P267">
        <v>819.04</v>
      </c>
      <c r="Q267" s="19">
        <f>Tabuľka4[[#This Row],[Zisk]]/Tabuľka4[[#This Row],[Trzba]]</f>
        <v>0.31416954353663212</v>
      </c>
      <c r="R267">
        <v>2026</v>
      </c>
      <c r="S267" t="str">
        <f>TEXT(Tabuľka4[[#This Row],[Datum]],"MMMM")</f>
        <v>máj</v>
      </c>
    </row>
    <row r="268" spans="1:19" x14ac:dyDescent="0.3">
      <c r="A268" s="2">
        <v>45765</v>
      </c>
      <c r="B268" t="s">
        <v>382</v>
      </c>
      <c r="C268" t="s">
        <v>383</v>
      </c>
      <c r="D268" t="s">
        <v>20</v>
      </c>
      <c r="E268" t="s">
        <v>68</v>
      </c>
      <c r="F268" t="s">
        <v>863</v>
      </c>
      <c r="G268" t="s">
        <v>43</v>
      </c>
      <c r="H268" t="s">
        <v>71</v>
      </c>
      <c r="I268" s="29" t="s">
        <v>367</v>
      </c>
      <c r="J268" t="s">
        <v>46</v>
      </c>
      <c r="K268">
        <v>2</v>
      </c>
      <c r="L268">
        <v>1296</v>
      </c>
      <c r="M268">
        <v>0.08</v>
      </c>
      <c r="N268" s="25">
        <v>2592</v>
      </c>
      <c r="O268">
        <v>1937.58</v>
      </c>
      <c r="P268">
        <v>654.42000000000007</v>
      </c>
      <c r="Q268" s="19">
        <f>Tabuľka4[[#This Row],[Zisk]]/Tabuľka4[[#This Row],[Trzba]]</f>
        <v>0.25247685185185187</v>
      </c>
      <c r="R268">
        <v>2025</v>
      </c>
      <c r="S268" t="str">
        <f>TEXT(Tabuľka4[[#This Row],[Datum]],"MMMM")</f>
        <v>apríl</v>
      </c>
    </row>
    <row r="269" spans="1:19" x14ac:dyDescent="0.3">
      <c r="A269" s="2">
        <v>45583</v>
      </c>
      <c r="B269" t="s">
        <v>488</v>
      </c>
      <c r="C269" t="s">
        <v>489</v>
      </c>
      <c r="D269" t="s">
        <v>20</v>
      </c>
      <c r="E269" t="s">
        <v>21</v>
      </c>
      <c r="F269" t="s">
        <v>863</v>
      </c>
      <c r="G269" t="s">
        <v>22</v>
      </c>
      <c r="H269" t="s">
        <v>86</v>
      </c>
      <c r="I269" s="29" t="s">
        <v>483</v>
      </c>
      <c r="J269" t="s">
        <v>30</v>
      </c>
      <c r="K269">
        <v>3</v>
      </c>
      <c r="L269">
        <v>853</v>
      </c>
      <c r="M269">
        <v>0</v>
      </c>
      <c r="N269" s="25">
        <v>2559</v>
      </c>
      <c r="O269">
        <v>2006.75</v>
      </c>
      <c r="P269">
        <v>552.25</v>
      </c>
      <c r="Q269" s="19">
        <f>Tabuľka4[[#This Row],[Zisk]]/Tabuľka4[[#This Row],[Trzba]]</f>
        <v>0.21580695584212584</v>
      </c>
      <c r="R269">
        <v>2024</v>
      </c>
      <c r="S269" t="str">
        <f>TEXT(Tabuľka4[[#This Row],[Datum]],"MMMM")</f>
        <v>október</v>
      </c>
    </row>
    <row r="270" spans="1:19" x14ac:dyDescent="0.3">
      <c r="A270" s="2">
        <v>45815</v>
      </c>
      <c r="B270" t="s">
        <v>284</v>
      </c>
      <c r="C270" t="s">
        <v>285</v>
      </c>
      <c r="D270" t="s">
        <v>20</v>
      </c>
      <c r="E270" t="s">
        <v>21</v>
      </c>
      <c r="F270" t="s">
        <v>863</v>
      </c>
      <c r="G270" t="s">
        <v>43</v>
      </c>
      <c r="H270" t="s">
        <v>86</v>
      </c>
      <c r="I270" s="29" t="s">
        <v>271</v>
      </c>
      <c r="J270" t="s">
        <v>38</v>
      </c>
      <c r="K270">
        <v>4</v>
      </c>
      <c r="L270">
        <v>637</v>
      </c>
      <c r="M270">
        <v>0.04</v>
      </c>
      <c r="N270" s="25">
        <v>2548</v>
      </c>
      <c r="O270">
        <v>1671.44</v>
      </c>
      <c r="P270">
        <v>876.56</v>
      </c>
      <c r="Q270" s="19">
        <f>Tabuľka4[[#This Row],[Zisk]]/Tabuľka4[[#This Row],[Trzba]]</f>
        <v>0.34401883830455254</v>
      </c>
      <c r="R270">
        <v>2025</v>
      </c>
      <c r="S270" t="str">
        <f>TEXT(Tabuľka4[[#This Row],[Datum]],"MMMM")</f>
        <v>jún</v>
      </c>
    </row>
    <row r="271" spans="1:19" x14ac:dyDescent="0.3">
      <c r="A271" s="2">
        <v>45952</v>
      </c>
      <c r="B271" t="s">
        <v>386</v>
      </c>
      <c r="C271" t="s">
        <v>387</v>
      </c>
      <c r="D271" t="s">
        <v>20</v>
      </c>
      <c r="E271" t="s">
        <v>21</v>
      </c>
      <c r="F271" t="s">
        <v>863</v>
      </c>
      <c r="G271" t="s">
        <v>22</v>
      </c>
      <c r="H271" t="s">
        <v>71</v>
      </c>
      <c r="I271" s="29" t="s">
        <v>367</v>
      </c>
      <c r="J271" t="s">
        <v>51</v>
      </c>
      <c r="K271">
        <v>2</v>
      </c>
      <c r="L271">
        <v>1265</v>
      </c>
      <c r="M271">
        <v>0.09</v>
      </c>
      <c r="N271" s="25">
        <v>2530</v>
      </c>
      <c r="O271">
        <v>1993.53</v>
      </c>
      <c r="P271">
        <v>536.47</v>
      </c>
      <c r="Q271" s="19">
        <f>Tabuľka4[[#This Row],[Zisk]]/Tabuľka4[[#This Row],[Trzba]]</f>
        <v>0.21204347826086958</v>
      </c>
      <c r="R271">
        <v>2025</v>
      </c>
      <c r="S271" t="str">
        <f>TEXT(Tabuľka4[[#This Row],[Datum]],"MMMM")</f>
        <v>október</v>
      </c>
    </row>
    <row r="272" spans="1:19" x14ac:dyDescent="0.3">
      <c r="A272" s="2">
        <v>45545</v>
      </c>
      <c r="B272" t="s">
        <v>638</v>
      </c>
      <c r="C272" t="s">
        <v>74</v>
      </c>
      <c r="D272" t="s">
        <v>49</v>
      </c>
      <c r="E272" t="s">
        <v>0</v>
      </c>
      <c r="F272" t="s">
        <v>863</v>
      </c>
      <c r="G272" t="s">
        <v>58</v>
      </c>
      <c r="H272" t="s">
        <v>23</v>
      </c>
      <c r="I272" s="29" t="s">
        <v>632</v>
      </c>
      <c r="J272" t="s">
        <v>25</v>
      </c>
      <c r="K272">
        <v>9</v>
      </c>
      <c r="L272">
        <v>280</v>
      </c>
      <c r="M272">
        <v>0</v>
      </c>
      <c r="N272" s="25">
        <v>2520</v>
      </c>
      <c r="O272">
        <v>1536.3</v>
      </c>
      <c r="P272">
        <v>983.7</v>
      </c>
      <c r="Q272" s="19">
        <f>Tabuľka4[[#This Row],[Zisk]]/Tabuľka4[[#This Row],[Trzba]]</f>
        <v>0.3903571428571429</v>
      </c>
      <c r="R272">
        <v>2024</v>
      </c>
      <c r="S272" t="str">
        <f>TEXT(Tabuľka4[[#This Row],[Datum]],"MMMM")</f>
        <v>september</v>
      </c>
    </row>
    <row r="273" spans="1:19" x14ac:dyDescent="0.3">
      <c r="A273" s="2">
        <v>45328</v>
      </c>
      <c r="B273" t="s">
        <v>793</v>
      </c>
      <c r="C273" t="s">
        <v>292</v>
      </c>
      <c r="D273" t="s">
        <v>20</v>
      </c>
      <c r="E273" t="s">
        <v>21</v>
      </c>
      <c r="F273" t="s">
        <v>863</v>
      </c>
      <c r="G273" t="s">
        <v>43</v>
      </c>
      <c r="H273" t="s">
        <v>188</v>
      </c>
      <c r="I273" s="29" t="s">
        <v>791</v>
      </c>
      <c r="J273" t="s">
        <v>46</v>
      </c>
      <c r="K273">
        <v>2</v>
      </c>
      <c r="L273">
        <v>1250</v>
      </c>
      <c r="M273">
        <v>0.02</v>
      </c>
      <c r="N273" s="25">
        <v>2500</v>
      </c>
      <c r="O273">
        <v>1588.64</v>
      </c>
      <c r="P273">
        <v>911.3599999999999</v>
      </c>
      <c r="Q273" s="19">
        <f>Tabuľka4[[#This Row],[Zisk]]/Tabuľka4[[#This Row],[Trzba]]</f>
        <v>0.36454399999999998</v>
      </c>
      <c r="R273">
        <v>2024</v>
      </c>
      <c r="S273" t="str">
        <f>TEXT(Tabuľka4[[#This Row],[Datum]],"MMMM")</f>
        <v>február</v>
      </c>
    </row>
    <row r="274" spans="1:19" x14ac:dyDescent="0.3">
      <c r="A274" s="2">
        <v>45723</v>
      </c>
      <c r="B274" t="s">
        <v>495</v>
      </c>
      <c r="C274" t="s">
        <v>496</v>
      </c>
      <c r="D274" t="s">
        <v>20</v>
      </c>
      <c r="E274" t="s">
        <v>68</v>
      </c>
      <c r="F274" t="s">
        <v>863</v>
      </c>
      <c r="G274" t="s">
        <v>22</v>
      </c>
      <c r="H274" t="s">
        <v>86</v>
      </c>
      <c r="I274" s="29" t="s">
        <v>483</v>
      </c>
      <c r="J274" t="s">
        <v>46</v>
      </c>
      <c r="K274">
        <v>2</v>
      </c>
      <c r="L274">
        <v>1249</v>
      </c>
      <c r="M274">
        <v>0.09</v>
      </c>
      <c r="N274" s="25">
        <v>2498</v>
      </c>
      <c r="O274">
        <v>1583.17</v>
      </c>
      <c r="P274">
        <v>914.82999999999993</v>
      </c>
      <c r="Q274" s="19">
        <f>Tabuľka4[[#This Row],[Zisk]]/Tabuľka4[[#This Row],[Trzba]]</f>
        <v>0.36622497998398718</v>
      </c>
      <c r="R274">
        <v>2025</v>
      </c>
      <c r="S274" t="str">
        <f>TEXT(Tabuľka4[[#This Row],[Datum]],"MMMM")</f>
        <v>marec</v>
      </c>
    </row>
    <row r="275" spans="1:19" x14ac:dyDescent="0.3">
      <c r="A275" s="2">
        <v>45944</v>
      </c>
      <c r="B275" t="s">
        <v>440</v>
      </c>
      <c r="C275" t="s">
        <v>185</v>
      </c>
      <c r="D275" t="s">
        <v>49</v>
      </c>
      <c r="E275" t="s">
        <v>50</v>
      </c>
      <c r="F275" t="s">
        <v>863</v>
      </c>
      <c r="G275" t="s">
        <v>58</v>
      </c>
      <c r="H275" t="s">
        <v>188</v>
      </c>
      <c r="I275" s="29" t="s">
        <v>424</v>
      </c>
      <c r="J275" t="s">
        <v>30</v>
      </c>
      <c r="K275">
        <v>3</v>
      </c>
      <c r="L275">
        <v>819</v>
      </c>
      <c r="M275">
        <v>0.08</v>
      </c>
      <c r="N275" s="25">
        <v>2457</v>
      </c>
      <c r="O275">
        <v>1581</v>
      </c>
      <c r="P275">
        <v>876</v>
      </c>
      <c r="Q275" s="19">
        <f>Tabuľka4[[#This Row],[Zisk]]/Tabuľka4[[#This Row],[Trzba]]</f>
        <v>0.35653235653235654</v>
      </c>
      <c r="R275">
        <v>2025</v>
      </c>
      <c r="S275" t="str">
        <f>TEXT(Tabuľka4[[#This Row],[Datum]],"MMMM")</f>
        <v>október</v>
      </c>
    </row>
    <row r="276" spans="1:19" x14ac:dyDescent="0.3">
      <c r="A276" s="2">
        <v>46024</v>
      </c>
      <c r="B276" t="s">
        <v>240</v>
      </c>
      <c r="C276" t="s">
        <v>241</v>
      </c>
      <c r="D276" t="s">
        <v>20</v>
      </c>
      <c r="E276" t="s">
        <v>68</v>
      </c>
      <c r="F276" t="s">
        <v>863</v>
      </c>
      <c r="G276" t="s">
        <v>22</v>
      </c>
      <c r="H276" t="s">
        <v>71</v>
      </c>
      <c r="I276" s="29" t="s">
        <v>229</v>
      </c>
      <c r="J276" t="s">
        <v>30</v>
      </c>
      <c r="K276">
        <v>2</v>
      </c>
      <c r="L276">
        <v>1226</v>
      </c>
      <c r="M276">
        <v>0.16</v>
      </c>
      <c r="N276" s="25">
        <v>2452</v>
      </c>
      <c r="O276">
        <v>1668.89</v>
      </c>
      <c r="P276">
        <v>783.1099999999999</v>
      </c>
      <c r="Q276" s="19">
        <f>Tabuľka4[[#This Row],[Zisk]]/Tabuľka4[[#This Row],[Trzba]]</f>
        <v>0.31937601957585643</v>
      </c>
      <c r="R276">
        <v>2026</v>
      </c>
      <c r="S276" t="str">
        <f>TEXT(Tabuľka4[[#This Row],[Datum]],"MMMM")</f>
        <v>január</v>
      </c>
    </row>
    <row r="277" spans="1:19" x14ac:dyDescent="0.3">
      <c r="A277" s="2">
        <v>45982</v>
      </c>
      <c r="B277" t="s">
        <v>500</v>
      </c>
      <c r="C277" t="s">
        <v>501</v>
      </c>
      <c r="D277" t="s">
        <v>20</v>
      </c>
      <c r="E277" t="s">
        <v>68</v>
      </c>
      <c r="F277" t="s">
        <v>863</v>
      </c>
      <c r="G277" t="s">
        <v>22</v>
      </c>
      <c r="H277" t="s">
        <v>86</v>
      </c>
      <c r="I277" s="29" t="s">
        <v>483</v>
      </c>
      <c r="J277" t="s">
        <v>63</v>
      </c>
      <c r="K277">
        <v>2</v>
      </c>
      <c r="L277">
        <v>1216</v>
      </c>
      <c r="M277">
        <v>0.28000000000000003</v>
      </c>
      <c r="N277" s="25">
        <v>2432</v>
      </c>
      <c r="O277">
        <v>1067.21</v>
      </c>
      <c r="P277">
        <v>1364.79</v>
      </c>
      <c r="Q277" s="19">
        <f>Tabuľka4[[#This Row],[Zisk]]/Tabuľka4[[#This Row],[Trzba]]</f>
        <v>0.56118009868421048</v>
      </c>
      <c r="R277">
        <v>2025</v>
      </c>
      <c r="S277" t="str">
        <f>TEXT(Tabuľka4[[#This Row],[Datum]],"MMMM")</f>
        <v>november</v>
      </c>
    </row>
    <row r="278" spans="1:19" x14ac:dyDescent="0.3">
      <c r="A278" s="2">
        <v>45650</v>
      </c>
      <c r="B278" t="s">
        <v>671</v>
      </c>
      <c r="C278" t="s">
        <v>48</v>
      </c>
      <c r="D278" t="s">
        <v>49</v>
      </c>
      <c r="E278" t="s">
        <v>21</v>
      </c>
      <c r="F278" t="s">
        <v>863</v>
      </c>
      <c r="G278" t="s">
        <v>58</v>
      </c>
      <c r="H278" t="s">
        <v>188</v>
      </c>
      <c r="I278" s="29" t="s">
        <v>663</v>
      </c>
      <c r="J278" t="s">
        <v>46</v>
      </c>
      <c r="K278">
        <v>11</v>
      </c>
      <c r="L278">
        <v>221</v>
      </c>
      <c r="M278">
        <v>0.19</v>
      </c>
      <c r="N278" s="25">
        <v>2431</v>
      </c>
      <c r="O278">
        <v>1527.49</v>
      </c>
      <c r="P278">
        <v>903.51</v>
      </c>
      <c r="Q278" s="19">
        <f>Tabuľka4[[#This Row],[Zisk]]/Tabuľka4[[#This Row],[Trzba]]</f>
        <v>0.37166186754422048</v>
      </c>
      <c r="R278">
        <v>2024</v>
      </c>
      <c r="S278" t="str">
        <f>TEXT(Tabuľka4[[#This Row],[Datum]],"MMMM")</f>
        <v>december</v>
      </c>
    </row>
    <row r="279" spans="1:19" x14ac:dyDescent="0.3">
      <c r="A279" s="2">
        <v>45562</v>
      </c>
      <c r="B279" t="s">
        <v>668</v>
      </c>
      <c r="C279" t="s">
        <v>124</v>
      </c>
      <c r="D279" t="s">
        <v>49</v>
      </c>
      <c r="E279" t="s">
        <v>0</v>
      </c>
      <c r="F279" t="s">
        <v>863</v>
      </c>
      <c r="G279" t="s">
        <v>43</v>
      </c>
      <c r="H279" t="s">
        <v>188</v>
      </c>
      <c r="I279" s="29" t="s">
        <v>663</v>
      </c>
      <c r="J279" t="s">
        <v>46</v>
      </c>
      <c r="K279">
        <v>9</v>
      </c>
      <c r="L279">
        <v>268</v>
      </c>
      <c r="M279">
        <v>0.09</v>
      </c>
      <c r="N279" s="25">
        <v>2412</v>
      </c>
      <c r="O279">
        <v>1093.48</v>
      </c>
      <c r="P279">
        <v>1318.52</v>
      </c>
      <c r="Q279" s="19">
        <f>Tabuľka4[[#This Row],[Zisk]]/Tabuľka4[[#This Row],[Trzba]]</f>
        <v>0.54665008291873962</v>
      </c>
      <c r="R279">
        <v>2024</v>
      </c>
      <c r="S279" t="str">
        <f>TEXT(Tabuľka4[[#This Row],[Datum]],"MMMM")</f>
        <v>september</v>
      </c>
    </row>
    <row r="280" spans="1:19" x14ac:dyDescent="0.3">
      <c r="A280" s="2">
        <v>46100</v>
      </c>
      <c r="B280" t="s">
        <v>150</v>
      </c>
      <c r="C280" t="s">
        <v>151</v>
      </c>
      <c r="D280" t="s">
        <v>20</v>
      </c>
      <c r="E280" t="s">
        <v>21</v>
      </c>
      <c r="F280" t="s">
        <v>863</v>
      </c>
      <c r="G280" t="s">
        <v>22</v>
      </c>
      <c r="H280" t="s">
        <v>86</v>
      </c>
      <c r="I280" s="29" t="s">
        <v>120</v>
      </c>
      <c r="J280" t="s">
        <v>88</v>
      </c>
      <c r="K280">
        <v>2</v>
      </c>
      <c r="L280">
        <v>1190</v>
      </c>
      <c r="M280">
        <v>0.05</v>
      </c>
      <c r="N280" s="25">
        <v>2380</v>
      </c>
      <c r="O280">
        <v>1346.61</v>
      </c>
      <c r="P280">
        <v>1033.3900000000001</v>
      </c>
      <c r="Q280" s="19">
        <f>Tabuľka4[[#This Row],[Zisk]]/Tabuľka4[[#This Row],[Trzba]]</f>
        <v>0.43419747899159666</v>
      </c>
      <c r="R280">
        <v>2026</v>
      </c>
      <c r="S280" t="str">
        <f>TEXT(Tabuľka4[[#This Row],[Datum]],"MMMM")</f>
        <v>marec</v>
      </c>
    </row>
    <row r="281" spans="1:19" x14ac:dyDescent="0.3">
      <c r="A281" s="2">
        <v>45673</v>
      </c>
      <c r="B281" t="s">
        <v>491</v>
      </c>
      <c r="C281" t="s">
        <v>492</v>
      </c>
      <c r="D281" t="s">
        <v>20</v>
      </c>
      <c r="E281" t="s">
        <v>0</v>
      </c>
      <c r="F281" t="s">
        <v>863</v>
      </c>
      <c r="G281" t="s">
        <v>22</v>
      </c>
      <c r="H281" t="s">
        <v>86</v>
      </c>
      <c r="I281" s="29" t="s">
        <v>483</v>
      </c>
      <c r="J281" t="s">
        <v>51</v>
      </c>
      <c r="K281">
        <v>2</v>
      </c>
      <c r="L281">
        <v>1190</v>
      </c>
      <c r="M281">
        <v>0</v>
      </c>
      <c r="N281" s="25">
        <v>2380</v>
      </c>
      <c r="O281">
        <v>1471.36</v>
      </c>
      <c r="P281">
        <v>908.6400000000001</v>
      </c>
      <c r="Q281" s="19">
        <f>Tabuľka4[[#This Row],[Zisk]]/Tabuľka4[[#This Row],[Trzba]]</f>
        <v>0.38178151260504206</v>
      </c>
      <c r="R281">
        <v>2025</v>
      </c>
      <c r="S281" t="str">
        <f>TEXT(Tabuľka4[[#This Row],[Datum]],"MMMM")</f>
        <v>január</v>
      </c>
    </row>
    <row r="282" spans="1:19" x14ac:dyDescent="0.3">
      <c r="A282" s="2">
        <v>45378</v>
      </c>
      <c r="B282" t="s">
        <v>118</v>
      </c>
      <c r="C282" t="s">
        <v>119</v>
      </c>
      <c r="D282" t="s">
        <v>20</v>
      </c>
      <c r="E282" t="s">
        <v>0</v>
      </c>
      <c r="F282" t="s">
        <v>863</v>
      </c>
      <c r="G282" t="s">
        <v>22</v>
      </c>
      <c r="H282" t="s">
        <v>86</v>
      </c>
      <c r="I282" s="29" t="s">
        <v>120</v>
      </c>
      <c r="J282" t="s">
        <v>25</v>
      </c>
      <c r="K282">
        <v>3</v>
      </c>
      <c r="L282">
        <v>789</v>
      </c>
      <c r="M282">
        <v>0.11</v>
      </c>
      <c r="N282" s="25">
        <v>2367</v>
      </c>
      <c r="O282">
        <v>1797.49</v>
      </c>
      <c r="P282">
        <v>569.51</v>
      </c>
      <c r="Q282" s="19">
        <f>Tabuľka4[[#This Row],[Zisk]]/Tabuľka4[[#This Row],[Trzba]]</f>
        <v>0.24060414026193494</v>
      </c>
      <c r="R282">
        <v>2024</v>
      </c>
      <c r="S282" t="str">
        <f>TEXT(Tabuľka4[[#This Row],[Datum]],"MMMM")</f>
        <v>marec</v>
      </c>
    </row>
    <row r="283" spans="1:19" x14ac:dyDescent="0.3">
      <c r="A283" s="2">
        <v>45474</v>
      </c>
      <c r="B283" t="s">
        <v>338</v>
      </c>
      <c r="C283" t="s">
        <v>339</v>
      </c>
      <c r="D283" t="s">
        <v>20</v>
      </c>
      <c r="E283" t="s">
        <v>68</v>
      </c>
      <c r="F283" t="s">
        <v>863</v>
      </c>
      <c r="G283" t="s">
        <v>22</v>
      </c>
      <c r="H283" t="s">
        <v>71</v>
      </c>
      <c r="I283" s="29" t="s">
        <v>333</v>
      </c>
      <c r="J283" t="s">
        <v>38</v>
      </c>
      <c r="K283">
        <v>1</v>
      </c>
      <c r="L283">
        <v>2325</v>
      </c>
      <c r="M283">
        <v>0.04</v>
      </c>
      <c r="N283" s="25">
        <v>2325</v>
      </c>
      <c r="O283">
        <v>1862.22</v>
      </c>
      <c r="P283">
        <v>462.78</v>
      </c>
      <c r="Q283" s="19">
        <f>Tabuľka4[[#This Row],[Zisk]]/Tabuľka4[[#This Row],[Trzba]]</f>
        <v>0.19904516129032257</v>
      </c>
      <c r="R283">
        <v>2024</v>
      </c>
      <c r="S283" t="str">
        <f>TEXT(Tabuľka4[[#This Row],[Datum]],"MMMM")</f>
        <v>júl</v>
      </c>
    </row>
    <row r="284" spans="1:19" x14ac:dyDescent="0.3">
      <c r="A284" s="2">
        <v>46122</v>
      </c>
      <c r="B284" t="s">
        <v>400</v>
      </c>
      <c r="C284" t="s">
        <v>401</v>
      </c>
      <c r="D284" t="s">
        <v>20</v>
      </c>
      <c r="E284" t="s">
        <v>50</v>
      </c>
      <c r="F284" t="s">
        <v>863</v>
      </c>
      <c r="G284" t="s">
        <v>43</v>
      </c>
      <c r="H284" t="s">
        <v>71</v>
      </c>
      <c r="I284" s="29" t="s">
        <v>367</v>
      </c>
      <c r="J284" t="s">
        <v>51</v>
      </c>
      <c r="K284">
        <v>2</v>
      </c>
      <c r="L284">
        <v>1158</v>
      </c>
      <c r="M284">
        <v>0.05</v>
      </c>
      <c r="N284" s="25">
        <v>2316</v>
      </c>
      <c r="O284">
        <v>1926.6</v>
      </c>
      <c r="P284">
        <v>389.40000000000009</v>
      </c>
      <c r="Q284" s="19">
        <f>Tabuľka4[[#This Row],[Zisk]]/Tabuľka4[[#This Row],[Trzba]]</f>
        <v>0.16813471502590677</v>
      </c>
      <c r="R284">
        <v>2026</v>
      </c>
      <c r="S284" t="str">
        <f>TEXT(Tabuľka4[[#This Row],[Datum]],"MMMM")</f>
        <v>apríl</v>
      </c>
    </row>
    <row r="285" spans="1:19" x14ac:dyDescent="0.3">
      <c r="A285" s="2">
        <v>46143</v>
      </c>
      <c r="B285" t="s">
        <v>402</v>
      </c>
      <c r="C285" t="s">
        <v>403</v>
      </c>
      <c r="D285" t="s">
        <v>20</v>
      </c>
      <c r="E285" t="s">
        <v>21</v>
      </c>
      <c r="F285" t="s">
        <v>863</v>
      </c>
      <c r="G285" t="s">
        <v>22</v>
      </c>
      <c r="H285" t="s">
        <v>71</v>
      </c>
      <c r="I285" s="29" t="s">
        <v>367</v>
      </c>
      <c r="J285" t="s">
        <v>38</v>
      </c>
      <c r="K285">
        <v>3</v>
      </c>
      <c r="L285">
        <v>769</v>
      </c>
      <c r="M285">
        <v>0.06</v>
      </c>
      <c r="N285" s="25">
        <v>2307</v>
      </c>
      <c r="O285">
        <v>1737.56</v>
      </c>
      <c r="P285">
        <v>569.44000000000005</v>
      </c>
      <c r="Q285" s="19">
        <f>Tabuľka4[[#This Row],[Zisk]]/Tabuľka4[[#This Row],[Trzba]]</f>
        <v>0.2468313827481578</v>
      </c>
      <c r="R285">
        <v>2026</v>
      </c>
      <c r="S285" t="str">
        <f>TEXT(Tabuľka4[[#This Row],[Datum]],"MMMM")</f>
        <v>máj</v>
      </c>
    </row>
    <row r="286" spans="1:19" x14ac:dyDescent="0.3">
      <c r="A286" s="2">
        <v>45560</v>
      </c>
      <c r="B286" t="s">
        <v>818</v>
      </c>
      <c r="C286" t="s">
        <v>74</v>
      </c>
      <c r="D286" t="s">
        <v>49</v>
      </c>
      <c r="E286" t="s">
        <v>21</v>
      </c>
      <c r="F286" t="s">
        <v>863</v>
      </c>
      <c r="G286" t="s">
        <v>58</v>
      </c>
      <c r="H286" t="s">
        <v>188</v>
      </c>
      <c r="I286" s="29" t="s">
        <v>815</v>
      </c>
      <c r="J286" t="s">
        <v>88</v>
      </c>
      <c r="K286">
        <v>7</v>
      </c>
      <c r="L286">
        <v>329</v>
      </c>
      <c r="M286">
        <v>0.11</v>
      </c>
      <c r="N286" s="25">
        <v>2303</v>
      </c>
      <c r="O286">
        <v>1267.23</v>
      </c>
      <c r="P286">
        <v>1035.77</v>
      </c>
      <c r="Q286" s="19">
        <f>Tabuľka4[[#This Row],[Zisk]]/Tabuľka4[[#This Row],[Trzba]]</f>
        <v>0.44974815458098133</v>
      </c>
      <c r="R286">
        <v>2024</v>
      </c>
      <c r="S286" t="str">
        <f>TEXT(Tabuľka4[[#This Row],[Datum]],"MMMM")</f>
        <v>september</v>
      </c>
    </row>
    <row r="287" spans="1:19" x14ac:dyDescent="0.3">
      <c r="A287" s="2">
        <v>46013</v>
      </c>
      <c r="B287" t="s">
        <v>392</v>
      </c>
      <c r="C287" t="s">
        <v>273</v>
      </c>
      <c r="D287" t="s">
        <v>20</v>
      </c>
      <c r="E287" t="s">
        <v>21</v>
      </c>
      <c r="F287" t="s">
        <v>863</v>
      </c>
      <c r="G287" t="s">
        <v>22</v>
      </c>
      <c r="H287" t="s">
        <v>71</v>
      </c>
      <c r="I287" s="29" t="s">
        <v>367</v>
      </c>
      <c r="J287" t="s">
        <v>38</v>
      </c>
      <c r="K287">
        <v>2</v>
      </c>
      <c r="L287">
        <v>1150</v>
      </c>
      <c r="M287">
        <v>0.14000000000000001</v>
      </c>
      <c r="N287" s="25">
        <v>2300</v>
      </c>
      <c r="O287">
        <v>1765.6</v>
      </c>
      <c r="P287">
        <v>534.40000000000009</v>
      </c>
      <c r="Q287" s="19">
        <f>Tabuľka4[[#This Row],[Zisk]]/Tabuľka4[[#This Row],[Trzba]]</f>
        <v>0.23234782608695656</v>
      </c>
      <c r="R287">
        <v>2025</v>
      </c>
      <c r="S287" t="str">
        <f>TEXT(Tabuľka4[[#This Row],[Datum]],"MMMM")</f>
        <v>december</v>
      </c>
    </row>
    <row r="288" spans="1:19" x14ac:dyDescent="0.3">
      <c r="A288" s="2">
        <v>45753</v>
      </c>
      <c r="B288" t="s">
        <v>435</v>
      </c>
      <c r="C288" t="s">
        <v>147</v>
      </c>
      <c r="D288" t="s">
        <v>20</v>
      </c>
      <c r="E288" t="s">
        <v>68</v>
      </c>
      <c r="F288" t="s">
        <v>863</v>
      </c>
      <c r="G288" t="s">
        <v>43</v>
      </c>
      <c r="H288" t="s">
        <v>188</v>
      </c>
      <c r="I288" s="29" t="s">
        <v>424</v>
      </c>
      <c r="J288" t="s">
        <v>88</v>
      </c>
      <c r="K288">
        <v>3</v>
      </c>
      <c r="L288">
        <v>763</v>
      </c>
      <c r="M288">
        <v>0.01</v>
      </c>
      <c r="N288" s="25">
        <v>2289</v>
      </c>
      <c r="O288">
        <v>1319.63</v>
      </c>
      <c r="P288">
        <v>969.36999999999989</v>
      </c>
      <c r="Q288" s="19">
        <f>Tabuľka4[[#This Row],[Zisk]]/Tabuľka4[[#This Row],[Trzba]]</f>
        <v>0.4234906072520751</v>
      </c>
      <c r="R288">
        <v>2025</v>
      </c>
      <c r="S288" t="str">
        <f>TEXT(Tabuľka4[[#This Row],[Datum]],"MMMM")</f>
        <v>apríl</v>
      </c>
    </row>
    <row r="289" spans="1:19" x14ac:dyDescent="0.3">
      <c r="A289" s="2">
        <v>45559</v>
      </c>
      <c r="B289" t="s">
        <v>592</v>
      </c>
      <c r="C289" t="s">
        <v>593</v>
      </c>
      <c r="D289" t="s">
        <v>20</v>
      </c>
      <c r="E289" t="s">
        <v>0</v>
      </c>
      <c r="F289" t="s">
        <v>863</v>
      </c>
      <c r="G289" t="s">
        <v>22</v>
      </c>
      <c r="H289" t="s">
        <v>86</v>
      </c>
      <c r="I289" s="29" t="s">
        <v>586</v>
      </c>
      <c r="J289" t="s">
        <v>63</v>
      </c>
      <c r="K289">
        <v>1</v>
      </c>
      <c r="L289">
        <v>2281</v>
      </c>
      <c r="M289">
        <v>0.01</v>
      </c>
      <c r="N289" s="25">
        <v>2281</v>
      </c>
      <c r="O289">
        <v>1831.37</v>
      </c>
      <c r="P289">
        <v>449.63000000000011</v>
      </c>
      <c r="Q289" s="19">
        <f>Tabuľka4[[#This Row],[Zisk]]/Tabuľka4[[#This Row],[Trzba]]</f>
        <v>0.19711968434896979</v>
      </c>
      <c r="R289">
        <v>2024</v>
      </c>
      <c r="S289" t="str">
        <f>TEXT(Tabuľka4[[#This Row],[Datum]],"MMMM")</f>
        <v>september</v>
      </c>
    </row>
    <row r="290" spans="1:19" x14ac:dyDescent="0.3">
      <c r="A290" s="2">
        <v>45360</v>
      </c>
      <c r="B290" t="s">
        <v>365</v>
      </c>
      <c r="C290" t="s">
        <v>366</v>
      </c>
      <c r="D290" t="s">
        <v>20</v>
      </c>
      <c r="E290" t="s">
        <v>50</v>
      </c>
      <c r="F290" t="s">
        <v>863</v>
      </c>
      <c r="G290" t="s">
        <v>22</v>
      </c>
      <c r="H290" t="s">
        <v>71</v>
      </c>
      <c r="I290" s="29" t="s">
        <v>367</v>
      </c>
      <c r="J290" t="s">
        <v>25</v>
      </c>
      <c r="K290">
        <v>2</v>
      </c>
      <c r="L290">
        <v>1123</v>
      </c>
      <c r="M290">
        <v>0.09</v>
      </c>
      <c r="N290" s="25">
        <v>2246</v>
      </c>
      <c r="O290">
        <v>1545.57</v>
      </c>
      <c r="P290">
        <v>700.43000000000006</v>
      </c>
      <c r="Q290" s="19">
        <f>Tabuľka4[[#This Row],[Zisk]]/Tabuľka4[[#This Row],[Trzba]]</f>
        <v>0.31185663401602853</v>
      </c>
      <c r="R290">
        <v>2024</v>
      </c>
      <c r="S290" t="str">
        <f>TEXT(Tabuľka4[[#This Row],[Datum]],"MMMM")</f>
        <v>marec</v>
      </c>
    </row>
    <row r="291" spans="1:19" x14ac:dyDescent="0.3">
      <c r="A291" s="2">
        <v>45893</v>
      </c>
      <c r="B291" t="s">
        <v>765</v>
      </c>
      <c r="C291" t="s">
        <v>766</v>
      </c>
      <c r="D291" t="s">
        <v>20</v>
      </c>
      <c r="E291" t="s">
        <v>0</v>
      </c>
      <c r="F291" t="s">
        <v>863</v>
      </c>
      <c r="G291" t="s">
        <v>43</v>
      </c>
      <c r="H291" t="s">
        <v>188</v>
      </c>
      <c r="I291" s="29" t="s">
        <v>738</v>
      </c>
      <c r="J291" t="s">
        <v>63</v>
      </c>
      <c r="K291">
        <v>3</v>
      </c>
      <c r="L291">
        <v>748</v>
      </c>
      <c r="M291">
        <v>7.0000000000000007E-2</v>
      </c>
      <c r="N291" s="25">
        <v>2244</v>
      </c>
      <c r="O291">
        <v>1396.21</v>
      </c>
      <c r="P291">
        <v>847.79</v>
      </c>
      <c r="Q291" s="19">
        <f>Tabuľka4[[#This Row],[Zisk]]/Tabuľka4[[#This Row],[Trzba]]</f>
        <v>0.37780303030303031</v>
      </c>
      <c r="R291">
        <v>2025</v>
      </c>
      <c r="S291" t="str">
        <f>TEXT(Tabuľka4[[#This Row],[Datum]],"MMMM")</f>
        <v>august</v>
      </c>
    </row>
    <row r="292" spans="1:19" x14ac:dyDescent="0.3">
      <c r="A292" s="2">
        <v>45561</v>
      </c>
      <c r="B292" t="s">
        <v>487</v>
      </c>
      <c r="C292" t="s">
        <v>212</v>
      </c>
      <c r="D292" t="s">
        <v>20</v>
      </c>
      <c r="E292" t="s">
        <v>50</v>
      </c>
      <c r="F292" t="s">
        <v>863</v>
      </c>
      <c r="G292" t="s">
        <v>43</v>
      </c>
      <c r="H292" t="s">
        <v>86</v>
      </c>
      <c r="I292" s="29" t="s">
        <v>483</v>
      </c>
      <c r="J292" t="s">
        <v>46</v>
      </c>
      <c r="K292">
        <v>2</v>
      </c>
      <c r="L292">
        <v>1106</v>
      </c>
      <c r="M292">
        <v>0.11</v>
      </c>
      <c r="N292" s="25">
        <v>2212</v>
      </c>
      <c r="O292">
        <v>1573.76</v>
      </c>
      <c r="P292">
        <v>638.24</v>
      </c>
      <c r="Q292" s="19">
        <f>Tabuľka4[[#This Row],[Zisk]]/Tabuľka4[[#This Row],[Trzba]]</f>
        <v>0.28853526220614828</v>
      </c>
      <c r="R292">
        <v>2024</v>
      </c>
      <c r="S292" t="str">
        <f>TEXT(Tabuľka4[[#This Row],[Datum]],"MMMM")</f>
        <v>september</v>
      </c>
    </row>
    <row r="293" spans="1:19" x14ac:dyDescent="0.3">
      <c r="A293" s="2">
        <v>46084</v>
      </c>
      <c r="B293" t="s">
        <v>148</v>
      </c>
      <c r="C293" t="s">
        <v>149</v>
      </c>
      <c r="D293" t="s">
        <v>20</v>
      </c>
      <c r="E293" t="s">
        <v>0</v>
      </c>
      <c r="F293" t="s">
        <v>863</v>
      </c>
      <c r="G293" t="s">
        <v>22</v>
      </c>
      <c r="H293" t="s">
        <v>86</v>
      </c>
      <c r="I293" s="29" t="s">
        <v>120</v>
      </c>
      <c r="J293" t="s">
        <v>33</v>
      </c>
      <c r="K293">
        <v>3</v>
      </c>
      <c r="L293">
        <v>725</v>
      </c>
      <c r="M293">
        <v>0.04</v>
      </c>
      <c r="N293" s="25">
        <v>2175</v>
      </c>
      <c r="O293">
        <v>1652.55</v>
      </c>
      <c r="P293">
        <v>522.45000000000005</v>
      </c>
      <c r="Q293" s="19">
        <f>Tabuľka4[[#This Row],[Zisk]]/Tabuľka4[[#This Row],[Trzba]]</f>
        <v>0.24020689655172417</v>
      </c>
      <c r="R293">
        <v>2026</v>
      </c>
      <c r="S293" t="str">
        <f>TEXT(Tabuľka4[[#This Row],[Datum]],"MMMM")</f>
        <v>marec</v>
      </c>
    </row>
    <row r="294" spans="1:19" x14ac:dyDescent="0.3">
      <c r="A294" s="2">
        <v>45642</v>
      </c>
      <c r="B294" t="s">
        <v>379</v>
      </c>
      <c r="C294" t="s">
        <v>380</v>
      </c>
      <c r="D294" t="s">
        <v>20</v>
      </c>
      <c r="E294" t="s">
        <v>21</v>
      </c>
      <c r="F294" t="s">
        <v>863</v>
      </c>
      <c r="G294" t="s">
        <v>43</v>
      </c>
      <c r="H294" t="s">
        <v>71</v>
      </c>
      <c r="I294" s="29" t="s">
        <v>367</v>
      </c>
      <c r="J294" t="s">
        <v>33</v>
      </c>
      <c r="K294">
        <v>3</v>
      </c>
      <c r="L294">
        <v>720</v>
      </c>
      <c r="M294">
        <v>0.05</v>
      </c>
      <c r="N294" s="25">
        <v>2160</v>
      </c>
      <c r="O294">
        <v>1696.85</v>
      </c>
      <c r="P294">
        <v>463.15000000000009</v>
      </c>
      <c r="Q294" s="19">
        <f>Tabuľka4[[#This Row],[Zisk]]/Tabuľka4[[#This Row],[Trzba]]</f>
        <v>0.21442129629629633</v>
      </c>
      <c r="R294">
        <v>2024</v>
      </c>
      <c r="S294" t="str">
        <f>TEXT(Tabuľka4[[#This Row],[Datum]],"MMMM")</f>
        <v>december</v>
      </c>
    </row>
    <row r="295" spans="1:19" x14ac:dyDescent="0.3">
      <c r="A295" s="2">
        <v>46045</v>
      </c>
      <c r="B295" t="s">
        <v>177</v>
      </c>
      <c r="C295" t="s">
        <v>178</v>
      </c>
      <c r="D295" t="s">
        <v>20</v>
      </c>
      <c r="E295" t="s">
        <v>21</v>
      </c>
      <c r="F295" t="s">
        <v>863</v>
      </c>
      <c r="G295" t="s">
        <v>22</v>
      </c>
      <c r="H295" t="s">
        <v>23</v>
      </c>
      <c r="I295" s="29" t="s">
        <v>154</v>
      </c>
      <c r="J295" t="s">
        <v>63</v>
      </c>
      <c r="K295">
        <v>1</v>
      </c>
      <c r="L295">
        <v>2139</v>
      </c>
      <c r="M295">
        <v>0.15</v>
      </c>
      <c r="N295" s="25">
        <v>2139</v>
      </c>
      <c r="O295">
        <v>1396.46</v>
      </c>
      <c r="P295">
        <v>742.54</v>
      </c>
      <c r="Q295" s="19">
        <f>Tabuľka4[[#This Row],[Zisk]]/Tabuľka4[[#This Row],[Trzba]]</f>
        <v>0.34714352501168771</v>
      </c>
      <c r="R295">
        <v>2026</v>
      </c>
      <c r="S295" t="str">
        <f>TEXT(Tabuľka4[[#This Row],[Datum]],"MMMM")</f>
        <v>január</v>
      </c>
    </row>
    <row r="296" spans="1:19" x14ac:dyDescent="0.3">
      <c r="A296" s="2">
        <v>45871</v>
      </c>
      <c r="B296" t="s">
        <v>824</v>
      </c>
      <c r="C296" t="s">
        <v>74</v>
      </c>
      <c r="D296" t="s">
        <v>49</v>
      </c>
      <c r="E296" t="s">
        <v>0</v>
      </c>
      <c r="F296" t="s">
        <v>863</v>
      </c>
      <c r="G296" t="s">
        <v>58</v>
      </c>
      <c r="H296" t="s">
        <v>188</v>
      </c>
      <c r="I296" s="29" t="s">
        <v>815</v>
      </c>
      <c r="J296" t="s">
        <v>30</v>
      </c>
      <c r="K296">
        <v>8</v>
      </c>
      <c r="L296">
        <v>267</v>
      </c>
      <c r="M296">
        <v>0</v>
      </c>
      <c r="N296" s="25">
        <v>2136</v>
      </c>
      <c r="O296">
        <v>1874.39</v>
      </c>
      <c r="P296">
        <v>261.6099999999999</v>
      </c>
      <c r="Q296" s="19">
        <f>Tabuľka4[[#This Row],[Zisk]]/Tabuľka4[[#This Row],[Trzba]]</f>
        <v>0.12247659176029958</v>
      </c>
      <c r="R296">
        <v>2025</v>
      </c>
      <c r="S296" t="str">
        <f>TEXT(Tabuľka4[[#This Row],[Datum]],"MMMM")</f>
        <v>august</v>
      </c>
    </row>
    <row r="297" spans="1:19" x14ac:dyDescent="0.3">
      <c r="A297" s="2">
        <v>45890</v>
      </c>
      <c r="B297" t="s">
        <v>173</v>
      </c>
      <c r="C297" t="s">
        <v>174</v>
      </c>
      <c r="D297" t="s">
        <v>20</v>
      </c>
      <c r="E297" t="s">
        <v>50</v>
      </c>
      <c r="F297" t="s">
        <v>863</v>
      </c>
      <c r="G297" t="s">
        <v>43</v>
      </c>
      <c r="H297" t="s">
        <v>23</v>
      </c>
      <c r="I297" s="29" t="s">
        <v>154</v>
      </c>
      <c r="J297" t="s">
        <v>51</v>
      </c>
      <c r="K297">
        <v>1</v>
      </c>
      <c r="L297">
        <v>2128</v>
      </c>
      <c r="M297">
        <v>0.1</v>
      </c>
      <c r="N297" s="25">
        <v>2128</v>
      </c>
      <c r="O297">
        <v>1455.46</v>
      </c>
      <c r="P297">
        <v>672.54</v>
      </c>
      <c r="Q297" s="19">
        <f>Tabuľka4[[#This Row],[Zisk]]/Tabuľka4[[#This Row],[Trzba]]</f>
        <v>0.31604323308270676</v>
      </c>
      <c r="R297">
        <v>2025</v>
      </c>
      <c r="S297" t="str">
        <f>TEXT(Tabuľka4[[#This Row],[Datum]],"MMMM")</f>
        <v>august</v>
      </c>
    </row>
    <row r="298" spans="1:19" x14ac:dyDescent="0.3">
      <c r="A298" s="2">
        <v>46151</v>
      </c>
      <c r="B298" t="s">
        <v>770</v>
      </c>
      <c r="C298" t="s">
        <v>721</v>
      </c>
      <c r="D298" t="s">
        <v>20</v>
      </c>
      <c r="E298" t="s">
        <v>21</v>
      </c>
      <c r="F298" t="s">
        <v>863</v>
      </c>
      <c r="G298" t="s">
        <v>22</v>
      </c>
      <c r="H298" t="s">
        <v>188</v>
      </c>
      <c r="I298" s="29" t="s">
        <v>738</v>
      </c>
      <c r="J298" t="s">
        <v>88</v>
      </c>
      <c r="K298">
        <v>5</v>
      </c>
      <c r="L298">
        <v>422</v>
      </c>
      <c r="M298">
        <v>7.0000000000000007E-2</v>
      </c>
      <c r="N298" s="25">
        <v>2110</v>
      </c>
      <c r="O298">
        <v>1229.95</v>
      </c>
      <c r="P298">
        <v>880.05</v>
      </c>
      <c r="Q298" s="19">
        <f>Tabuľka4[[#This Row],[Zisk]]/Tabuľka4[[#This Row],[Trzba]]</f>
        <v>0.417085308056872</v>
      </c>
      <c r="R298">
        <v>2026</v>
      </c>
      <c r="S298" t="str">
        <f>TEXT(Tabuľka4[[#This Row],[Datum]],"MMMM")</f>
        <v>máj</v>
      </c>
    </row>
    <row r="299" spans="1:19" x14ac:dyDescent="0.3">
      <c r="A299" s="2">
        <v>45474</v>
      </c>
      <c r="B299" t="s">
        <v>277</v>
      </c>
      <c r="C299" t="s">
        <v>278</v>
      </c>
      <c r="D299" t="s">
        <v>20</v>
      </c>
      <c r="E299" t="s">
        <v>0</v>
      </c>
      <c r="F299" t="s">
        <v>863</v>
      </c>
      <c r="G299" t="s">
        <v>22</v>
      </c>
      <c r="H299" t="s">
        <v>86</v>
      </c>
      <c r="I299" s="29" t="s">
        <v>271</v>
      </c>
      <c r="J299" t="s">
        <v>33</v>
      </c>
      <c r="K299">
        <v>4</v>
      </c>
      <c r="L299">
        <v>525</v>
      </c>
      <c r="M299">
        <v>0.08</v>
      </c>
      <c r="N299" s="25">
        <v>2100</v>
      </c>
      <c r="O299">
        <v>1399.21</v>
      </c>
      <c r="P299">
        <v>700.79</v>
      </c>
      <c r="Q299" s="19">
        <f>Tabuľka4[[#This Row],[Zisk]]/Tabuľka4[[#This Row],[Trzba]]</f>
        <v>0.33370952380952379</v>
      </c>
      <c r="R299">
        <v>2024</v>
      </c>
      <c r="S299" t="str">
        <f>TEXT(Tabuľka4[[#This Row],[Datum]],"MMMM")</f>
        <v>júl</v>
      </c>
    </row>
    <row r="300" spans="1:19" x14ac:dyDescent="0.3">
      <c r="A300" s="2">
        <v>45582</v>
      </c>
      <c r="B300" t="s">
        <v>159</v>
      </c>
      <c r="C300" t="s">
        <v>160</v>
      </c>
      <c r="D300" t="s">
        <v>20</v>
      </c>
      <c r="E300" t="s">
        <v>21</v>
      </c>
      <c r="F300" t="s">
        <v>863</v>
      </c>
      <c r="G300" t="s">
        <v>43</v>
      </c>
      <c r="H300" t="s">
        <v>23</v>
      </c>
      <c r="I300" s="29" t="s">
        <v>154</v>
      </c>
      <c r="J300" t="s">
        <v>88</v>
      </c>
      <c r="K300">
        <v>1</v>
      </c>
      <c r="L300">
        <v>2097</v>
      </c>
      <c r="M300">
        <v>0.01</v>
      </c>
      <c r="N300" s="25">
        <v>2097</v>
      </c>
      <c r="O300">
        <v>1325.43</v>
      </c>
      <c r="P300">
        <v>771.56999999999994</v>
      </c>
      <c r="Q300" s="19">
        <f>Tabuľka4[[#This Row],[Zisk]]/Tabuľka4[[#This Row],[Trzba]]</f>
        <v>0.36793991416309008</v>
      </c>
      <c r="R300">
        <v>2024</v>
      </c>
      <c r="S300" t="str">
        <f>TEXT(Tabuľka4[[#This Row],[Datum]],"MMMM")</f>
        <v>október</v>
      </c>
    </row>
    <row r="301" spans="1:19" x14ac:dyDescent="0.3">
      <c r="A301" s="2">
        <v>45364</v>
      </c>
      <c r="B301" t="s">
        <v>368</v>
      </c>
      <c r="C301" t="s">
        <v>369</v>
      </c>
      <c r="D301" t="s">
        <v>20</v>
      </c>
      <c r="E301" t="s">
        <v>50</v>
      </c>
      <c r="F301" t="s">
        <v>863</v>
      </c>
      <c r="G301" t="s">
        <v>22</v>
      </c>
      <c r="H301" t="s">
        <v>71</v>
      </c>
      <c r="I301" s="29" t="s">
        <v>367</v>
      </c>
      <c r="J301" t="s">
        <v>30</v>
      </c>
      <c r="K301">
        <v>2</v>
      </c>
      <c r="L301">
        <v>1045</v>
      </c>
      <c r="M301">
        <v>0.1</v>
      </c>
      <c r="N301" s="25">
        <v>2090</v>
      </c>
      <c r="O301">
        <v>1531.25</v>
      </c>
      <c r="P301">
        <v>558.75</v>
      </c>
      <c r="Q301" s="19">
        <f>Tabuľka4[[#This Row],[Zisk]]/Tabuľka4[[#This Row],[Trzba]]</f>
        <v>0.2673444976076555</v>
      </c>
      <c r="R301">
        <v>2024</v>
      </c>
      <c r="S301" t="str">
        <f>TEXT(Tabuľka4[[#This Row],[Datum]],"MMMM")</f>
        <v>marec</v>
      </c>
    </row>
    <row r="302" spans="1:19" x14ac:dyDescent="0.3">
      <c r="A302" s="2">
        <v>45374</v>
      </c>
      <c r="B302" t="s">
        <v>274</v>
      </c>
      <c r="C302" t="s">
        <v>74</v>
      </c>
      <c r="D302" t="s">
        <v>49</v>
      </c>
      <c r="E302" t="s">
        <v>50</v>
      </c>
      <c r="F302" t="s">
        <v>863</v>
      </c>
      <c r="G302" t="s">
        <v>43</v>
      </c>
      <c r="H302" t="s">
        <v>86</v>
      </c>
      <c r="I302" s="29" t="s">
        <v>271</v>
      </c>
      <c r="J302" t="s">
        <v>46</v>
      </c>
      <c r="K302">
        <v>8</v>
      </c>
      <c r="L302">
        <v>255</v>
      </c>
      <c r="M302">
        <v>0.08</v>
      </c>
      <c r="N302" s="25">
        <v>2040</v>
      </c>
      <c r="O302">
        <v>1290.26</v>
      </c>
      <c r="P302">
        <v>749.74</v>
      </c>
      <c r="Q302" s="19">
        <f>Tabuľka4[[#This Row],[Zisk]]/Tabuľka4[[#This Row],[Trzba]]</f>
        <v>0.36751960784313725</v>
      </c>
      <c r="R302">
        <v>2024</v>
      </c>
      <c r="S302" t="str">
        <f>TEXT(Tabuľka4[[#This Row],[Datum]],"MMMM")</f>
        <v>marec</v>
      </c>
    </row>
    <row r="303" spans="1:19" x14ac:dyDescent="0.3">
      <c r="A303" s="2">
        <v>45740</v>
      </c>
      <c r="B303" t="s">
        <v>323</v>
      </c>
      <c r="C303" t="s">
        <v>201</v>
      </c>
      <c r="D303" t="s">
        <v>20</v>
      </c>
      <c r="E303" t="s">
        <v>0</v>
      </c>
      <c r="F303" t="s">
        <v>863</v>
      </c>
      <c r="G303" t="s">
        <v>22</v>
      </c>
      <c r="H303" t="s">
        <v>86</v>
      </c>
      <c r="I303" s="29" t="s">
        <v>310</v>
      </c>
      <c r="J303" t="s">
        <v>88</v>
      </c>
      <c r="K303">
        <v>2</v>
      </c>
      <c r="L303">
        <v>1015</v>
      </c>
      <c r="M303">
        <v>0.1</v>
      </c>
      <c r="N303" s="25">
        <v>2030</v>
      </c>
      <c r="O303">
        <v>1281.6500000000001</v>
      </c>
      <c r="P303">
        <v>748.34999999999991</v>
      </c>
      <c r="Q303" s="19">
        <f>Tabuľka4[[#This Row],[Zisk]]/Tabuľka4[[#This Row],[Trzba]]</f>
        <v>0.36864532019704427</v>
      </c>
      <c r="R303">
        <v>2025</v>
      </c>
      <c r="S303" t="str">
        <f>TEXT(Tabuľka4[[#This Row],[Datum]],"MMMM")</f>
        <v>marec</v>
      </c>
    </row>
    <row r="304" spans="1:19" x14ac:dyDescent="0.3">
      <c r="A304" s="2">
        <v>45865</v>
      </c>
      <c r="B304" t="s">
        <v>823</v>
      </c>
      <c r="C304" t="s">
        <v>185</v>
      </c>
      <c r="D304" t="s">
        <v>49</v>
      </c>
      <c r="E304" t="s">
        <v>21</v>
      </c>
      <c r="F304" t="s">
        <v>863</v>
      </c>
      <c r="G304" t="s">
        <v>58</v>
      </c>
      <c r="H304" t="s">
        <v>188</v>
      </c>
      <c r="I304" s="29" t="s">
        <v>815</v>
      </c>
      <c r="J304" t="s">
        <v>88</v>
      </c>
      <c r="K304">
        <v>8</v>
      </c>
      <c r="L304">
        <v>253</v>
      </c>
      <c r="M304">
        <v>0.13</v>
      </c>
      <c r="N304" s="25">
        <v>2024</v>
      </c>
      <c r="O304">
        <v>1047.1199999999999</v>
      </c>
      <c r="P304">
        <v>976.88000000000011</v>
      </c>
      <c r="Q304" s="19">
        <f>Tabuľka4[[#This Row],[Zisk]]/Tabuľka4[[#This Row],[Trzba]]</f>
        <v>0.48264822134387358</v>
      </c>
      <c r="R304">
        <v>2025</v>
      </c>
      <c r="S304" t="str">
        <f>TEXT(Tabuľka4[[#This Row],[Datum]],"MMMM")</f>
        <v>júl</v>
      </c>
    </row>
    <row r="305" spans="1:19" x14ac:dyDescent="0.3">
      <c r="A305" s="2">
        <v>45719</v>
      </c>
      <c r="B305" t="s">
        <v>494</v>
      </c>
      <c r="C305" t="s">
        <v>67</v>
      </c>
      <c r="D305" t="s">
        <v>20</v>
      </c>
      <c r="E305" t="s">
        <v>68</v>
      </c>
      <c r="F305" t="s">
        <v>863</v>
      </c>
      <c r="G305" t="s">
        <v>43</v>
      </c>
      <c r="H305" t="s">
        <v>86</v>
      </c>
      <c r="I305" s="29" t="s">
        <v>483</v>
      </c>
      <c r="J305" t="s">
        <v>38</v>
      </c>
      <c r="K305">
        <v>3</v>
      </c>
      <c r="L305">
        <v>671</v>
      </c>
      <c r="M305">
        <v>0.05</v>
      </c>
      <c r="N305" s="25">
        <v>2013</v>
      </c>
      <c r="O305">
        <v>1469.27</v>
      </c>
      <c r="P305">
        <v>543.73</v>
      </c>
      <c r="Q305" s="19">
        <f>Tabuľka4[[#This Row],[Zisk]]/Tabuľka4[[#This Row],[Trzba]]</f>
        <v>0.27010928961748637</v>
      </c>
      <c r="R305">
        <v>2025</v>
      </c>
      <c r="S305" t="str">
        <f>TEXT(Tabuľka4[[#This Row],[Datum]],"MMMM")</f>
        <v>marec</v>
      </c>
    </row>
    <row r="306" spans="1:19" x14ac:dyDescent="0.3">
      <c r="A306" s="2">
        <v>45317</v>
      </c>
      <c r="B306" t="s">
        <v>272</v>
      </c>
      <c r="C306" t="s">
        <v>273</v>
      </c>
      <c r="D306" t="s">
        <v>20</v>
      </c>
      <c r="E306" t="s">
        <v>0</v>
      </c>
      <c r="F306" t="s">
        <v>863</v>
      </c>
      <c r="G306" t="s">
        <v>22</v>
      </c>
      <c r="H306" t="s">
        <v>86</v>
      </c>
      <c r="I306" s="29" t="s">
        <v>271</v>
      </c>
      <c r="J306" t="s">
        <v>30</v>
      </c>
      <c r="K306">
        <v>6</v>
      </c>
      <c r="L306">
        <v>334</v>
      </c>
      <c r="M306">
        <v>0.2</v>
      </c>
      <c r="N306" s="25">
        <v>2004</v>
      </c>
      <c r="O306">
        <v>990.79</v>
      </c>
      <c r="P306">
        <v>1013.21</v>
      </c>
      <c r="Q306" s="19">
        <f>Tabuľka4[[#This Row],[Zisk]]/Tabuľka4[[#This Row],[Trzba]]</f>
        <v>0.50559381237524947</v>
      </c>
      <c r="R306">
        <v>2024</v>
      </c>
      <c r="S306" t="str">
        <f>TEXT(Tabuľka4[[#This Row],[Datum]],"MMMM")</f>
        <v>január</v>
      </c>
    </row>
    <row r="307" spans="1:19" x14ac:dyDescent="0.3">
      <c r="A307" s="2">
        <v>46096</v>
      </c>
      <c r="B307" t="s">
        <v>506</v>
      </c>
      <c r="C307" t="s">
        <v>84</v>
      </c>
      <c r="D307" t="s">
        <v>20</v>
      </c>
      <c r="E307" t="s">
        <v>68</v>
      </c>
      <c r="F307" t="s">
        <v>863</v>
      </c>
      <c r="G307" t="s">
        <v>43</v>
      </c>
      <c r="H307" t="s">
        <v>86</v>
      </c>
      <c r="I307" s="29" t="s">
        <v>483</v>
      </c>
      <c r="J307" t="s">
        <v>30</v>
      </c>
      <c r="K307">
        <v>2</v>
      </c>
      <c r="L307">
        <v>999</v>
      </c>
      <c r="M307">
        <v>0.05</v>
      </c>
      <c r="N307" s="25">
        <v>1998</v>
      </c>
      <c r="O307">
        <v>1307.54</v>
      </c>
      <c r="P307">
        <v>690.46</v>
      </c>
      <c r="Q307" s="19">
        <f>Tabuľka4[[#This Row],[Zisk]]/Tabuľka4[[#This Row],[Trzba]]</f>
        <v>0.34557557557557561</v>
      </c>
      <c r="R307">
        <v>2026</v>
      </c>
      <c r="S307" t="str">
        <f>TEXT(Tabuľka4[[#This Row],[Datum]],"MMMM")</f>
        <v>marec</v>
      </c>
    </row>
    <row r="308" spans="1:19" x14ac:dyDescent="0.3">
      <c r="A308" s="2">
        <v>45341</v>
      </c>
      <c r="B308" t="s">
        <v>227</v>
      </c>
      <c r="C308" t="s">
        <v>228</v>
      </c>
      <c r="D308" t="s">
        <v>20</v>
      </c>
      <c r="E308" t="s">
        <v>68</v>
      </c>
      <c r="F308" t="s">
        <v>863</v>
      </c>
      <c r="G308" t="s">
        <v>43</v>
      </c>
      <c r="H308" t="s">
        <v>71</v>
      </c>
      <c r="I308" s="29" t="s">
        <v>229</v>
      </c>
      <c r="J308" t="s">
        <v>33</v>
      </c>
      <c r="K308">
        <v>1</v>
      </c>
      <c r="L308">
        <v>1995</v>
      </c>
      <c r="M308">
        <v>0.1</v>
      </c>
      <c r="N308" s="25">
        <v>1995</v>
      </c>
      <c r="O308">
        <v>1527</v>
      </c>
      <c r="P308">
        <v>468</v>
      </c>
      <c r="Q308" s="19">
        <f>Tabuľka4[[#This Row],[Zisk]]/Tabuľka4[[#This Row],[Trzba]]</f>
        <v>0.23458646616541354</v>
      </c>
      <c r="R308">
        <v>2024</v>
      </c>
      <c r="S308" t="str">
        <f>TEXT(Tabuľka4[[#This Row],[Datum]],"MMMM")</f>
        <v>február</v>
      </c>
    </row>
    <row r="309" spans="1:19" x14ac:dyDescent="0.3">
      <c r="A309" s="2">
        <v>45581</v>
      </c>
      <c r="B309" t="s">
        <v>317</v>
      </c>
      <c r="C309" t="s">
        <v>318</v>
      </c>
      <c r="D309" t="s">
        <v>20</v>
      </c>
      <c r="E309" t="s">
        <v>68</v>
      </c>
      <c r="F309" t="s">
        <v>863</v>
      </c>
      <c r="G309" t="s">
        <v>43</v>
      </c>
      <c r="H309" t="s">
        <v>86</v>
      </c>
      <c r="I309" s="29" t="s">
        <v>310</v>
      </c>
      <c r="J309" t="s">
        <v>88</v>
      </c>
      <c r="K309">
        <v>3</v>
      </c>
      <c r="L309">
        <v>664</v>
      </c>
      <c r="M309">
        <v>7.0000000000000007E-2</v>
      </c>
      <c r="N309" s="25">
        <v>1992</v>
      </c>
      <c r="O309">
        <v>1520.19</v>
      </c>
      <c r="P309">
        <v>471.80999999999995</v>
      </c>
      <c r="Q309" s="19">
        <f>Tabuľka4[[#This Row],[Zisk]]/Tabuľka4[[#This Row],[Trzba]]</f>
        <v>0.2368524096385542</v>
      </c>
      <c r="R309">
        <v>2024</v>
      </c>
      <c r="S309" t="str">
        <f>TEXT(Tabuľka4[[#This Row],[Datum]],"MMMM")</f>
        <v>október</v>
      </c>
    </row>
    <row r="310" spans="1:19" x14ac:dyDescent="0.3">
      <c r="A310" s="2">
        <v>45815</v>
      </c>
      <c r="B310" t="s">
        <v>545</v>
      </c>
      <c r="C310" t="s">
        <v>546</v>
      </c>
      <c r="D310" t="s">
        <v>20</v>
      </c>
      <c r="E310" t="s">
        <v>21</v>
      </c>
      <c r="F310" t="s">
        <v>863</v>
      </c>
      <c r="G310" t="s">
        <v>22</v>
      </c>
      <c r="H310" t="s">
        <v>71</v>
      </c>
      <c r="I310" s="29" t="s">
        <v>537</v>
      </c>
      <c r="J310" t="s">
        <v>51</v>
      </c>
      <c r="K310">
        <v>4</v>
      </c>
      <c r="L310">
        <v>496</v>
      </c>
      <c r="M310">
        <v>0.1</v>
      </c>
      <c r="N310" s="25">
        <v>1984</v>
      </c>
      <c r="O310">
        <v>1578.64</v>
      </c>
      <c r="P310">
        <v>405.3599999999999</v>
      </c>
      <c r="Q310" s="19">
        <f>Tabuľka4[[#This Row],[Zisk]]/Tabuľka4[[#This Row],[Trzba]]</f>
        <v>0.2043145161290322</v>
      </c>
      <c r="R310">
        <v>2025</v>
      </c>
      <c r="S310" t="str">
        <f>TEXT(Tabuľka4[[#This Row],[Datum]],"MMMM")</f>
        <v>jún</v>
      </c>
    </row>
    <row r="311" spans="1:19" x14ac:dyDescent="0.3">
      <c r="A311" s="2">
        <v>46098</v>
      </c>
      <c r="B311" t="s">
        <v>328</v>
      </c>
      <c r="C311" t="s">
        <v>329</v>
      </c>
      <c r="D311" t="s">
        <v>20</v>
      </c>
      <c r="E311" t="s">
        <v>21</v>
      </c>
      <c r="F311" t="s">
        <v>863</v>
      </c>
      <c r="G311" t="s">
        <v>22</v>
      </c>
      <c r="H311" t="s">
        <v>86</v>
      </c>
      <c r="I311" s="29" t="s">
        <v>310</v>
      </c>
      <c r="J311" t="s">
        <v>63</v>
      </c>
      <c r="K311">
        <v>3</v>
      </c>
      <c r="L311">
        <v>656</v>
      </c>
      <c r="M311">
        <v>7.0000000000000007E-2</v>
      </c>
      <c r="N311" s="25">
        <v>1968</v>
      </c>
      <c r="O311">
        <v>1452.47</v>
      </c>
      <c r="P311">
        <v>515.53</v>
      </c>
      <c r="Q311" s="19">
        <f>Tabuľka4[[#This Row],[Zisk]]/Tabuľka4[[#This Row],[Trzba]]</f>
        <v>0.26195630081300814</v>
      </c>
      <c r="R311">
        <v>2026</v>
      </c>
      <c r="S311" t="str">
        <f>TEXT(Tabuľka4[[#This Row],[Datum]],"MMMM")</f>
        <v>marec</v>
      </c>
    </row>
    <row r="312" spans="1:19" x14ac:dyDescent="0.3">
      <c r="A312" s="2">
        <v>45324</v>
      </c>
      <c r="B312" t="s">
        <v>311</v>
      </c>
      <c r="C312" t="s">
        <v>132</v>
      </c>
      <c r="D312" t="s">
        <v>49</v>
      </c>
      <c r="E312" t="s">
        <v>21</v>
      </c>
      <c r="F312" t="s">
        <v>863</v>
      </c>
      <c r="G312" t="s">
        <v>58</v>
      </c>
      <c r="H312" t="s">
        <v>86</v>
      </c>
      <c r="I312" s="29" t="s">
        <v>310</v>
      </c>
      <c r="J312" t="s">
        <v>88</v>
      </c>
      <c r="K312">
        <v>3</v>
      </c>
      <c r="L312">
        <v>641</v>
      </c>
      <c r="M312">
        <v>0.02</v>
      </c>
      <c r="N312" s="25">
        <v>1923</v>
      </c>
      <c r="O312">
        <v>1223.04</v>
      </c>
      <c r="P312">
        <v>699.96</v>
      </c>
      <c r="Q312" s="19">
        <f>Tabuľka4[[#This Row],[Zisk]]/Tabuľka4[[#This Row],[Trzba]]</f>
        <v>0.36399375975039006</v>
      </c>
      <c r="R312">
        <v>2024</v>
      </c>
      <c r="S312" t="str">
        <f>TEXT(Tabuľka4[[#This Row],[Datum]],"MMMM")</f>
        <v>február</v>
      </c>
    </row>
    <row r="313" spans="1:19" x14ac:dyDescent="0.3">
      <c r="A313" s="2">
        <v>46009</v>
      </c>
      <c r="B313" t="s">
        <v>673</v>
      </c>
      <c r="C313" t="s">
        <v>48</v>
      </c>
      <c r="D313" t="s">
        <v>49</v>
      </c>
      <c r="E313" t="s">
        <v>50</v>
      </c>
      <c r="F313" t="s">
        <v>863</v>
      </c>
      <c r="G313" t="s">
        <v>58</v>
      </c>
      <c r="H313" t="s">
        <v>188</v>
      </c>
      <c r="I313" s="29" t="s">
        <v>663</v>
      </c>
      <c r="J313" t="s">
        <v>63</v>
      </c>
      <c r="K313">
        <v>9</v>
      </c>
      <c r="L313">
        <v>212</v>
      </c>
      <c r="M313">
        <v>0.12</v>
      </c>
      <c r="N313" s="25">
        <v>1908</v>
      </c>
      <c r="O313">
        <v>1121.44</v>
      </c>
      <c r="P313">
        <v>786.56</v>
      </c>
      <c r="Q313" s="19">
        <f>Tabuľka4[[#This Row],[Zisk]]/Tabuľka4[[#This Row],[Trzba]]</f>
        <v>0.41224318658280917</v>
      </c>
      <c r="R313">
        <v>2025</v>
      </c>
      <c r="S313" t="str">
        <f>TEXT(Tabuľka4[[#This Row],[Datum]],"MMMM")</f>
        <v>december</v>
      </c>
    </row>
    <row r="314" spans="1:19" x14ac:dyDescent="0.3">
      <c r="A314" s="2">
        <v>45810</v>
      </c>
      <c r="B314" t="s">
        <v>759</v>
      </c>
      <c r="C314" t="s">
        <v>285</v>
      </c>
      <c r="D314" t="s">
        <v>20</v>
      </c>
      <c r="E314" t="s">
        <v>21</v>
      </c>
      <c r="F314" t="s">
        <v>863</v>
      </c>
      <c r="G314" t="s">
        <v>22</v>
      </c>
      <c r="H314" t="s">
        <v>188</v>
      </c>
      <c r="I314" s="29" t="s">
        <v>738</v>
      </c>
      <c r="J314" t="s">
        <v>88</v>
      </c>
      <c r="K314">
        <v>4</v>
      </c>
      <c r="L314">
        <v>476</v>
      </c>
      <c r="M314">
        <v>0.09</v>
      </c>
      <c r="N314" s="25">
        <v>1904</v>
      </c>
      <c r="O314">
        <v>1207.3</v>
      </c>
      <c r="P314">
        <v>696.7</v>
      </c>
      <c r="Q314" s="19">
        <f>Tabuľka4[[#This Row],[Zisk]]/Tabuľka4[[#This Row],[Trzba]]</f>
        <v>0.36591386554621852</v>
      </c>
      <c r="R314">
        <v>2025</v>
      </c>
      <c r="S314" t="str">
        <f>TEXT(Tabuľka4[[#This Row],[Datum]],"MMMM")</f>
        <v>jún</v>
      </c>
    </row>
    <row r="315" spans="1:19" x14ac:dyDescent="0.3">
      <c r="A315" s="2">
        <v>45406</v>
      </c>
      <c r="B315" t="s">
        <v>539</v>
      </c>
      <c r="C315" t="s">
        <v>100</v>
      </c>
      <c r="D315" t="s">
        <v>20</v>
      </c>
      <c r="E315" t="s">
        <v>68</v>
      </c>
      <c r="F315" t="s">
        <v>863</v>
      </c>
      <c r="G315" t="s">
        <v>43</v>
      </c>
      <c r="H315" t="s">
        <v>71</v>
      </c>
      <c r="I315" s="29" t="s">
        <v>537</v>
      </c>
      <c r="J315" t="s">
        <v>25</v>
      </c>
      <c r="K315">
        <v>5</v>
      </c>
      <c r="L315">
        <v>375</v>
      </c>
      <c r="M315">
        <v>0</v>
      </c>
      <c r="N315" s="25">
        <v>1875</v>
      </c>
      <c r="O315">
        <v>1606.33</v>
      </c>
      <c r="P315">
        <v>268.67000000000007</v>
      </c>
      <c r="Q315" s="19">
        <f>Tabuľka4[[#This Row],[Zisk]]/Tabuľka4[[#This Row],[Trzba]]</f>
        <v>0.14329066666666671</v>
      </c>
      <c r="R315">
        <v>2024</v>
      </c>
      <c r="S315" t="str">
        <f>TEXT(Tabuľka4[[#This Row],[Datum]],"MMMM")</f>
        <v>apríl</v>
      </c>
    </row>
    <row r="316" spans="1:19" x14ac:dyDescent="0.3">
      <c r="A316" s="2">
        <v>45466</v>
      </c>
      <c r="B316" t="s">
        <v>745</v>
      </c>
      <c r="C316" t="s">
        <v>457</v>
      </c>
      <c r="D316" t="s">
        <v>20</v>
      </c>
      <c r="E316" t="s">
        <v>68</v>
      </c>
      <c r="F316" t="s">
        <v>863</v>
      </c>
      <c r="G316" t="s">
        <v>43</v>
      </c>
      <c r="H316" t="s">
        <v>188</v>
      </c>
      <c r="I316" s="29" t="s">
        <v>738</v>
      </c>
      <c r="J316" t="s">
        <v>46</v>
      </c>
      <c r="K316">
        <v>3</v>
      </c>
      <c r="L316">
        <v>620</v>
      </c>
      <c r="M316">
        <v>7.0000000000000007E-2</v>
      </c>
      <c r="N316" s="25">
        <v>1860</v>
      </c>
      <c r="O316">
        <v>991.56</v>
      </c>
      <c r="P316">
        <v>868.44</v>
      </c>
      <c r="Q316" s="19">
        <f>Tabuľka4[[#This Row],[Zisk]]/Tabuľka4[[#This Row],[Trzba]]</f>
        <v>0.46690322580645166</v>
      </c>
      <c r="R316">
        <v>2024</v>
      </c>
      <c r="S316" t="str">
        <f>TEXT(Tabuľka4[[#This Row],[Datum]],"MMMM")</f>
        <v>jún</v>
      </c>
    </row>
    <row r="317" spans="1:19" x14ac:dyDescent="0.3">
      <c r="A317" s="2">
        <v>45419</v>
      </c>
      <c r="B317" t="s">
        <v>425</v>
      </c>
      <c r="C317" t="s">
        <v>245</v>
      </c>
      <c r="D317" t="s">
        <v>20</v>
      </c>
      <c r="E317" t="s">
        <v>50</v>
      </c>
      <c r="F317" t="s">
        <v>863</v>
      </c>
      <c r="G317" t="s">
        <v>43</v>
      </c>
      <c r="H317" t="s">
        <v>188</v>
      </c>
      <c r="I317" s="29" t="s">
        <v>424</v>
      </c>
      <c r="J317" t="s">
        <v>88</v>
      </c>
      <c r="K317">
        <v>3</v>
      </c>
      <c r="L317">
        <v>615</v>
      </c>
      <c r="M317">
        <v>0.09</v>
      </c>
      <c r="N317" s="25">
        <v>1845</v>
      </c>
      <c r="O317">
        <v>834.33</v>
      </c>
      <c r="P317">
        <v>1010.67</v>
      </c>
      <c r="Q317" s="19">
        <f>Tabuľka4[[#This Row],[Zisk]]/Tabuľka4[[#This Row],[Trzba]]</f>
        <v>0.54778861788617883</v>
      </c>
      <c r="R317">
        <v>2024</v>
      </c>
      <c r="S317" t="str">
        <f>TEXT(Tabuľka4[[#This Row],[Datum]],"MMMM")</f>
        <v>máj</v>
      </c>
    </row>
    <row r="318" spans="1:19" x14ac:dyDescent="0.3">
      <c r="A318" s="2">
        <v>46064</v>
      </c>
      <c r="B318" t="s">
        <v>657</v>
      </c>
      <c r="C318" t="s">
        <v>185</v>
      </c>
      <c r="D318" t="s">
        <v>49</v>
      </c>
      <c r="E318" t="s">
        <v>21</v>
      </c>
      <c r="F318" t="s">
        <v>863</v>
      </c>
      <c r="G318" t="s">
        <v>58</v>
      </c>
      <c r="H318" t="s">
        <v>23</v>
      </c>
      <c r="I318" s="29" t="s">
        <v>632</v>
      </c>
      <c r="J318" t="s">
        <v>33</v>
      </c>
      <c r="K318">
        <v>8</v>
      </c>
      <c r="L318">
        <v>228</v>
      </c>
      <c r="M318">
        <v>0.02</v>
      </c>
      <c r="N318" s="25">
        <v>1824</v>
      </c>
      <c r="O318">
        <v>1274.77</v>
      </c>
      <c r="P318">
        <v>549.23</v>
      </c>
      <c r="Q318" s="19">
        <f>Tabuľka4[[#This Row],[Zisk]]/Tabuľka4[[#This Row],[Trzba]]</f>
        <v>0.30111293859649124</v>
      </c>
      <c r="R318">
        <v>2026</v>
      </c>
      <c r="S318" t="str">
        <f>TEXT(Tabuľka4[[#This Row],[Datum]],"MMMM")</f>
        <v>február</v>
      </c>
    </row>
    <row r="319" spans="1:19" x14ac:dyDescent="0.3">
      <c r="A319" s="2">
        <v>45516</v>
      </c>
      <c r="B319" t="s">
        <v>316</v>
      </c>
      <c r="C319" t="s">
        <v>90</v>
      </c>
      <c r="D319" t="s">
        <v>20</v>
      </c>
      <c r="E319" t="s">
        <v>68</v>
      </c>
      <c r="F319" t="s">
        <v>863</v>
      </c>
      <c r="G319" t="s">
        <v>22</v>
      </c>
      <c r="H319" t="s">
        <v>86</v>
      </c>
      <c r="I319" s="29" t="s">
        <v>310</v>
      </c>
      <c r="J319" t="s">
        <v>38</v>
      </c>
      <c r="K319">
        <v>2</v>
      </c>
      <c r="L319">
        <v>908</v>
      </c>
      <c r="M319">
        <v>0.01</v>
      </c>
      <c r="N319" s="25">
        <v>1816</v>
      </c>
      <c r="O319">
        <v>1415.88</v>
      </c>
      <c r="P319">
        <v>400.11999999999989</v>
      </c>
      <c r="Q319" s="19">
        <f>Tabuľka4[[#This Row],[Zisk]]/Tabuľka4[[#This Row],[Trzba]]</f>
        <v>0.22033039647577088</v>
      </c>
      <c r="R319">
        <v>2024</v>
      </c>
      <c r="S319" t="str">
        <f>TEXT(Tabuľka4[[#This Row],[Datum]],"MMMM")</f>
        <v>august</v>
      </c>
    </row>
    <row r="320" spans="1:19" x14ac:dyDescent="0.3">
      <c r="A320" s="2">
        <v>45673</v>
      </c>
      <c r="B320" t="s">
        <v>694</v>
      </c>
      <c r="C320" t="s">
        <v>695</v>
      </c>
      <c r="D320" t="s">
        <v>20</v>
      </c>
      <c r="E320" t="s">
        <v>0</v>
      </c>
      <c r="F320" t="s">
        <v>863</v>
      </c>
      <c r="G320" t="s">
        <v>22</v>
      </c>
      <c r="H320" t="s">
        <v>188</v>
      </c>
      <c r="I320" s="29" t="s">
        <v>688</v>
      </c>
      <c r="J320" t="s">
        <v>38</v>
      </c>
      <c r="K320">
        <v>2</v>
      </c>
      <c r="L320">
        <v>903</v>
      </c>
      <c r="M320">
        <v>0.14000000000000001</v>
      </c>
      <c r="N320" s="25">
        <v>1806</v>
      </c>
      <c r="O320">
        <v>933.77</v>
      </c>
      <c r="P320">
        <v>872.23</v>
      </c>
      <c r="Q320" s="19">
        <f>Tabuľka4[[#This Row],[Zisk]]/Tabuľka4[[#This Row],[Trzba]]</f>
        <v>0.48296234772978958</v>
      </c>
      <c r="R320">
        <v>2025</v>
      </c>
      <c r="S320" t="str">
        <f>TEXT(Tabuľka4[[#This Row],[Datum]],"MMMM")</f>
        <v>január</v>
      </c>
    </row>
    <row r="321" spans="1:19" x14ac:dyDescent="0.3">
      <c r="A321" s="2">
        <v>45702</v>
      </c>
      <c r="B321" t="s">
        <v>191</v>
      </c>
      <c r="C321" t="s">
        <v>74</v>
      </c>
      <c r="D321" t="s">
        <v>49</v>
      </c>
      <c r="E321" t="s">
        <v>0</v>
      </c>
      <c r="F321" t="s">
        <v>863</v>
      </c>
      <c r="G321" t="s">
        <v>43</v>
      </c>
      <c r="H321" t="s">
        <v>188</v>
      </c>
      <c r="I321" s="29" t="s">
        <v>189</v>
      </c>
      <c r="J321" t="s">
        <v>25</v>
      </c>
      <c r="K321">
        <v>8</v>
      </c>
      <c r="L321">
        <v>222</v>
      </c>
      <c r="M321">
        <v>0.02</v>
      </c>
      <c r="N321" s="25">
        <v>1776</v>
      </c>
      <c r="O321">
        <v>1131.0999999999999</v>
      </c>
      <c r="P321">
        <v>644.90000000000009</v>
      </c>
      <c r="Q321" s="19">
        <f>Tabuľka4[[#This Row],[Zisk]]/Tabuľka4[[#This Row],[Trzba]]</f>
        <v>0.36311936936936939</v>
      </c>
      <c r="R321">
        <v>2025</v>
      </c>
      <c r="S321" t="str">
        <f>TEXT(Tabuľka4[[#This Row],[Datum]],"MMMM")</f>
        <v>február</v>
      </c>
    </row>
    <row r="322" spans="1:19" x14ac:dyDescent="0.3">
      <c r="A322" s="2">
        <v>46099</v>
      </c>
      <c r="B322" t="s">
        <v>301</v>
      </c>
      <c r="C322" t="s">
        <v>122</v>
      </c>
      <c r="D322" t="s">
        <v>20</v>
      </c>
      <c r="E322" t="s">
        <v>21</v>
      </c>
      <c r="F322" t="s">
        <v>863</v>
      </c>
      <c r="G322" t="s">
        <v>43</v>
      </c>
      <c r="H322" t="s">
        <v>86</v>
      </c>
      <c r="I322" s="29" t="s">
        <v>271</v>
      </c>
      <c r="J322" t="s">
        <v>30</v>
      </c>
      <c r="K322">
        <v>5</v>
      </c>
      <c r="L322">
        <v>355</v>
      </c>
      <c r="M322">
        <v>0.1</v>
      </c>
      <c r="N322" s="25">
        <v>1775</v>
      </c>
      <c r="O322">
        <v>1299.3599999999999</v>
      </c>
      <c r="P322">
        <v>475.6400000000001</v>
      </c>
      <c r="Q322" s="19">
        <f>Tabuľka4[[#This Row],[Zisk]]/Tabuľka4[[#This Row],[Trzba]]</f>
        <v>0.26796619718309866</v>
      </c>
      <c r="R322">
        <v>2026</v>
      </c>
      <c r="S322" t="str">
        <f>TEXT(Tabuľka4[[#This Row],[Datum]],"MMMM")</f>
        <v>marec</v>
      </c>
    </row>
    <row r="323" spans="1:19" x14ac:dyDescent="0.3">
      <c r="A323" s="2">
        <v>46106</v>
      </c>
      <c r="B323" t="s">
        <v>706</v>
      </c>
      <c r="C323" t="s">
        <v>341</v>
      </c>
      <c r="D323" t="s">
        <v>20</v>
      </c>
      <c r="E323" t="s">
        <v>21</v>
      </c>
      <c r="F323" t="s">
        <v>863</v>
      </c>
      <c r="G323" t="s">
        <v>58</v>
      </c>
      <c r="H323" t="s">
        <v>188</v>
      </c>
      <c r="I323" s="29" t="s">
        <v>688</v>
      </c>
      <c r="J323" t="s">
        <v>51</v>
      </c>
      <c r="K323">
        <v>2</v>
      </c>
      <c r="L323">
        <v>871</v>
      </c>
      <c r="M323">
        <v>0.06</v>
      </c>
      <c r="N323" s="25">
        <v>1742</v>
      </c>
      <c r="O323">
        <v>1177.33</v>
      </c>
      <c r="P323">
        <v>564.67000000000007</v>
      </c>
      <c r="Q323" s="19">
        <f>Tabuľka4[[#This Row],[Zisk]]/Tabuľka4[[#This Row],[Trzba]]</f>
        <v>0.32415040183696903</v>
      </c>
      <c r="R323">
        <v>2026</v>
      </c>
      <c r="S323" t="str">
        <f>TEXT(Tabuľka4[[#This Row],[Datum]],"MMMM")</f>
        <v>marec</v>
      </c>
    </row>
    <row r="324" spans="1:19" x14ac:dyDescent="0.3">
      <c r="A324" s="2">
        <v>46132</v>
      </c>
      <c r="B324" t="s">
        <v>303</v>
      </c>
      <c r="C324" t="s">
        <v>304</v>
      </c>
      <c r="D324" t="s">
        <v>20</v>
      </c>
      <c r="E324" t="s">
        <v>0</v>
      </c>
      <c r="F324" t="s">
        <v>863</v>
      </c>
      <c r="G324" t="s">
        <v>43</v>
      </c>
      <c r="H324" t="s">
        <v>86</v>
      </c>
      <c r="I324" s="29" t="s">
        <v>271</v>
      </c>
      <c r="J324" t="s">
        <v>38</v>
      </c>
      <c r="K324">
        <v>3</v>
      </c>
      <c r="L324">
        <v>561</v>
      </c>
      <c r="M324">
        <v>0.08</v>
      </c>
      <c r="N324" s="25">
        <v>1683</v>
      </c>
      <c r="O324">
        <v>1233.3</v>
      </c>
      <c r="P324">
        <v>449.70000000000005</v>
      </c>
      <c r="Q324" s="19">
        <f>Tabuľka4[[#This Row],[Zisk]]/Tabuľka4[[#This Row],[Trzba]]</f>
        <v>0.26720142602495545</v>
      </c>
      <c r="R324">
        <v>2026</v>
      </c>
      <c r="S324" t="str">
        <f>TEXT(Tabuľka4[[#This Row],[Datum]],"MMMM")</f>
        <v>apríl</v>
      </c>
    </row>
    <row r="325" spans="1:19" x14ac:dyDescent="0.3">
      <c r="A325" s="2">
        <v>45399</v>
      </c>
      <c r="B325" t="s">
        <v>337</v>
      </c>
      <c r="C325" t="s">
        <v>241</v>
      </c>
      <c r="D325" t="s">
        <v>20</v>
      </c>
      <c r="E325" t="s">
        <v>50</v>
      </c>
      <c r="F325" t="s">
        <v>863</v>
      </c>
      <c r="G325" t="s">
        <v>43</v>
      </c>
      <c r="H325" t="s">
        <v>71</v>
      </c>
      <c r="I325" s="29" t="s">
        <v>333</v>
      </c>
      <c r="J325" t="s">
        <v>51</v>
      </c>
      <c r="K325">
        <v>1</v>
      </c>
      <c r="L325">
        <v>1680</v>
      </c>
      <c r="M325">
        <v>0.15</v>
      </c>
      <c r="N325" s="25">
        <v>1680</v>
      </c>
      <c r="O325">
        <v>1116.78</v>
      </c>
      <c r="P325">
        <v>563.22</v>
      </c>
      <c r="Q325" s="19">
        <f>Tabuľka4[[#This Row],[Zisk]]/Tabuľka4[[#This Row],[Trzba]]</f>
        <v>0.33524999999999999</v>
      </c>
      <c r="R325">
        <v>2024</v>
      </c>
      <c r="S325" t="str">
        <f>TEXT(Tabuľka4[[#This Row],[Datum]],"MMMM")</f>
        <v>apríl</v>
      </c>
    </row>
    <row r="326" spans="1:19" x14ac:dyDescent="0.3">
      <c r="A326" s="2">
        <v>45943</v>
      </c>
      <c r="B326" t="s">
        <v>438</v>
      </c>
      <c r="C326" t="s">
        <v>439</v>
      </c>
      <c r="D326" t="s">
        <v>20</v>
      </c>
      <c r="E326" t="s">
        <v>21</v>
      </c>
      <c r="F326" t="s">
        <v>863</v>
      </c>
      <c r="G326" t="s">
        <v>22</v>
      </c>
      <c r="H326" t="s">
        <v>188</v>
      </c>
      <c r="I326" s="29" t="s">
        <v>424</v>
      </c>
      <c r="J326" t="s">
        <v>25</v>
      </c>
      <c r="K326">
        <v>3</v>
      </c>
      <c r="L326">
        <v>542</v>
      </c>
      <c r="M326">
        <v>0.08</v>
      </c>
      <c r="N326" s="25">
        <v>1626</v>
      </c>
      <c r="O326">
        <v>1219.77</v>
      </c>
      <c r="P326">
        <v>406.23</v>
      </c>
      <c r="Q326" s="19">
        <f>Tabuľka4[[#This Row],[Zisk]]/Tabuľka4[[#This Row],[Trzba]]</f>
        <v>0.24983394833948341</v>
      </c>
      <c r="R326">
        <v>2025</v>
      </c>
      <c r="S326" t="str">
        <f>TEXT(Tabuľka4[[#This Row],[Datum]],"MMMM")</f>
        <v>október</v>
      </c>
    </row>
    <row r="327" spans="1:19" x14ac:dyDescent="0.3">
      <c r="A327" s="2">
        <v>46023</v>
      </c>
      <c r="B327" t="s">
        <v>146</v>
      </c>
      <c r="C327" t="s">
        <v>147</v>
      </c>
      <c r="D327" t="s">
        <v>20</v>
      </c>
      <c r="E327" t="s">
        <v>68</v>
      </c>
      <c r="F327" t="s">
        <v>863</v>
      </c>
      <c r="G327" t="s">
        <v>22</v>
      </c>
      <c r="H327" t="s">
        <v>86</v>
      </c>
      <c r="I327" s="29" t="s">
        <v>120</v>
      </c>
      <c r="J327" t="s">
        <v>63</v>
      </c>
      <c r="K327">
        <v>2</v>
      </c>
      <c r="L327">
        <v>808</v>
      </c>
      <c r="M327">
        <v>0.08</v>
      </c>
      <c r="N327" s="25">
        <v>1616</v>
      </c>
      <c r="O327">
        <v>979.89</v>
      </c>
      <c r="P327">
        <v>636.11</v>
      </c>
      <c r="Q327" s="19">
        <f>Tabuľka4[[#This Row],[Zisk]]/Tabuľka4[[#This Row],[Trzba]]</f>
        <v>0.39363242574257429</v>
      </c>
      <c r="R327">
        <v>2026</v>
      </c>
      <c r="S327" t="str">
        <f>TEXT(Tabuľka4[[#This Row],[Datum]],"MMMM")</f>
        <v>január</v>
      </c>
    </row>
    <row r="328" spans="1:19" x14ac:dyDescent="0.3">
      <c r="A328" s="2">
        <v>45437</v>
      </c>
      <c r="B328" t="s">
        <v>370</v>
      </c>
      <c r="C328" t="s">
        <v>371</v>
      </c>
      <c r="D328" t="s">
        <v>20</v>
      </c>
      <c r="E328" t="s">
        <v>21</v>
      </c>
      <c r="F328" t="s">
        <v>863</v>
      </c>
      <c r="G328" t="s">
        <v>43</v>
      </c>
      <c r="H328" t="s">
        <v>71</v>
      </c>
      <c r="I328" s="29" t="s">
        <v>367</v>
      </c>
      <c r="J328" t="s">
        <v>38</v>
      </c>
      <c r="K328">
        <v>2</v>
      </c>
      <c r="L328">
        <v>807</v>
      </c>
      <c r="M328">
        <v>0.04</v>
      </c>
      <c r="N328" s="25">
        <v>1614</v>
      </c>
      <c r="O328">
        <v>1303.4000000000001</v>
      </c>
      <c r="P328">
        <v>310.59999999999991</v>
      </c>
      <c r="Q328" s="19">
        <f>Tabuľka4[[#This Row],[Zisk]]/Tabuľka4[[#This Row],[Trzba]]</f>
        <v>0.1924411400247831</v>
      </c>
      <c r="R328">
        <v>2024</v>
      </c>
      <c r="S328" t="str">
        <f>TEXT(Tabuľka4[[#This Row],[Datum]],"MMMM")</f>
        <v>máj</v>
      </c>
    </row>
    <row r="329" spans="1:19" x14ac:dyDescent="0.3">
      <c r="A329" s="2">
        <v>46012</v>
      </c>
      <c r="B329" t="s">
        <v>327</v>
      </c>
      <c r="C329" t="s">
        <v>136</v>
      </c>
      <c r="D329" t="s">
        <v>20</v>
      </c>
      <c r="E329" t="s">
        <v>50</v>
      </c>
      <c r="F329" t="s">
        <v>863</v>
      </c>
      <c r="G329" t="s">
        <v>43</v>
      </c>
      <c r="H329" t="s">
        <v>86</v>
      </c>
      <c r="I329" s="29" t="s">
        <v>310</v>
      </c>
      <c r="J329" t="s">
        <v>30</v>
      </c>
      <c r="K329">
        <v>2</v>
      </c>
      <c r="L329">
        <v>789</v>
      </c>
      <c r="M329">
        <v>0.3</v>
      </c>
      <c r="N329" s="25">
        <v>1578</v>
      </c>
      <c r="O329">
        <v>715.98</v>
      </c>
      <c r="P329">
        <v>862.02</v>
      </c>
      <c r="Q329" s="19">
        <f>Tabuľka4[[#This Row],[Zisk]]/Tabuľka4[[#This Row],[Trzba]]</f>
        <v>0.54627376425855512</v>
      </c>
      <c r="R329">
        <v>2025</v>
      </c>
      <c r="S329" t="str">
        <f>TEXT(Tabuľka4[[#This Row],[Datum]],"MMMM")</f>
        <v>december</v>
      </c>
    </row>
    <row r="330" spans="1:19" x14ac:dyDescent="0.3">
      <c r="A330" s="2">
        <v>45945</v>
      </c>
      <c r="B330" t="s">
        <v>79</v>
      </c>
      <c r="C330" t="s">
        <v>80</v>
      </c>
      <c r="D330" t="s">
        <v>20</v>
      </c>
      <c r="E330" t="s">
        <v>0</v>
      </c>
      <c r="F330" t="s">
        <v>863</v>
      </c>
      <c r="G330" t="s">
        <v>22</v>
      </c>
      <c r="H330" t="s">
        <v>71</v>
      </c>
      <c r="I330" s="29" t="s">
        <v>72</v>
      </c>
      <c r="J330" t="s">
        <v>46</v>
      </c>
      <c r="K330">
        <v>1</v>
      </c>
      <c r="L330">
        <v>1547</v>
      </c>
      <c r="M330">
        <v>7.0000000000000007E-2</v>
      </c>
      <c r="N330" s="25">
        <v>1547</v>
      </c>
      <c r="O330">
        <v>1248.0999999999999</v>
      </c>
      <c r="P330">
        <v>298.90000000000009</v>
      </c>
      <c r="Q330" s="19">
        <f>Tabuľka4[[#This Row],[Zisk]]/Tabuľka4[[#This Row],[Trzba]]</f>
        <v>0.19321266968325798</v>
      </c>
      <c r="R330">
        <v>2025</v>
      </c>
      <c r="S330" t="str">
        <f>TEXT(Tabuľka4[[#This Row],[Datum]],"MMMM")</f>
        <v>október</v>
      </c>
    </row>
    <row r="331" spans="1:19" x14ac:dyDescent="0.3">
      <c r="A331" s="2">
        <v>45310</v>
      </c>
      <c r="B331" t="s">
        <v>482</v>
      </c>
      <c r="C331" t="s">
        <v>389</v>
      </c>
      <c r="D331" t="s">
        <v>20</v>
      </c>
      <c r="E331" t="s">
        <v>21</v>
      </c>
      <c r="F331" t="s">
        <v>863</v>
      </c>
      <c r="G331" t="s">
        <v>22</v>
      </c>
      <c r="H331" t="s">
        <v>86</v>
      </c>
      <c r="I331" s="29" t="s">
        <v>483</v>
      </c>
      <c r="J331" t="s">
        <v>88</v>
      </c>
      <c r="K331">
        <v>2</v>
      </c>
      <c r="L331">
        <v>771</v>
      </c>
      <c r="M331">
        <v>0.06</v>
      </c>
      <c r="N331" s="25">
        <v>1542</v>
      </c>
      <c r="O331">
        <v>1033.21</v>
      </c>
      <c r="P331">
        <v>508.78999999999996</v>
      </c>
      <c r="Q331" s="19">
        <f>Tabuľka4[[#This Row],[Zisk]]/Tabuľka4[[#This Row],[Trzba]]</f>
        <v>0.3299546044098573</v>
      </c>
      <c r="R331">
        <v>2024</v>
      </c>
      <c r="S331" t="str">
        <f>TEXT(Tabuľka4[[#This Row],[Datum]],"MMMM")</f>
        <v>január</v>
      </c>
    </row>
    <row r="332" spans="1:19" x14ac:dyDescent="0.3">
      <c r="A332" s="2">
        <v>45311</v>
      </c>
      <c r="B332" t="s">
        <v>309</v>
      </c>
      <c r="C332" t="s">
        <v>84</v>
      </c>
      <c r="D332" t="s">
        <v>20</v>
      </c>
      <c r="E332" t="s">
        <v>68</v>
      </c>
      <c r="F332" t="s">
        <v>863</v>
      </c>
      <c r="G332" t="s">
        <v>43</v>
      </c>
      <c r="H332" t="s">
        <v>86</v>
      </c>
      <c r="I332" s="29" t="s">
        <v>310</v>
      </c>
      <c r="J332" t="s">
        <v>51</v>
      </c>
      <c r="K332">
        <v>2</v>
      </c>
      <c r="L332">
        <v>770</v>
      </c>
      <c r="M332">
        <v>0.1</v>
      </c>
      <c r="N332" s="25">
        <v>1540</v>
      </c>
      <c r="O332">
        <v>1130.42</v>
      </c>
      <c r="P332">
        <v>409.57999999999993</v>
      </c>
      <c r="Q332" s="19">
        <f>Tabuľka4[[#This Row],[Zisk]]/Tabuľka4[[#This Row],[Trzba]]</f>
        <v>0.2659610389610389</v>
      </c>
      <c r="R332">
        <v>2024</v>
      </c>
      <c r="S332" t="str">
        <f>TEXT(Tabuľka4[[#This Row],[Datum]],"MMMM")</f>
        <v>január</v>
      </c>
    </row>
    <row r="333" spans="1:19" x14ac:dyDescent="0.3">
      <c r="A333" s="2">
        <v>45304</v>
      </c>
      <c r="B333" t="s">
        <v>269</v>
      </c>
      <c r="C333" t="s">
        <v>270</v>
      </c>
      <c r="D333" t="s">
        <v>20</v>
      </c>
      <c r="E333" t="s">
        <v>21</v>
      </c>
      <c r="F333" t="s">
        <v>863</v>
      </c>
      <c r="G333" t="s">
        <v>22</v>
      </c>
      <c r="H333" t="s">
        <v>86</v>
      </c>
      <c r="I333" s="29" t="s">
        <v>271</v>
      </c>
      <c r="J333" t="s">
        <v>88</v>
      </c>
      <c r="K333">
        <v>4</v>
      </c>
      <c r="L333">
        <v>384</v>
      </c>
      <c r="M333">
        <v>0.04</v>
      </c>
      <c r="N333" s="25">
        <v>1536</v>
      </c>
      <c r="O333">
        <v>803.12</v>
      </c>
      <c r="P333">
        <v>732.88</v>
      </c>
      <c r="Q333" s="19">
        <f>Tabuľka4[[#This Row],[Zisk]]/Tabuľka4[[#This Row],[Trzba]]</f>
        <v>0.47713541666666665</v>
      </c>
      <c r="R333">
        <v>2024</v>
      </c>
      <c r="S333" t="str">
        <f>TEXT(Tabuľka4[[#This Row],[Datum]],"MMMM")</f>
        <v>január</v>
      </c>
    </row>
    <row r="334" spans="1:19" x14ac:dyDescent="0.3">
      <c r="A334" s="2">
        <v>45540</v>
      </c>
      <c r="B334" t="s">
        <v>637</v>
      </c>
      <c r="C334" t="s">
        <v>185</v>
      </c>
      <c r="D334" t="s">
        <v>49</v>
      </c>
      <c r="E334" t="s">
        <v>50</v>
      </c>
      <c r="F334" t="s">
        <v>863</v>
      </c>
      <c r="G334" t="s">
        <v>58</v>
      </c>
      <c r="H334" t="s">
        <v>23</v>
      </c>
      <c r="I334" s="29" t="s">
        <v>632</v>
      </c>
      <c r="J334" t="s">
        <v>51</v>
      </c>
      <c r="K334">
        <v>10</v>
      </c>
      <c r="L334">
        <v>153</v>
      </c>
      <c r="M334">
        <v>0.15</v>
      </c>
      <c r="N334" s="25">
        <v>1530</v>
      </c>
      <c r="O334">
        <v>982.89</v>
      </c>
      <c r="P334">
        <v>547.11</v>
      </c>
      <c r="Q334" s="19">
        <f>Tabuľka4[[#This Row],[Zisk]]/Tabuľka4[[#This Row],[Trzba]]</f>
        <v>0.35758823529411765</v>
      </c>
      <c r="R334">
        <v>2024</v>
      </c>
      <c r="S334" t="str">
        <f>TEXT(Tabuľka4[[#This Row],[Datum]],"MMMM")</f>
        <v>september</v>
      </c>
    </row>
    <row r="335" spans="1:19" x14ac:dyDescent="0.3">
      <c r="A335" s="2">
        <v>45397</v>
      </c>
      <c r="B335" t="s">
        <v>69</v>
      </c>
      <c r="C335" t="s">
        <v>70</v>
      </c>
      <c r="D335" t="s">
        <v>20</v>
      </c>
      <c r="E335" t="s">
        <v>68</v>
      </c>
      <c r="F335" t="s">
        <v>863</v>
      </c>
      <c r="G335" t="s">
        <v>22</v>
      </c>
      <c r="H335" t="s">
        <v>71</v>
      </c>
      <c r="I335" s="29" t="s">
        <v>72</v>
      </c>
      <c r="J335" t="s">
        <v>38</v>
      </c>
      <c r="K335">
        <v>1</v>
      </c>
      <c r="L335">
        <v>1518</v>
      </c>
      <c r="M335">
        <v>0.14000000000000001</v>
      </c>
      <c r="N335" s="25">
        <v>1518</v>
      </c>
      <c r="O335">
        <v>1118.53</v>
      </c>
      <c r="P335">
        <v>399.47</v>
      </c>
      <c r="Q335" s="19">
        <f>Tabuľka4[[#This Row],[Zisk]]/Tabuľka4[[#This Row],[Trzba]]</f>
        <v>0.26315546772068515</v>
      </c>
      <c r="R335">
        <v>2024</v>
      </c>
      <c r="S335" t="str">
        <f>TEXT(Tabuľka4[[#This Row],[Datum]],"MMMM")</f>
        <v>apríl</v>
      </c>
    </row>
    <row r="336" spans="1:19" x14ac:dyDescent="0.3">
      <c r="A336" s="2">
        <v>45472</v>
      </c>
      <c r="B336" t="s">
        <v>665</v>
      </c>
      <c r="C336" t="s">
        <v>666</v>
      </c>
      <c r="D336" t="s">
        <v>20</v>
      </c>
      <c r="E336" t="s">
        <v>0</v>
      </c>
      <c r="F336" t="s">
        <v>863</v>
      </c>
      <c r="G336" t="s">
        <v>22</v>
      </c>
      <c r="H336" t="s">
        <v>188</v>
      </c>
      <c r="I336" s="29" t="s">
        <v>663</v>
      </c>
      <c r="J336" t="s">
        <v>25</v>
      </c>
      <c r="K336">
        <v>5</v>
      </c>
      <c r="L336">
        <v>303</v>
      </c>
      <c r="M336">
        <v>0.02</v>
      </c>
      <c r="N336" s="25">
        <v>1515</v>
      </c>
      <c r="O336">
        <v>1000.46</v>
      </c>
      <c r="P336">
        <v>514.54</v>
      </c>
      <c r="Q336" s="19">
        <f>Tabuľka4[[#This Row],[Zisk]]/Tabuľka4[[#This Row],[Trzba]]</f>
        <v>0.33963036303630362</v>
      </c>
      <c r="R336">
        <v>2024</v>
      </c>
      <c r="S336" t="str">
        <f>TEXT(Tabuľka4[[#This Row],[Datum]],"MMMM")</f>
        <v>jún</v>
      </c>
    </row>
    <row r="337" spans="1:19" x14ac:dyDescent="0.3">
      <c r="A337" s="2">
        <v>45650</v>
      </c>
      <c r="B337" t="s">
        <v>432</v>
      </c>
      <c r="C337" t="s">
        <v>415</v>
      </c>
      <c r="D337" t="s">
        <v>20</v>
      </c>
      <c r="E337" t="s">
        <v>50</v>
      </c>
      <c r="F337" t="s">
        <v>863</v>
      </c>
      <c r="G337" t="s">
        <v>43</v>
      </c>
      <c r="H337" t="s">
        <v>188</v>
      </c>
      <c r="I337" s="29" t="s">
        <v>424</v>
      </c>
      <c r="J337" t="s">
        <v>63</v>
      </c>
      <c r="K337">
        <v>2</v>
      </c>
      <c r="L337">
        <v>756</v>
      </c>
      <c r="M337">
        <v>0.3</v>
      </c>
      <c r="N337" s="25">
        <v>1512</v>
      </c>
      <c r="O337">
        <v>746.06</v>
      </c>
      <c r="P337">
        <v>765.94</v>
      </c>
      <c r="Q337" s="19">
        <f>Tabuľka4[[#This Row],[Zisk]]/Tabuľka4[[#This Row],[Trzba]]</f>
        <v>0.50657407407407407</v>
      </c>
      <c r="R337">
        <v>2024</v>
      </c>
      <c r="S337" t="str">
        <f>TEXT(Tabuľka4[[#This Row],[Datum]],"MMMM")</f>
        <v>december</v>
      </c>
    </row>
    <row r="338" spans="1:19" x14ac:dyDescent="0.3">
      <c r="A338" s="2">
        <v>45812</v>
      </c>
      <c r="B338" t="s">
        <v>762</v>
      </c>
      <c r="C338" t="s">
        <v>763</v>
      </c>
      <c r="D338" t="s">
        <v>20</v>
      </c>
      <c r="E338" t="s">
        <v>68</v>
      </c>
      <c r="F338" t="s">
        <v>863</v>
      </c>
      <c r="G338" t="s">
        <v>43</v>
      </c>
      <c r="H338" t="s">
        <v>188</v>
      </c>
      <c r="I338" s="29" t="s">
        <v>738</v>
      </c>
      <c r="J338" t="s">
        <v>25</v>
      </c>
      <c r="K338">
        <v>3</v>
      </c>
      <c r="L338">
        <v>493</v>
      </c>
      <c r="M338">
        <v>0</v>
      </c>
      <c r="N338" s="25">
        <v>1479</v>
      </c>
      <c r="O338">
        <v>1050.8499999999999</v>
      </c>
      <c r="P338">
        <v>428.15000000000009</v>
      </c>
      <c r="Q338" s="19">
        <f>Tabuľka4[[#This Row],[Zisk]]/Tabuľka4[[#This Row],[Trzba]]</f>
        <v>0.28948613928329958</v>
      </c>
      <c r="R338">
        <v>2025</v>
      </c>
      <c r="S338" t="str">
        <f>TEXT(Tabuľka4[[#This Row],[Datum]],"MMMM")</f>
        <v>jún</v>
      </c>
    </row>
    <row r="339" spans="1:19" x14ac:dyDescent="0.3">
      <c r="A339" s="2">
        <v>45995</v>
      </c>
      <c r="B339" t="s">
        <v>682</v>
      </c>
      <c r="C339" t="s">
        <v>683</v>
      </c>
      <c r="D339" t="s">
        <v>20</v>
      </c>
      <c r="E339" t="s">
        <v>0</v>
      </c>
      <c r="F339" t="s">
        <v>863</v>
      </c>
      <c r="G339" t="s">
        <v>22</v>
      </c>
      <c r="H339" t="s">
        <v>71</v>
      </c>
      <c r="I339" s="29" t="s">
        <v>675</v>
      </c>
      <c r="J339" t="s">
        <v>51</v>
      </c>
      <c r="K339">
        <v>1</v>
      </c>
      <c r="L339">
        <v>1476</v>
      </c>
      <c r="M339">
        <v>0.09</v>
      </c>
      <c r="N339" s="25">
        <v>1476</v>
      </c>
      <c r="O339">
        <v>1077.4100000000001</v>
      </c>
      <c r="P339">
        <v>398.58999999999992</v>
      </c>
      <c r="Q339" s="19">
        <f>Tabuľka4[[#This Row],[Zisk]]/Tabuľka4[[#This Row],[Trzba]]</f>
        <v>0.2700474254742547</v>
      </c>
      <c r="R339">
        <v>2025</v>
      </c>
      <c r="S339" t="str">
        <f>TEXT(Tabuľka4[[#This Row],[Datum]],"MMMM")</f>
        <v>december</v>
      </c>
    </row>
    <row r="340" spans="1:19" x14ac:dyDescent="0.3">
      <c r="A340" s="2">
        <v>46006</v>
      </c>
      <c r="B340" t="s">
        <v>298</v>
      </c>
      <c r="C340" t="s">
        <v>280</v>
      </c>
      <c r="D340" t="s">
        <v>20</v>
      </c>
      <c r="E340" t="s">
        <v>0</v>
      </c>
      <c r="F340" t="s">
        <v>863</v>
      </c>
      <c r="G340" t="s">
        <v>22</v>
      </c>
      <c r="H340" t="s">
        <v>86</v>
      </c>
      <c r="I340" s="29" t="s">
        <v>271</v>
      </c>
      <c r="J340" t="s">
        <v>63</v>
      </c>
      <c r="K340">
        <v>4</v>
      </c>
      <c r="L340">
        <v>362</v>
      </c>
      <c r="M340">
        <v>0.11</v>
      </c>
      <c r="N340" s="25">
        <v>1448</v>
      </c>
      <c r="O340">
        <v>1123.5899999999999</v>
      </c>
      <c r="P340">
        <v>324.41000000000008</v>
      </c>
      <c r="Q340" s="19">
        <f>Tabuľka4[[#This Row],[Zisk]]/Tabuľka4[[#This Row],[Trzba]]</f>
        <v>0.22404005524861884</v>
      </c>
      <c r="R340">
        <v>2025</v>
      </c>
      <c r="S340" t="str">
        <f>TEXT(Tabuľka4[[#This Row],[Datum]],"MMMM")</f>
        <v>december</v>
      </c>
    </row>
    <row r="341" spans="1:19" x14ac:dyDescent="0.3">
      <c r="A341" s="2">
        <v>45943</v>
      </c>
      <c r="B341" t="s">
        <v>548</v>
      </c>
      <c r="C341" t="s">
        <v>268</v>
      </c>
      <c r="D341" t="s">
        <v>20</v>
      </c>
      <c r="E341" t="s">
        <v>21</v>
      </c>
      <c r="F341" t="s">
        <v>863</v>
      </c>
      <c r="G341" t="s">
        <v>22</v>
      </c>
      <c r="H341" t="s">
        <v>71</v>
      </c>
      <c r="I341" s="29" t="s">
        <v>537</v>
      </c>
      <c r="J341" t="s">
        <v>25</v>
      </c>
      <c r="K341">
        <v>2</v>
      </c>
      <c r="L341">
        <v>713</v>
      </c>
      <c r="M341">
        <v>7.0000000000000007E-2</v>
      </c>
      <c r="N341" s="25">
        <v>1426</v>
      </c>
      <c r="O341">
        <v>1137.7</v>
      </c>
      <c r="P341">
        <v>288.29999999999995</v>
      </c>
      <c r="Q341" s="19">
        <f>Tabuľka4[[#This Row],[Zisk]]/Tabuľka4[[#This Row],[Trzba]]</f>
        <v>0.20217391304347823</v>
      </c>
      <c r="R341">
        <v>2025</v>
      </c>
      <c r="S341" t="str">
        <f>TEXT(Tabuľka4[[#This Row],[Datum]],"MMMM")</f>
        <v>október</v>
      </c>
    </row>
    <row r="342" spans="1:19" x14ac:dyDescent="0.3">
      <c r="A342" s="2">
        <v>45614</v>
      </c>
      <c r="B342" t="s">
        <v>690</v>
      </c>
      <c r="C342" t="s">
        <v>292</v>
      </c>
      <c r="D342" t="s">
        <v>20</v>
      </c>
      <c r="E342" t="s">
        <v>21</v>
      </c>
      <c r="F342" t="s">
        <v>863</v>
      </c>
      <c r="G342" t="s">
        <v>22</v>
      </c>
      <c r="H342" t="s">
        <v>188</v>
      </c>
      <c r="I342" s="29" t="s">
        <v>688</v>
      </c>
      <c r="J342" t="s">
        <v>88</v>
      </c>
      <c r="K342">
        <v>1</v>
      </c>
      <c r="L342">
        <v>1423</v>
      </c>
      <c r="M342">
        <v>0.16</v>
      </c>
      <c r="N342" s="25">
        <v>1423</v>
      </c>
      <c r="O342">
        <v>831.36</v>
      </c>
      <c r="P342">
        <v>591.64</v>
      </c>
      <c r="Q342" s="19">
        <f>Tabuľka4[[#This Row],[Zisk]]/Tabuľka4[[#This Row],[Trzba]]</f>
        <v>0.41576950105411103</v>
      </c>
      <c r="R342">
        <v>2024</v>
      </c>
      <c r="S342" t="str">
        <f>TEXT(Tabuľka4[[#This Row],[Datum]],"MMMM")</f>
        <v>november</v>
      </c>
    </row>
    <row r="343" spans="1:19" x14ac:dyDescent="0.3">
      <c r="A343" s="2">
        <v>46162</v>
      </c>
      <c r="B343" t="s">
        <v>307</v>
      </c>
      <c r="C343" t="s">
        <v>308</v>
      </c>
      <c r="D343" t="s">
        <v>20</v>
      </c>
      <c r="E343" t="s">
        <v>21</v>
      </c>
      <c r="F343" t="s">
        <v>863</v>
      </c>
      <c r="G343" t="s">
        <v>43</v>
      </c>
      <c r="H343" t="s">
        <v>86</v>
      </c>
      <c r="I343" s="29" t="s">
        <v>271</v>
      </c>
      <c r="J343" t="s">
        <v>63</v>
      </c>
      <c r="K343">
        <v>3</v>
      </c>
      <c r="L343">
        <v>471</v>
      </c>
      <c r="M343">
        <v>0.08</v>
      </c>
      <c r="N343" s="25">
        <v>1413</v>
      </c>
      <c r="O343">
        <v>914.14</v>
      </c>
      <c r="P343">
        <v>498.86</v>
      </c>
      <c r="Q343" s="19">
        <f>Tabuľka4[[#This Row],[Zisk]]/Tabuľka4[[#This Row],[Trzba]]</f>
        <v>0.35305024769992926</v>
      </c>
      <c r="R343">
        <v>2026</v>
      </c>
      <c r="S343" t="str">
        <f>TEXT(Tabuľka4[[#This Row],[Datum]],"MMMM")</f>
        <v>máj</v>
      </c>
    </row>
    <row r="344" spans="1:19" x14ac:dyDescent="0.3">
      <c r="A344" s="2">
        <v>45625</v>
      </c>
      <c r="B344" t="s">
        <v>279</v>
      </c>
      <c r="C344" t="s">
        <v>280</v>
      </c>
      <c r="D344" t="s">
        <v>20</v>
      </c>
      <c r="E344" t="s">
        <v>68</v>
      </c>
      <c r="F344" t="s">
        <v>863</v>
      </c>
      <c r="G344" t="s">
        <v>22</v>
      </c>
      <c r="H344" t="s">
        <v>86</v>
      </c>
      <c r="I344" s="29" t="s">
        <v>271</v>
      </c>
      <c r="J344" t="s">
        <v>51</v>
      </c>
      <c r="K344">
        <v>4</v>
      </c>
      <c r="L344">
        <v>350</v>
      </c>
      <c r="M344">
        <v>0.08</v>
      </c>
      <c r="N344" s="25">
        <v>1400</v>
      </c>
      <c r="O344">
        <v>848.09</v>
      </c>
      <c r="P344">
        <v>551.91</v>
      </c>
      <c r="Q344" s="19">
        <f>Tabuľka4[[#This Row],[Zisk]]/Tabuľka4[[#This Row],[Trzba]]</f>
        <v>0.39422142857142856</v>
      </c>
      <c r="R344">
        <v>2024</v>
      </c>
      <c r="S344" t="str">
        <f>TEXT(Tabuľka4[[#This Row],[Datum]],"MMMM")</f>
        <v>november</v>
      </c>
    </row>
    <row r="345" spans="1:19" x14ac:dyDescent="0.3">
      <c r="A345" s="2">
        <v>46056</v>
      </c>
      <c r="B345" t="s">
        <v>505</v>
      </c>
      <c r="C345" t="s">
        <v>32</v>
      </c>
      <c r="D345" t="s">
        <v>20</v>
      </c>
      <c r="E345" t="s">
        <v>50</v>
      </c>
      <c r="F345" t="s">
        <v>863</v>
      </c>
      <c r="G345" t="s">
        <v>43</v>
      </c>
      <c r="H345" t="s">
        <v>86</v>
      </c>
      <c r="I345" s="29" t="s">
        <v>483</v>
      </c>
      <c r="J345" t="s">
        <v>51</v>
      </c>
      <c r="K345">
        <v>2</v>
      </c>
      <c r="L345">
        <v>692</v>
      </c>
      <c r="M345">
        <v>0.13</v>
      </c>
      <c r="N345" s="25">
        <v>1384</v>
      </c>
      <c r="O345">
        <v>890.99</v>
      </c>
      <c r="P345">
        <v>493.01</v>
      </c>
      <c r="Q345" s="19">
        <f>Tabuľka4[[#This Row],[Zisk]]/Tabuľka4[[#This Row],[Trzba]]</f>
        <v>0.35622109826589593</v>
      </c>
      <c r="R345">
        <v>2026</v>
      </c>
      <c r="S345" t="str">
        <f>TEXT(Tabuľka4[[#This Row],[Datum]],"MMMM")</f>
        <v>február</v>
      </c>
    </row>
    <row r="346" spans="1:19" x14ac:dyDescent="0.3">
      <c r="A346" s="2">
        <v>46031</v>
      </c>
      <c r="B346" t="s">
        <v>199</v>
      </c>
      <c r="C346" t="s">
        <v>96</v>
      </c>
      <c r="D346" t="s">
        <v>49</v>
      </c>
      <c r="E346" t="s">
        <v>50</v>
      </c>
      <c r="F346" t="s">
        <v>863</v>
      </c>
      <c r="G346" t="s">
        <v>22</v>
      </c>
      <c r="H346" t="s">
        <v>188</v>
      </c>
      <c r="I346" s="29" t="s">
        <v>189</v>
      </c>
      <c r="J346" t="s">
        <v>51</v>
      </c>
      <c r="K346">
        <v>6</v>
      </c>
      <c r="L346">
        <v>230</v>
      </c>
      <c r="M346">
        <v>0.19</v>
      </c>
      <c r="N346" s="25">
        <v>1380</v>
      </c>
      <c r="O346">
        <v>813.89</v>
      </c>
      <c r="P346">
        <v>566.11</v>
      </c>
      <c r="Q346" s="19">
        <f>Tabuľka4[[#This Row],[Zisk]]/Tabuľka4[[#This Row],[Trzba]]</f>
        <v>0.41022463768115941</v>
      </c>
      <c r="R346">
        <v>2026</v>
      </c>
      <c r="S346" t="str">
        <f>TEXT(Tabuľka4[[#This Row],[Datum]],"MMMM")</f>
        <v>január</v>
      </c>
    </row>
    <row r="347" spans="1:19" x14ac:dyDescent="0.3">
      <c r="A347" s="2">
        <v>45506</v>
      </c>
      <c r="B347" t="s">
        <v>372</v>
      </c>
      <c r="C347" t="s">
        <v>373</v>
      </c>
      <c r="D347" t="s">
        <v>20</v>
      </c>
      <c r="E347" t="s">
        <v>50</v>
      </c>
      <c r="F347" t="s">
        <v>863</v>
      </c>
      <c r="G347" t="s">
        <v>43</v>
      </c>
      <c r="H347" t="s">
        <v>71</v>
      </c>
      <c r="I347" s="29" t="s">
        <v>367</v>
      </c>
      <c r="J347" t="s">
        <v>33</v>
      </c>
      <c r="K347">
        <v>1</v>
      </c>
      <c r="L347">
        <v>1341</v>
      </c>
      <c r="M347">
        <v>0.01</v>
      </c>
      <c r="N347" s="25">
        <v>1341</v>
      </c>
      <c r="O347">
        <v>1090.24</v>
      </c>
      <c r="P347">
        <v>250.76</v>
      </c>
      <c r="Q347" s="19">
        <f>Tabuľka4[[#This Row],[Zisk]]/Tabuľka4[[#This Row],[Trzba]]</f>
        <v>0.18699478001491424</v>
      </c>
      <c r="R347">
        <v>2024</v>
      </c>
      <c r="S347" t="str">
        <f>TEXT(Tabuľka4[[#This Row],[Datum]],"MMMM")</f>
        <v>august</v>
      </c>
    </row>
    <row r="348" spans="1:19" x14ac:dyDescent="0.3">
      <c r="A348" s="2">
        <v>45605</v>
      </c>
      <c r="B348" t="s">
        <v>319</v>
      </c>
      <c r="C348" t="s">
        <v>320</v>
      </c>
      <c r="D348" t="s">
        <v>20</v>
      </c>
      <c r="E348" t="s">
        <v>50</v>
      </c>
      <c r="F348" t="s">
        <v>863</v>
      </c>
      <c r="G348" t="s">
        <v>43</v>
      </c>
      <c r="H348" t="s">
        <v>86</v>
      </c>
      <c r="I348" s="29" t="s">
        <v>310</v>
      </c>
      <c r="J348" t="s">
        <v>33</v>
      </c>
      <c r="K348">
        <v>3</v>
      </c>
      <c r="L348">
        <v>441</v>
      </c>
      <c r="M348">
        <v>0.12</v>
      </c>
      <c r="N348" s="25">
        <v>1323</v>
      </c>
      <c r="O348">
        <v>842.25</v>
      </c>
      <c r="P348">
        <v>480.75</v>
      </c>
      <c r="Q348" s="19">
        <f>Tabuľka4[[#This Row],[Zisk]]/Tabuľka4[[#This Row],[Trzba]]</f>
        <v>0.36337868480725621</v>
      </c>
      <c r="R348">
        <v>2024</v>
      </c>
      <c r="S348" t="str">
        <f>TEXT(Tabuľka4[[#This Row],[Datum]],"MMMM")</f>
        <v>november</v>
      </c>
    </row>
    <row r="349" spans="1:19" x14ac:dyDescent="0.3">
      <c r="A349" s="2">
        <v>45445</v>
      </c>
      <c r="B349" t="s">
        <v>634</v>
      </c>
      <c r="C349" t="s">
        <v>124</v>
      </c>
      <c r="D349" t="s">
        <v>49</v>
      </c>
      <c r="E349" t="s">
        <v>0</v>
      </c>
      <c r="F349" t="s">
        <v>863</v>
      </c>
      <c r="G349" t="s">
        <v>43</v>
      </c>
      <c r="H349" t="s">
        <v>23</v>
      </c>
      <c r="I349" s="29" t="s">
        <v>632</v>
      </c>
      <c r="J349" t="s">
        <v>51</v>
      </c>
      <c r="K349">
        <v>6</v>
      </c>
      <c r="L349">
        <v>219</v>
      </c>
      <c r="M349">
        <v>0.22</v>
      </c>
      <c r="N349" s="25">
        <v>1314</v>
      </c>
      <c r="O349">
        <v>795.3</v>
      </c>
      <c r="P349">
        <v>518.70000000000005</v>
      </c>
      <c r="Q349" s="19">
        <f>Tabuľka4[[#This Row],[Zisk]]/Tabuľka4[[#This Row],[Trzba]]</f>
        <v>0.39474885844748864</v>
      </c>
      <c r="R349">
        <v>2024</v>
      </c>
      <c r="S349" t="str">
        <f>TEXT(Tabuľka4[[#This Row],[Datum]],"MMMM")</f>
        <v>jún</v>
      </c>
    </row>
    <row r="350" spans="1:19" x14ac:dyDescent="0.3">
      <c r="A350" s="2">
        <v>45674</v>
      </c>
      <c r="B350" t="s">
        <v>753</v>
      </c>
      <c r="C350" t="s">
        <v>754</v>
      </c>
      <c r="D350" t="s">
        <v>20</v>
      </c>
      <c r="E350" t="s">
        <v>68</v>
      </c>
      <c r="F350" t="s">
        <v>863</v>
      </c>
      <c r="G350" t="s">
        <v>22</v>
      </c>
      <c r="H350" t="s">
        <v>188</v>
      </c>
      <c r="I350" s="29" t="s">
        <v>738</v>
      </c>
      <c r="J350" t="s">
        <v>25</v>
      </c>
      <c r="K350">
        <v>3</v>
      </c>
      <c r="L350">
        <v>437</v>
      </c>
      <c r="M350">
        <v>0.22</v>
      </c>
      <c r="N350" s="25">
        <v>1311</v>
      </c>
      <c r="O350">
        <v>644.37</v>
      </c>
      <c r="P350">
        <v>666.63</v>
      </c>
      <c r="Q350" s="19">
        <f>Tabuľka4[[#This Row],[Zisk]]/Tabuľka4[[#This Row],[Trzba]]</f>
        <v>0.50848970251716252</v>
      </c>
      <c r="R350">
        <v>2025</v>
      </c>
      <c r="S350" t="str">
        <f>TEXT(Tabuľka4[[#This Row],[Datum]],"MMMM")</f>
        <v>január</v>
      </c>
    </row>
    <row r="351" spans="1:19" x14ac:dyDescent="0.3">
      <c r="A351" s="2">
        <v>46065</v>
      </c>
      <c r="B351" t="s">
        <v>443</v>
      </c>
      <c r="C351" t="s">
        <v>444</v>
      </c>
      <c r="D351" t="s">
        <v>20</v>
      </c>
      <c r="E351" t="s">
        <v>21</v>
      </c>
      <c r="F351" t="s">
        <v>863</v>
      </c>
      <c r="G351" t="s">
        <v>22</v>
      </c>
      <c r="H351" t="s">
        <v>188</v>
      </c>
      <c r="I351" s="29" t="s">
        <v>424</v>
      </c>
      <c r="J351" t="s">
        <v>88</v>
      </c>
      <c r="K351">
        <v>2</v>
      </c>
      <c r="L351">
        <v>653</v>
      </c>
      <c r="M351">
        <v>0.09</v>
      </c>
      <c r="N351" s="25">
        <v>1306</v>
      </c>
      <c r="O351">
        <v>784.38</v>
      </c>
      <c r="P351">
        <v>521.62</v>
      </c>
      <c r="Q351" s="19">
        <f>Tabuľka4[[#This Row],[Zisk]]/Tabuľka4[[#This Row],[Trzba]]</f>
        <v>0.39940275650842266</v>
      </c>
      <c r="R351">
        <v>2026</v>
      </c>
      <c r="S351" t="str">
        <f>TEXT(Tabuľka4[[#This Row],[Datum]],"MMMM")</f>
        <v>február</v>
      </c>
    </row>
    <row r="352" spans="1:19" x14ac:dyDescent="0.3">
      <c r="A352" s="2">
        <v>46164</v>
      </c>
      <c r="B352" t="s">
        <v>507</v>
      </c>
      <c r="C352" t="s">
        <v>508</v>
      </c>
      <c r="D352" t="s">
        <v>20</v>
      </c>
      <c r="E352" t="s">
        <v>68</v>
      </c>
      <c r="F352" t="s">
        <v>863</v>
      </c>
      <c r="G352" t="s">
        <v>22</v>
      </c>
      <c r="H352" t="s">
        <v>86</v>
      </c>
      <c r="I352" s="29" t="s">
        <v>483</v>
      </c>
      <c r="J352" t="s">
        <v>46</v>
      </c>
      <c r="K352">
        <v>2</v>
      </c>
      <c r="L352">
        <v>639</v>
      </c>
      <c r="M352">
        <v>0.05</v>
      </c>
      <c r="N352" s="25">
        <v>1278</v>
      </c>
      <c r="O352">
        <v>883.47</v>
      </c>
      <c r="P352">
        <v>394.53</v>
      </c>
      <c r="Q352" s="19">
        <f>Tabuľka4[[#This Row],[Zisk]]/Tabuľka4[[#This Row],[Trzba]]</f>
        <v>0.30870892018779339</v>
      </c>
      <c r="R352">
        <v>2026</v>
      </c>
      <c r="S352" t="str">
        <f>TEXT(Tabuľka4[[#This Row],[Datum]],"MMMM")</f>
        <v>máj</v>
      </c>
    </row>
    <row r="353" spans="1:19" x14ac:dyDescent="0.3">
      <c r="A353" s="2">
        <v>45659</v>
      </c>
      <c r="B353" t="s">
        <v>322</v>
      </c>
      <c r="C353" t="s">
        <v>70</v>
      </c>
      <c r="D353" t="s">
        <v>20</v>
      </c>
      <c r="E353" t="s">
        <v>21</v>
      </c>
      <c r="F353" t="s">
        <v>863</v>
      </c>
      <c r="G353" t="s">
        <v>43</v>
      </c>
      <c r="H353" t="s">
        <v>86</v>
      </c>
      <c r="I353" s="29" t="s">
        <v>310</v>
      </c>
      <c r="J353" t="s">
        <v>46</v>
      </c>
      <c r="K353">
        <v>2</v>
      </c>
      <c r="L353">
        <v>638</v>
      </c>
      <c r="M353">
        <v>0.08</v>
      </c>
      <c r="N353" s="25">
        <v>1276</v>
      </c>
      <c r="O353">
        <v>921.3</v>
      </c>
      <c r="P353">
        <v>354.70000000000005</v>
      </c>
      <c r="Q353" s="19">
        <f>Tabuľka4[[#This Row],[Zisk]]/Tabuľka4[[#This Row],[Trzba]]</f>
        <v>0.27797805642633233</v>
      </c>
      <c r="R353">
        <v>2025</v>
      </c>
      <c r="S353" t="str">
        <f>TEXT(Tabuľka4[[#This Row],[Datum]],"MMMM")</f>
        <v>január</v>
      </c>
    </row>
    <row r="354" spans="1:19" x14ac:dyDescent="0.3">
      <c r="A354" s="2">
        <v>46068</v>
      </c>
      <c r="B354" t="s">
        <v>395</v>
      </c>
      <c r="C354" t="s">
        <v>396</v>
      </c>
      <c r="D354" t="s">
        <v>20</v>
      </c>
      <c r="E354" t="s">
        <v>0</v>
      </c>
      <c r="F354" t="s">
        <v>863</v>
      </c>
      <c r="G354" t="s">
        <v>22</v>
      </c>
      <c r="H354" t="s">
        <v>71</v>
      </c>
      <c r="I354" s="29" t="s">
        <v>367</v>
      </c>
      <c r="J354" t="s">
        <v>25</v>
      </c>
      <c r="K354">
        <v>1</v>
      </c>
      <c r="L354">
        <v>1267</v>
      </c>
      <c r="M354">
        <v>0.11</v>
      </c>
      <c r="N354" s="25">
        <v>1267</v>
      </c>
      <c r="O354">
        <v>932.74</v>
      </c>
      <c r="P354">
        <v>334.26</v>
      </c>
      <c r="Q354" s="19">
        <f>Tabuľka4[[#This Row],[Zisk]]/Tabuľka4[[#This Row],[Trzba]]</f>
        <v>0.26382004735595893</v>
      </c>
      <c r="R354">
        <v>2026</v>
      </c>
      <c r="S354" t="str">
        <f>TEXT(Tabuľka4[[#This Row],[Datum]],"MMMM")</f>
        <v>február</v>
      </c>
    </row>
    <row r="355" spans="1:19" x14ac:dyDescent="0.3">
      <c r="A355" s="2">
        <v>45390</v>
      </c>
      <c r="B355" t="s">
        <v>631</v>
      </c>
      <c r="C355" t="s">
        <v>74</v>
      </c>
      <c r="D355" t="s">
        <v>49</v>
      </c>
      <c r="E355" t="s">
        <v>68</v>
      </c>
      <c r="F355" t="s">
        <v>863</v>
      </c>
      <c r="G355" t="s">
        <v>58</v>
      </c>
      <c r="H355" t="s">
        <v>23</v>
      </c>
      <c r="I355" s="29" t="s">
        <v>632</v>
      </c>
      <c r="J355" t="s">
        <v>33</v>
      </c>
      <c r="K355">
        <v>7</v>
      </c>
      <c r="L355">
        <v>180</v>
      </c>
      <c r="M355">
        <v>0.14000000000000001</v>
      </c>
      <c r="N355" s="25">
        <v>1260</v>
      </c>
      <c r="O355">
        <v>828.37</v>
      </c>
      <c r="P355">
        <v>431.63</v>
      </c>
      <c r="Q355" s="19">
        <f>Tabuľka4[[#This Row],[Zisk]]/Tabuľka4[[#This Row],[Trzba]]</f>
        <v>0.34256349206349207</v>
      </c>
      <c r="R355">
        <v>2024</v>
      </c>
      <c r="S355" t="str">
        <f>TEXT(Tabuľka4[[#This Row],[Datum]],"MMMM")</f>
        <v>apríl</v>
      </c>
    </row>
    <row r="356" spans="1:19" x14ac:dyDescent="0.3">
      <c r="A356" s="2">
        <v>45329</v>
      </c>
      <c r="B356" t="s">
        <v>737</v>
      </c>
      <c r="C356" t="s">
        <v>94</v>
      </c>
      <c r="D356" t="s">
        <v>20</v>
      </c>
      <c r="E356" t="s">
        <v>68</v>
      </c>
      <c r="F356" t="s">
        <v>863</v>
      </c>
      <c r="G356" t="s">
        <v>22</v>
      </c>
      <c r="H356" t="s">
        <v>188</v>
      </c>
      <c r="I356" s="29" t="s">
        <v>738</v>
      </c>
      <c r="J356" t="s">
        <v>51</v>
      </c>
      <c r="K356">
        <v>2</v>
      </c>
      <c r="L356">
        <v>608</v>
      </c>
      <c r="M356">
        <v>0.08</v>
      </c>
      <c r="N356" s="25">
        <v>1216</v>
      </c>
      <c r="O356">
        <v>678.06</v>
      </c>
      <c r="P356">
        <v>537.94000000000005</v>
      </c>
      <c r="Q356" s="19">
        <f>Tabuľka4[[#This Row],[Zisk]]/Tabuľka4[[#This Row],[Trzba]]</f>
        <v>0.44238486842105268</v>
      </c>
      <c r="R356">
        <v>2024</v>
      </c>
      <c r="S356" t="str">
        <f>TEXT(Tabuľka4[[#This Row],[Datum]],"MMMM")</f>
        <v>február</v>
      </c>
    </row>
    <row r="357" spans="1:19" x14ac:dyDescent="0.3">
      <c r="A357" s="2">
        <v>45747</v>
      </c>
      <c r="B357" t="s">
        <v>434</v>
      </c>
      <c r="C357" t="s">
        <v>113</v>
      </c>
      <c r="D357" t="s">
        <v>20</v>
      </c>
      <c r="E357" t="s">
        <v>0</v>
      </c>
      <c r="F357" t="s">
        <v>863</v>
      </c>
      <c r="G357" t="s">
        <v>22</v>
      </c>
      <c r="H357" t="s">
        <v>188</v>
      </c>
      <c r="I357" s="29" t="s">
        <v>424</v>
      </c>
      <c r="J357" t="s">
        <v>38</v>
      </c>
      <c r="K357">
        <v>2</v>
      </c>
      <c r="L357">
        <v>603</v>
      </c>
      <c r="M357">
        <v>0.05</v>
      </c>
      <c r="N357" s="25">
        <v>1206</v>
      </c>
      <c r="O357">
        <v>809.43</v>
      </c>
      <c r="P357">
        <v>396.57000000000005</v>
      </c>
      <c r="Q357" s="19">
        <f>Tabuľka4[[#This Row],[Zisk]]/Tabuľka4[[#This Row],[Trzba]]</f>
        <v>0.3288308457711443</v>
      </c>
      <c r="R357">
        <v>2025</v>
      </c>
      <c r="S357" t="str">
        <f>TEXT(Tabuľka4[[#This Row],[Datum]],"MMMM")</f>
        <v>marec</v>
      </c>
    </row>
    <row r="358" spans="1:19" x14ac:dyDescent="0.3">
      <c r="A358" s="2">
        <v>45610</v>
      </c>
      <c r="B358" t="s">
        <v>375</v>
      </c>
      <c r="C358" t="s">
        <v>376</v>
      </c>
      <c r="D358" t="s">
        <v>20</v>
      </c>
      <c r="E358" t="s">
        <v>0</v>
      </c>
      <c r="F358" t="s">
        <v>863</v>
      </c>
      <c r="G358" t="s">
        <v>22</v>
      </c>
      <c r="H358" t="s">
        <v>71</v>
      </c>
      <c r="I358" s="29" t="s">
        <v>367</v>
      </c>
      <c r="J358" t="s">
        <v>46</v>
      </c>
      <c r="K358">
        <v>1</v>
      </c>
      <c r="L358">
        <v>1201</v>
      </c>
      <c r="M358">
        <v>0.09</v>
      </c>
      <c r="N358" s="25">
        <v>1201</v>
      </c>
      <c r="O358">
        <v>830.29</v>
      </c>
      <c r="P358">
        <v>370.71000000000004</v>
      </c>
      <c r="Q358" s="19">
        <f>Tabuľka4[[#This Row],[Zisk]]/Tabuľka4[[#This Row],[Trzba]]</f>
        <v>0.30866777685262287</v>
      </c>
      <c r="R358">
        <v>2024</v>
      </c>
      <c r="S358" t="str">
        <f>TEXT(Tabuľka4[[#This Row],[Datum]],"MMMM")</f>
        <v>november</v>
      </c>
    </row>
    <row r="359" spans="1:19" x14ac:dyDescent="0.3">
      <c r="A359" s="2">
        <v>45408</v>
      </c>
      <c r="B359" t="s">
        <v>121</v>
      </c>
      <c r="C359" t="s">
        <v>122</v>
      </c>
      <c r="D359" t="s">
        <v>20</v>
      </c>
      <c r="E359" t="s">
        <v>21</v>
      </c>
      <c r="F359" t="s">
        <v>863</v>
      </c>
      <c r="G359" t="s">
        <v>58</v>
      </c>
      <c r="H359" t="s">
        <v>86</v>
      </c>
      <c r="I359" s="29" t="s">
        <v>120</v>
      </c>
      <c r="J359" t="s">
        <v>38</v>
      </c>
      <c r="K359">
        <v>1</v>
      </c>
      <c r="L359">
        <v>1194</v>
      </c>
      <c r="M359">
        <v>7.0000000000000007E-2</v>
      </c>
      <c r="N359" s="25">
        <v>1194</v>
      </c>
      <c r="O359">
        <v>934.68</v>
      </c>
      <c r="P359">
        <v>259.32000000000005</v>
      </c>
      <c r="Q359" s="19">
        <f>Tabuľka4[[#This Row],[Zisk]]/Tabuľka4[[#This Row],[Trzba]]</f>
        <v>0.21718592964824124</v>
      </c>
      <c r="R359">
        <v>2024</v>
      </c>
      <c r="S359" t="str">
        <f>TEXT(Tabuľka4[[#This Row],[Datum]],"MMMM")</f>
        <v>apríl</v>
      </c>
    </row>
    <row r="360" spans="1:19" x14ac:dyDescent="0.3">
      <c r="A360" s="2">
        <v>45889</v>
      </c>
      <c r="B360" t="s">
        <v>619</v>
      </c>
      <c r="C360" t="s">
        <v>96</v>
      </c>
      <c r="D360" t="s">
        <v>49</v>
      </c>
      <c r="E360" t="s">
        <v>21</v>
      </c>
      <c r="F360" t="s">
        <v>863</v>
      </c>
      <c r="G360" t="s">
        <v>58</v>
      </c>
      <c r="H360" t="s">
        <v>86</v>
      </c>
      <c r="I360" s="29" t="s">
        <v>604</v>
      </c>
      <c r="J360" t="s">
        <v>33</v>
      </c>
      <c r="K360">
        <v>12</v>
      </c>
      <c r="L360">
        <v>99</v>
      </c>
      <c r="M360">
        <v>0.02</v>
      </c>
      <c r="N360" s="25">
        <v>1188</v>
      </c>
      <c r="O360">
        <v>916.87</v>
      </c>
      <c r="P360">
        <v>271.13</v>
      </c>
      <c r="Q360" s="19">
        <f>Tabuľka4[[#This Row],[Zisk]]/Tabuľka4[[#This Row],[Trzba]]</f>
        <v>0.22822390572390572</v>
      </c>
      <c r="R360">
        <v>2025</v>
      </c>
      <c r="S360" t="str">
        <f>TEXT(Tabuľka4[[#This Row],[Datum]],"MMMM")</f>
        <v>august</v>
      </c>
    </row>
    <row r="361" spans="1:19" x14ac:dyDescent="0.3">
      <c r="A361" s="2">
        <v>45579</v>
      </c>
      <c r="B361" t="s">
        <v>231</v>
      </c>
      <c r="C361" t="s">
        <v>232</v>
      </c>
      <c r="D361" t="s">
        <v>20</v>
      </c>
      <c r="E361" t="s">
        <v>68</v>
      </c>
      <c r="F361" t="s">
        <v>863</v>
      </c>
      <c r="G361" t="s">
        <v>43</v>
      </c>
      <c r="H361" t="s">
        <v>71</v>
      </c>
      <c r="I361" s="29" t="s">
        <v>229</v>
      </c>
      <c r="J361" t="s">
        <v>25</v>
      </c>
      <c r="K361">
        <v>1</v>
      </c>
      <c r="L361">
        <v>1175</v>
      </c>
      <c r="M361">
        <v>7.0000000000000007E-2</v>
      </c>
      <c r="N361" s="25">
        <v>1175</v>
      </c>
      <c r="O361">
        <v>932.19</v>
      </c>
      <c r="P361">
        <v>242.80999999999995</v>
      </c>
      <c r="Q361" s="19">
        <f>Tabuľka4[[#This Row],[Zisk]]/Tabuľka4[[#This Row],[Trzba]]</f>
        <v>0.20664680851063824</v>
      </c>
      <c r="R361">
        <v>2024</v>
      </c>
      <c r="S361" t="str">
        <f>TEXT(Tabuľka4[[#This Row],[Datum]],"MMMM")</f>
        <v>október</v>
      </c>
    </row>
    <row r="362" spans="1:19" x14ac:dyDescent="0.3">
      <c r="A362" s="2">
        <v>46009</v>
      </c>
      <c r="B362" t="s">
        <v>704</v>
      </c>
      <c r="C362" t="s">
        <v>705</v>
      </c>
      <c r="D362" t="s">
        <v>20</v>
      </c>
      <c r="E362" t="s">
        <v>68</v>
      </c>
      <c r="F362" t="s">
        <v>863</v>
      </c>
      <c r="G362" t="s">
        <v>22</v>
      </c>
      <c r="H362" t="s">
        <v>188</v>
      </c>
      <c r="I362" s="29" t="s">
        <v>688</v>
      </c>
      <c r="J362" t="s">
        <v>51</v>
      </c>
      <c r="K362">
        <v>1</v>
      </c>
      <c r="L362">
        <v>1170</v>
      </c>
      <c r="M362">
        <v>0.25</v>
      </c>
      <c r="N362" s="25">
        <v>1170</v>
      </c>
      <c r="O362">
        <v>646.69000000000005</v>
      </c>
      <c r="P362">
        <v>523.30999999999995</v>
      </c>
      <c r="Q362" s="19">
        <f>Tabuľka4[[#This Row],[Zisk]]/Tabuľka4[[#This Row],[Trzba]]</f>
        <v>0.44727350427350421</v>
      </c>
      <c r="R362">
        <v>2025</v>
      </c>
      <c r="S362" t="str">
        <f>TEXT(Tabuľka4[[#This Row],[Datum]],"MMMM")</f>
        <v>december</v>
      </c>
    </row>
    <row r="363" spans="1:19" x14ac:dyDescent="0.3">
      <c r="A363" s="2">
        <v>45908</v>
      </c>
      <c r="B363" t="s">
        <v>648</v>
      </c>
      <c r="C363" t="s">
        <v>649</v>
      </c>
      <c r="D363" t="s">
        <v>20</v>
      </c>
      <c r="E363" t="s">
        <v>68</v>
      </c>
      <c r="F363" t="s">
        <v>863</v>
      </c>
      <c r="G363" t="s">
        <v>43</v>
      </c>
      <c r="H363" t="s">
        <v>23</v>
      </c>
      <c r="I363" s="29" t="s">
        <v>632</v>
      </c>
      <c r="J363" t="s">
        <v>25</v>
      </c>
      <c r="K363">
        <v>4</v>
      </c>
      <c r="L363">
        <v>289</v>
      </c>
      <c r="M363">
        <v>0.02</v>
      </c>
      <c r="N363" s="25">
        <v>1156</v>
      </c>
      <c r="O363">
        <v>753.43</v>
      </c>
      <c r="P363">
        <v>402.57000000000005</v>
      </c>
      <c r="Q363" s="19">
        <f>Tabuľka4[[#This Row],[Zisk]]/Tabuľka4[[#This Row],[Trzba]]</f>
        <v>0.34824394463667824</v>
      </c>
      <c r="R363">
        <v>2025</v>
      </c>
      <c r="S363" t="str">
        <f>TEXT(Tabuľka4[[#This Row],[Datum]],"MMMM")</f>
        <v>september</v>
      </c>
    </row>
    <row r="364" spans="1:19" x14ac:dyDescent="0.3">
      <c r="A364" s="2">
        <v>45994</v>
      </c>
      <c r="B364" t="s">
        <v>390</v>
      </c>
      <c r="C364" t="s">
        <v>391</v>
      </c>
      <c r="D364" t="s">
        <v>20</v>
      </c>
      <c r="E364" t="s">
        <v>0</v>
      </c>
      <c r="F364" t="s">
        <v>863</v>
      </c>
      <c r="G364" t="s">
        <v>43</v>
      </c>
      <c r="H364" t="s">
        <v>71</v>
      </c>
      <c r="I364" s="29" t="s">
        <v>367</v>
      </c>
      <c r="J364" t="s">
        <v>33</v>
      </c>
      <c r="K364">
        <v>1</v>
      </c>
      <c r="L364">
        <v>1146</v>
      </c>
      <c r="M364">
        <v>0.13</v>
      </c>
      <c r="N364" s="25">
        <v>1146</v>
      </c>
      <c r="O364">
        <v>783.66</v>
      </c>
      <c r="P364">
        <v>362.34000000000003</v>
      </c>
      <c r="Q364" s="19">
        <f>Tabuľka4[[#This Row],[Zisk]]/Tabuľka4[[#This Row],[Trzba]]</f>
        <v>0.3161780104712042</v>
      </c>
      <c r="R364">
        <v>2025</v>
      </c>
      <c r="S364" t="str">
        <f>TEXT(Tabuľka4[[#This Row],[Datum]],"MMMM")</f>
        <v>december</v>
      </c>
    </row>
    <row r="365" spans="1:19" x14ac:dyDescent="0.3">
      <c r="A365" s="2">
        <v>45593</v>
      </c>
      <c r="B365" t="s">
        <v>798</v>
      </c>
      <c r="C365" t="s">
        <v>243</v>
      </c>
      <c r="D365" t="s">
        <v>20</v>
      </c>
      <c r="E365" t="s">
        <v>0</v>
      </c>
      <c r="F365" t="s">
        <v>863</v>
      </c>
      <c r="G365" t="s">
        <v>22</v>
      </c>
      <c r="H365" t="s">
        <v>188</v>
      </c>
      <c r="I365" s="29" t="s">
        <v>791</v>
      </c>
      <c r="J365" t="s">
        <v>88</v>
      </c>
      <c r="K365">
        <v>1</v>
      </c>
      <c r="L365">
        <v>1145</v>
      </c>
      <c r="M365">
        <v>0.06</v>
      </c>
      <c r="N365" s="25">
        <v>1145</v>
      </c>
      <c r="O365">
        <v>709.2</v>
      </c>
      <c r="P365">
        <v>435.79999999999995</v>
      </c>
      <c r="Q365" s="19">
        <f>Tabuľka4[[#This Row],[Zisk]]/Tabuľka4[[#This Row],[Trzba]]</f>
        <v>0.38061135371179033</v>
      </c>
      <c r="R365">
        <v>2024</v>
      </c>
      <c r="S365" t="str">
        <f>TEXT(Tabuľka4[[#This Row],[Datum]],"MMMM")</f>
        <v>október</v>
      </c>
    </row>
    <row r="366" spans="1:19" x14ac:dyDescent="0.3">
      <c r="A366" s="2">
        <v>45449</v>
      </c>
      <c r="B366" t="s">
        <v>742</v>
      </c>
      <c r="C366" t="s">
        <v>743</v>
      </c>
      <c r="D366" t="s">
        <v>20</v>
      </c>
      <c r="E366" t="s">
        <v>0</v>
      </c>
      <c r="F366" t="s">
        <v>863</v>
      </c>
      <c r="G366" t="s">
        <v>43</v>
      </c>
      <c r="H366" t="s">
        <v>188</v>
      </c>
      <c r="I366" s="29" t="s">
        <v>738</v>
      </c>
      <c r="J366" t="s">
        <v>38</v>
      </c>
      <c r="K366">
        <v>2</v>
      </c>
      <c r="L366">
        <v>546</v>
      </c>
      <c r="M366">
        <v>0.12</v>
      </c>
      <c r="N366" s="25">
        <v>1092</v>
      </c>
      <c r="O366">
        <v>681.04</v>
      </c>
      <c r="P366">
        <v>410.96000000000004</v>
      </c>
      <c r="Q366" s="19">
        <f>Tabuľka4[[#This Row],[Zisk]]/Tabuľka4[[#This Row],[Trzba]]</f>
        <v>0.37633699633699635</v>
      </c>
      <c r="R366">
        <v>2024</v>
      </c>
      <c r="S366" t="str">
        <f>TEXT(Tabuľka4[[#This Row],[Datum]],"MMMM")</f>
        <v>jún</v>
      </c>
    </row>
    <row r="367" spans="1:19" x14ac:dyDescent="0.3">
      <c r="A367" s="2">
        <v>45997</v>
      </c>
      <c r="B367" t="s">
        <v>502</v>
      </c>
      <c r="C367" t="s">
        <v>503</v>
      </c>
      <c r="D367" t="s">
        <v>20</v>
      </c>
      <c r="E367" t="s">
        <v>0</v>
      </c>
      <c r="F367" t="s">
        <v>863</v>
      </c>
      <c r="G367" t="s">
        <v>22</v>
      </c>
      <c r="H367" t="s">
        <v>86</v>
      </c>
      <c r="I367" s="29" t="s">
        <v>483</v>
      </c>
      <c r="J367" t="s">
        <v>46</v>
      </c>
      <c r="K367">
        <v>1</v>
      </c>
      <c r="L367">
        <v>1078</v>
      </c>
      <c r="M367">
        <v>0.14000000000000001</v>
      </c>
      <c r="N367" s="25">
        <v>1078</v>
      </c>
      <c r="O367">
        <v>674.86</v>
      </c>
      <c r="P367">
        <v>403.14</v>
      </c>
      <c r="Q367" s="19">
        <f>Tabuľka4[[#This Row],[Zisk]]/Tabuľka4[[#This Row],[Trzba]]</f>
        <v>0.37397031539888681</v>
      </c>
      <c r="R367">
        <v>2025</v>
      </c>
      <c r="S367" t="str">
        <f>TEXT(Tabuľka4[[#This Row],[Datum]],"MMMM")</f>
        <v>december</v>
      </c>
    </row>
    <row r="368" spans="1:19" x14ac:dyDescent="0.3">
      <c r="A368" s="2">
        <v>45981</v>
      </c>
      <c r="B368" t="s">
        <v>651</v>
      </c>
      <c r="C368" t="s">
        <v>652</v>
      </c>
      <c r="D368" t="s">
        <v>20</v>
      </c>
      <c r="E368" t="s">
        <v>68</v>
      </c>
      <c r="F368" t="s">
        <v>863</v>
      </c>
      <c r="G368" t="s">
        <v>22</v>
      </c>
      <c r="H368" t="s">
        <v>23</v>
      </c>
      <c r="I368" s="29" t="s">
        <v>632</v>
      </c>
      <c r="J368" t="s">
        <v>38</v>
      </c>
      <c r="K368">
        <v>5</v>
      </c>
      <c r="L368">
        <v>215</v>
      </c>
      <c r="M368">
        <v>0</v>
      </c>
      <c r="N368" s="25">
        <v>1075</v>
      </c>
      <c r="O368">
        <v>587.26</v>
      </c>
      <c r="P368">
        <v>487.74</v>
      </c>
      <c r="Q368" s="19">
        <f>Tabuľka4[[#This Row],[Zisk]]/Tabuľka4[[#This Row],[Trzba]]</f>
        <v>0.45371162790697678</v>
      </c>
      <c r="R368">
        <v>2025</v>
      </c>
      <c r="S368" t="str">
        <f>TEXT(Tabuľka4[[#This Row],[Datum]],"MMMM")</f>
        <v>november</v>
      </c>
    </row>
    <row r="369" spans="1:19" x14ac:dyDescent="0.3">
      <c r="A369" s="2">
        <v>45372</v>
      </c>
      <c r="B369" t="s">
        <v>485</v>
      </c>
      <c r="C369" t="s">
        <v>486</v>
      </c>
      <c r="D369" t="s">
        <v>20</v>
      </c>
      <c r="E369" t="s">
        <v>21</v>
      </c>
      <c r="F369" t="s">
        <v>863</v>
      </c>
      <c r="G369" t="s">
        <v>22</v>
      </c>
      <c r="H369" t="s">
        <v>86</v>
      </c>
      <c r="I369" s="29" t="s">
        <v>483</v>
      </c>
      <c r="J369" t="s">
        <v>25</v>
      </c>
      <c r="K369">
        <v>1</v>
      </c>
      <c r="L369">
        <v>1058</v>
      </c>
      <c r="M369">
        <v>0</v>
      </c>
      <c r="N369" s="25">
        <v>1058</v>
      </c>
      <c r="O369">
        <v>692.58</v>
      </c>
      <c r="P369">
        <v>365.41999999999996</v>
      </c>
      <c r="Q369" s="19">
        <f>Tabuľka4[[#This Row],[Zisk]]/Tabuľka4[[#This Row],[Trzba]]</f>
        <v>0.34538752362948955</v>
      </c>
      <c r="R369">
        <v>2024</v>
      </c>
      <c r="S369" t="str">
        <f>TEXT(Tabuľka4[[#This Row],[Datum]],"MMMM")</f>
        <v>marec</v>
      </c>
    </row>
    <row r="370" spans="1:19" x14ac:dyDescent="0.3">
      <c r="A370" s="2">
        <v>45646</v>
      </c>
      <c r="B370" t="s">
        <v>751</v>
      </c>
      <c r="C370" t="s">
        <v>752</v>
      </c>
      <c r="D370" t="s">
        <v>20</v>
      </c>
      <c r="E370" t="s">
        <v>0</v>
      </c>
      <c r="F370" t="s">
        <v>863</v>
      </c>
      <c r="G370" t="s">
        <v>22</v>
      </c>
      <c r="H370" t="s">
        <v>188</v>
      </c>
      <c r="I370" s="29" t="s">
        <v>738</v>
      </c>
      <c r="J370" t="s">
        <v>88</v>
      </c>
      <c r="K370">
        <v>2</v>
      </c>
      <c r="L370">
        <v>524</v>
      </c>
      <c r="M370">
        <v>0.12</v>
      </c>
      <c r="N370" s="25">
        <v>1048</v>
      </c>
      <c r="O370">
        <v>701.23</v>
      </c>
      <c r="P370">
        <v>346.77</v>
      </c>
      <c r="Q370" s="19">
        <f>Tabuľka4[[#This Row],[Zisk]]/Tabuľka4[[#This Row],[Trzba]]</f>
        <v>0.33088740458015264</v>
      </c>
      <c r="R370">
        <v>2024</v>
      </c>
      <c r="S370" t="str">
        <f>TEXT(Tabuľka4[[#This Row],[Datum]],"MMMM")</f>
        <v>december</v>
      </c>
    </row>
    <row r="371" spans="1:19" x14ac:dyDescent="0.3">
      <c r="A371" s="2">
        <v>45568</v>
      </c>
      <c r="B371" t="s">
        <v>819</v>
      </c>
      <c r="C371" t="s">
        <v>516</v>
      </c>
      <c r="D371" t="s">
        <v>20</v>
      </c>
      <c r="E371" t="s">
        <v>0</v>
      </c>
      <c r="F371" t="s">
        <v>863</v>
      </c>
      <c r="G371" t="s">
        <v>22</v>
      </c>
      <c r="H371" t="s">
        <v>188</v>
      </c>
      <c r="I371" s="29" t="s">
        <v>815</v>
      </c>
      <c r="J371" t="s">
        <v>51</v>
      </c>
      <c r="K371">
        <v>2</v>
      </c>
      <c r="L371">
        <v>512</v>
      </c>
      <c r="M371">
        <v>0.01</v>
      </c>
      <c r="N371" s="25">
        <v>1024</v>
      </c>
      <c r="O371">
        <v>623.27</v>
      </c>
      <c r="P371">
        <v>400.73</v>
      </c>
      <c r="Q371" s="19">
        <f>Tabuľka4[[#This Row],[Zisk]]/Tabuľka4[[#This Row],[Trzba]]</f>
        <v>0.39133789062500002</v>
      </c>
      <c r="R371">
        <v>2024</v>
      </c>
      <c r="S371" t="str">
        <f>TEXT(Tabuľka4[[#This Row],[Datum]],"MMMM")</f>
        <v>október</v>
      </c>
    </row>
    <row r="372" spans="1:19" x14ac:dyDescent="0.3">
      <c r="A372" s="2">
        <v>45740</v>
      </c>
      <c r="B372" t="s">
        <v>757</v>
      </c>
      <c r="C372" t="s">
        <v>204</v>
      </c>
      <c r="D372" t="s">
        <v>20</v>
      </c>
      <c r="E372" t="s">
        <v>21</v>
      </c>
      <c r="F372" t="s">
        <v>863</v>
      </c>
      <c r="G372" t="s">
        <v>22</v>
      </c>
      <c r="H372" t="s">
        <v>188</v>
      </c>
      <c r="I372" s="29" t="s">
        <v>738</v>
      </c>
      <c r="J372" t="s">
        <v>25</v>
      </c>
      <c r="K372">
        <v>2</v>
      </c>
      <c r="L372">
        <v>503</v>
      </c>
      <c r="M372">
        <v>0.05</v>
      </c>
      <c r="N372" s="25">
        <v>1006</v>
      </c>
      <c r="O372">
        <v>686.17</v>
      </c>
      <c r="P372">
        <v>319.83000000000004</v>
      </c>
      <c r="Q372" s="19">
        <f>Tabuľka4[[#This Row],[Zisk]]/Tabuľka4[[#This Row],[Trzba]]</f>
        <v>0.31792246520874756</v>
      </c>
      <c r="R372">
        <v>2025</v>
      </c>
      <c r="S372" t="str">
        <f>TEXT(Tabuľka4[[#This Row],[Datum]],"MMMM")</f>
        <v>marec</v>
      </c>
    </row>
    <row r="373" spans="1:19" x14ac:dyDescent="0.3">
      <c r="A373" s="2">
        <v>45704</v>
      </c>
      <c r="B373" t="s">
        <v>755</v>
      </c>
      <c r="C373" t="s">
        <v>756</v>
      </c>
      <c r="D373" t="s">
        <v>20</v>
      </c>
      <c r="E373" t="s">
        <v>68</v>
      </c>
      <c r="F373" t="s">
        <v>863</v>
      </c>
      <c r="G373" t="s">
        <v>43</v>
      </c>
      <c r="H373" t="s">
        <v>188</v>
      </c>
      <c r="I373" s="29" t="s">
        <v>738</v>
      </c>
      <c r="J373" t="s">
        <v>25</v>
      </c>
      <c r="K373">
        <v>2</v>
      </c>
      <c r="L373">
        <v>499</v>
      </c>
      <c r="M373">
        <v>0</v>
      </c>
      <c r="N373" s="25">
        <v>998</v>
      </c>
      <c r="O373">
        <v>710.57</v>
      </c>
      <c r="P373">
        <v>287.42999999999995</v>
      </c>
      <c r="Q373" s="19">
        <f>Tabuľka4[[#This Row],[Zisk]]/Tabuľka4[[#This Row],[Trzba]]</f>
        <v>0.28800601202404802</v>
      </c>
      <c r="R373">
        <v>2025</v>
      </c>
      <c r="S373" t="str">
        <f>TEXT(Tabuľka4[[#This Row],[Datum]],"MMMM")</f>
        <v>február</v>
      </c>
    </row>
    <row r="374" spans="1:19" x14ac:dyDescent="0.3">
      <c r="A374" s="2">
        <v>45714</v>
      </c>
      <c r="B374" t="s">
        <v>597</v>
      </c>
      <c r="C374" t="s">
        <v>598</v>
      </c>
      <c r="D374" t="s">
        <v>20</v>
      </c>
      <c r="E374" t="s">
        <v>21</v>
      </c>
      <c r="F374" t="s">
        <v>863</v>
      </c>
      <c r="G374" t="s">
        <v>58</v>
      </c>
      <c r="H374" t="s">
        <v>86</v>
      </c>
      <c r="I374" s="29" t="s">
        <v>586</v>
      </c>
      <c r="J374" t="s">
        <v>46</v>
      </c>
      <c r="K374">
        <v>1</v>
      </c>
      <c r="L374">
        <v>987</v>
      </c>
      <c r="M374">
        <v>0.11</v>
      </c>
      <c r="N374" s="25">
        <v>987</v>
      </c>
      <c r="O374">
        <v>701.87</v>
      </c>
      <c r="P374">
        <v>285.13</v>
      </c>
      <c r="Q374" s="19">
        <f>Tabuľka4[[#This Row],[Zisk]]/Tabuľka4[[#This Row],[Trzba]]</f>
        <v>0.28888551165146908</v>
      </c>
      <c r="R374">
        <v>2025</v>
      </c>
      <c r="S374" t="str">
        <f>TEXT(Tabuľka4[[#This Row],[Datum]],"MMMM")</f>
        <v>február</v>
      </c>
    </row>
    <row r="375" spans="1:19" x14ac:dyDescent="0.3">
      <c r="A375" s="2">
        <v>45810</v>
      </c>
      <c r="B375" t="s">
        <v>760</v>
      </c>
      <c r="C375" t="s">
        <v>761</v>
      </c>
      <c r="D375" t="s">
        <v>20</v>
      </c>
      <c r="E375" t="s">
        <v>0</v>
      </c>
      <c r="F375" t="s">
        <v>863</v>
      </c>
      <c r="G375" t="s">
        <v>43</v>
      </c>
      <c r="H375" t="s">
        <v>188</v>
      </c>
      <c r="I375" s="29" t="s">
        <v>738</v>
      </c>
      <c r="J375" t="s">
        <v>38</v>
      </c>
      <c r="K375">
        <v>2</v>
      </c>
      <c r="L375">
        <v>493</v>
      </c>
      <c r="M375">
        <v>0.03</v>
      </c>
      <c r="N375" s="25">
        <v>986</v>
      </c>
      <c r="O375">
        <v>620.51</v>
      </c>
      <c r="P375">
        <v>365.49</v>
      </c>
      <c r="Q375" s="19">
        <f>Tabuľka4[[#This Row],[Zisk]]/Tabuľka4[[#This Row],[Trzba]]</f>
        <v>0.3706795131845842</v>
      </c>
      <c r="R375">
        <v>2025</v>
      </c>
      <c r="S375" t="str">
        <f>TEXT(Tabuľka4[[#This Row],[Datum]],"MMMM")</f>
        <v>jún</v>
      </c>
    </row>
    <row r="376" spans="1:19" x14ac:dyDescent="0.3">
      <c r="A376" s="2">
        <v>45829</v>
      </c>
      <c r="B376" t="s">
        <v>288</v>
      </c>
      <c r="C376" t="s">
        <v>167</v>
      </c>
      <c r="D376" t="s">
        <v>20</v>
      </c>
      <c r="E376" t="s">
        <v>21</v>
      </c>
      <c r="F376" t="s">
        <v>863</v>
      </c>
      <c r="G376" t="s">
        <v>43</v>
      </c>
      <c r="H376" t="s">
        <v>86</v>
      </c>
      <c r="I376" s="29" t="s">
        <v>271</v>
      </c>
      <c r="J376" t="s">
        <v>51</v>
      </c>
      <c r="K376">
        <v>3</v>
      </c>
      <c r="L376">
        <v>328</v>
      </c>
      <c r="M376">
        <v>0.13</v>
      </c>
      <c r="N376" s="25">
        <v>984</v>
      </c>
      <c r="O376">
        <v>641.27</v>
      </c>
      <c r="P376">
        <v>342.73</v>
      </c>
      <c r="Q376" s="19">
        <f>Tabuľka4[[#This Row],[Zisk]]/Tabuľka4[[#This Row],[Trzba]]</f>
        <v>0.34830284552845531</v>
      </c>
      <c r="R376">
        <v>2025</v>
      </c>
      <c r="S376" t="str">
        <f>TEXT(Tabuľka4[[#This Row],[Datum]],"MMMM")</f>
        <v>jún</v>
      </c>
    </row>
    <row r="377" spans="1:19" x14ac:dyDescent="0.3">
      <c r="A377" s="2">
        <v>45353</v>
      </c>
      <c r="B377" t="s">
        <v>739</v>
      </c>
      <c r="C377" t="s">
        <v>740</v>
      </c>
      <c r="D377" t="s">
        <v>20</v>
      </c>
      <c r="E377" t="s">
        <v>68</v>
      </c>
      <c r="F377" t="s">
        <v>863</v>
      </c>
      <c r="G377" t="s">
        <v>22</v>
      </c>
      <c r="H377" t="s">
        <v>188</v>
      </c>
      <c r="I377" s="29" t="s">
        <v>738</v>
      </c>
      <c r="J377" t="s">
        <v>46</v>
      </c>
      <c r="K377">
        <v>2</v>
      </c>
      <c r="L377">
        <v>480</v>
      </c>
      <c r="M377">
        <v>0.1</v>
      </c>
      <c r="N377" s="25">
        <v>960</v>
      </c>
      <c r="O377">
        <v>701.87</v>
      </c>
      <c r="P377">
        <v>258.13</v>
      </c>
      <c r="Q377" s="19">
        <f>Tabuľka4[[#This Row],[Zisk]]/Tabuľka4[[#This Row],[Trzba]]</f>
        <v>0.26888541666666665</v>
      </c>
      <c r="R377">
        <v>2024</v>
      </c>
      <c r="S377" t="str">
        <f>TEXT(Tabuľka4[[#This Row],[Datum]],"MMMM")</f>
        <v>marec</v>
      </c>
    </row>
    <row r="378" spans="1:19" x14ac:dyDescent="0.3">
      <c r="A378" s="2">
        <v>46003</v>
      </c>
      <c r="B378" t="s">
        <v>702</v>
      </c>
      <c r="C378" t="s">
        <v>703</v>
      </c>
      <c r="D378" t="s">
        <v>20</v>
      </c>
      <c r="E378" t="s">
        <v>0</v>
      </c>
      <c r="F378" t="s">
        <v>863</v>
      </c>
      <c r="G378" t="s">
        <v>43</v>
      </c>
      <c r="H378" t="s">
        <v>188</v>
      </c>
      <c r="I378" s="29" t="s">
        <v>688</v>
      </c>
      <c r="J378" t="s">
        <v>46</v>
      </c>
      <c r="K378">
        <v>1</v>
      </c>
      <c r="L378">
        <v>944</v>
      </c>
      <c r="M378">
        <v>0.11</v>
      </c>
      <c r="N378" s="25">
        <v>944</v>
      </c>
      <c r="O378">
        <v>531.38</v>
      </c>
      <c r="P378">
        <v>412.62</v>
      </c>
      <c r="Q378" s="19">
        <f>Tabuľka4[[#This Row],[Zisk]]/Tabuľka4[[#This Row],[Trzba]]</f>
        <v>0.43709745762711866</v>
      </c>
      <c r="R378">
        <v>2025</v>
      </c>
      <c r="S378" t="str">
        <f>TEXT(Tabuľka4[[#This Row],[Datum]],"MMMM")</f>
        <v>december</v>
      </c>
    </row>
    <row r="379" spans="1:19" x14ac:dyDescent="0.3">
      <c r="A379" s="2">
        <v>45533</v>
      </c>
      <c r="B379" t="s">
        <v>429</v>
      </c>
      <c r="C379" t="s">
        <v>430</v>
      </c>
      <c r="D379" t="s">
        <v>20</v>
      </c>
      <c r="E379" t="s">
        <v>0</v>
      </c>
      <c r="F379" t="s">
        <v>863</v>
      </c>
      <c r="G379" t="s">
        <v>22</v>
      </c>
      <c r="H379" t="s">
        <v>188</v>
      </c>
      <c r="I379" s="29" t="s">
        <v>424</v>
      </c>
      <c r="J379" t="s">
        <v>46</v>
      </c>
      <c r="K379">
        <v>2</v>
      </c>
      <c r="L379">
        <v>458</v>
      </c>
      <c r="M379">
        <v>7.0000000000000007E-2</v>
      </c>
      <c r="N379" s="25">
        <v>916</v>
      </c>
      <c r="O379">
        <v>689.91</v>
      </c>
      <c r="P379">
        <v>226.09000000000003</v>
      </c>
      <c r="Q379" s="19">
        <f>Tabuľka4[[#This Row],[Zisk]]/Tabuľka4[[#This Row],[Trzba]]</f>
        <v>0.24682314410480352</v>
      </c>
      <c r="R379">
        <v>2024</v>
      </c>
      <c r="S379" t="str">
        <f>TEXT(Tabuľka4[[#This Row],[Datum]],"MMMM")</f>
        <v>august</v>
      </c>
    </row>
    <row r="380" spans="1:19" x14ac:dyDescent="0.3">
      <c r="A380" s="2">
        <v>45617</v>
      </c>
      <c r="B380" t="s">
        <v>800</v>
      </c>
      <c r="C380" t="s">
        <v>721</v>
      </c>
      <c r="D380" t="s">
        <v>20</v>
      </c>
      <c r="E380" t="s">
        <v>21</v>
      </c>
      <c r="F380" t="s">
        <v>863</v>
      </c>
      <c r="G380" t="s">
        <v>43</v>
      </c>
      <c r="H380" t="s">
        <v>188</v>
      </c>
      <c r="I380" s="29" t="s">
        <v>791</v>
      </c>
      <c r="J380" t="s">
        <v>46</v>
      </c>
      <c r="K380">
        <v>1</v>
      </c>
      <c r="L380">
        <v>903</v>
      </c>
      <c r="M380">
        <v>0.23</v>
      </c>
      <c r="N380" s="25">
        <v>903</v>
      </c>
      <c r="O380">
        <v>609</v>
      </c>
      <c r="P380">
        <v>294</v>
      </c>
      <c r="Q380" s="19">
        <f>Tabuľka4[[#This Row],[Zisk]]/Tabuľka4[[#This Row],[Trzba]]</f>
        <v>0.32558139534883723</v>
      </c>
      <c r="R380">
        <v>2024</v>
      </c>
      <c r="S380" t="str">
        <f>TEXT(Tabuľka4[[#This Row],[Datum]],"MMMM")</f>
        <v>november</v>
      </c>
    </row>
    <row r="381" spans="1:19" x14ac:dyDescent="0.3">
      <c r="A381" s="2">
        <v>45571</v>
      </c>
      <c r="B381" t="s">
        <v>475</v>
      </c>
      <c r="C381" t="s">
        <v>124</v>
      </c>
      <c r="D381" t="s">
        <v>49</v>
      </c>
      <c r="E381" t="s">
        <v>21</v>
      </c>
      <c r="F381" t="s">
        <v>863</v>
      </c>
      <c r="G381" t="s">
        <v>43</v>
      </c>
      <c r="H381" t="s">
        <v>23</v>
      </c>
      <c r="I381" s="29" t="s">
        <v>469</v>
      </c>
      <c r="J381" t="s">
        <v>33</v>
      </c>
      <c r="K381">
        <v>9</v>
      </c>
      <c r="L381">
        <v>100</v>
      </c>
      <c r="M381">
        <v>0.1</v>
      </c>
      <c r="N381" s="25">
        <v>900</v>
      </c>
      <c r="O381">
        <v>536.08000000000004</v>
      </c>
      <c r="P381">
        <v>363.91999999999996</v>
      </c>
      <c r="Q381" s="19">
        <f>Tabuľka4[[#This Row],[Zisk]]/Tabuľka4[[#This Row],[Trzba]]</f>
        <v>0.40435555555555552</v>
      </c>
      <c r="R381">
        <v>2024</v>
      </c>
      <c r="S381" t="str">
        <f>TEXT(Tabuľka4[[#This Row],[Datum]],"MMMM")</f>
        <v>október</v>
      </c>
    </row>
    <row r="382" spans="1:19" x14ac:dyDescent="0.3">
      <c r="A382" s="2">
        <v>45637</v>
      </c>
      <c r="B382" t="s">
        <v>129</v>
      </c>
      <c r="C382" t="s">
        <v>130</v>
      </c>
      <c r="D382" t="s">
        <v>20</v>
      </c>
      <c r="E382" t="s">
        <v>21</v>
      </c>
      <c r="F382" t="s">
        <v>863</v>
      </c>
      <c r="G382" t="s">
        <v>43</v>
      </c>
      <c r="H382" t="s">
        <v>86</v>
      </c>
      <c r="I382" s="29" t="s">
        <v>120</v>
      </c>
      <c r="J382" t="s">
        <v>30</v>
      </c>
      <c r="K382">
        <v>1</v>
      </c>
      <c r="L382">
        <v>884</v>
      </c>
      <c r="M382">
        <v>0.1</v>
      </c>
      <c r="N382" s="25">
        <v>884</v>
      </c>
      <c r="O382">
        <v>692.31</v>
      </c>
      <c r="P382">
        <v>191.69000000000005</v>
      </c>
      <c r="Q382" s="19">
        <f>Tabuľka4[[#This Row],[Zisk]]/Tabuľka4[[#This Row],[Trzba]]</f>
        <v>0.21684389140271498</v>
      </c>
      <c r="R382">
        <v>2024</v>
      </c>
      <c r="S382" t="str">
        <f>TEXT(Tabuľka4[[#This Row],[Datum]],"MMMM")</f>
        <v>december</v>
      </c>
    </row>
    <row r="383" spans="1:19" x14ac:dyDescent="0.3">
      <c r="A383" s="2">
        <v>45466</v>
      </c>
      <c r="B383" t="s">
        <v>664</v>
      </c>
      <c r="C383" t="s">
        <v>210</v>
      </c>
      <c r="D383" t="s">
        <v>20</v>
      </c>
      <c r="E383" t="s">
        <v>0</v>
      </c>
      <c r="F383" t="s">
        <v>863</v>
      </c>
      <c r="G383" t="s">
        <v>22</v>
      </c>
      <c r="H383" t="s">
        <v>188</v>
      </c>
      <c r="I383" s="29" t="s">
        <v>663</v>
      </c>
      <c r="J383" t="s">
        <v>88</v>
      </c>
      <c r="K383">
        <v>3</v>
      </c>
      <c r="L383">
        <v>291</v>
      </c>
      <c r="M383">
        <v>0.1</v>
      </c>
      <c r="N383" s="25">
        <v>873</v>
      </c>
      <c r="O383">
        <v>510.45</v>
      </c>
      <c r="P383">
        <v>362.55</v>
      </c>
      <c r="Q383" s="19">
        <f>Tabuľka4[[#This Row],[Zisk]]/Tabuľka4[[#This Row],[Trzba]]</f>
        <v>0.41529209621993129</v>
      </c>
      <c r="R383">
        <v>2024</v>
      </c>
      <c r="S383" t="str">
        <f>TEXT(Tabuľka4[[#This Row],[Datum]],"MMMM")</f>
        <v>jún</v>
      </c>
    </row>
    <row r="384" spans="1:19" x14ac:dyDescent="0.3">
      <c r="A384" s="2">
        <v>46156</v>
      </c>
      <c r="B384" t="s">
        <v>658</v>
      </c>
      <c r="C384" t="s">
        <v>48</v>
      </c>
      <c r="D384" t="s">
        <v>49</v>
      </c>
      <c r="E384" t="s">
        <v>0</v>
      </c>
      <c r="F384" t="s">
        <v>863</v>
      </c>
      <c r="G384" t="s">
        <v>22</v>
      </c>
      <c r="H384" t="s">
        <v>23</v>
      </c>
      <c r="I384" s="29" t="s">
        <v>632</v>
      </c>
      <c r="J384" t="s">
        <v>63</v>
      </c>
      <c r="K384">
        <v>6</v>
      </c>
      <c r="L384">
        <v>145</v>
      </c>
      <c r="M384">
        <v>0.14000000000000001</v>
      </c>
      <c r="N384" s="25">
        <v>870</v>
      </c>
      <c r="O384">
        <v>573.34</v>
      </c>
      <c r="P384">
        <v>296.65999999999997</v>
      </c>
      <c r="Q384" s="19">
        <f>Tabuľka4[[#This Row],[Zisk]]/Tabuľka4[[#This Row],[Trzba]]</f>
        <v>0.34098850574712641</v>
      </c>
      <c r="R384">
        <v>2026</v>
      </c>
      <c r="S384" t="str">
        <f>TEXT(Tabuľka4[[#This Row],[Datum]],"MMMM")</f>
        <v>máj</v>
      </c>
    </row>
    <row r="385" spans="1:19" x14ac:dyDescent="0.3">
      <c r="A385" s="2">
        <v>46113</v>
      </c>
      <c r="B385" t="s">
        <v>826</v>
      </c>
      <c r="C385" t="s">
        <v>138</v>
      </c>
      <c r="D385" t="s">
        <v>20</v>
      </c>
      <c r="E385" t="s">
        <v>0</v>
      </c>
      <c r="F385" t="s">
        <v>863</v>
      </c>
      <c r="G385" t="s">
        <v>22</v>
      </c>
      <c r="H385" t="s">
        <v>188</v>
      </c>
      <c r="I385" s="29" t="s">
        <v>815</v>
      </c>
      <c r="J385" t="s">
        <v>30</v>
      </c>
      <c r="K385">
        <v>2</v>
      </c>
      <c r="L385">
        <v>433</v>
      </c>
      <c r="M385">
        <v>0</v>
      </c>
      <c r="N385" s="25">
        <v>866</v>
      </c>
      <c r="O385">
        <v>532.80999999999995</v>
      </c>
      <c r="P385">
        <v>333.19000000000005</v>
      </c>
      <c r="Q385" s="19">
        <f>Tabuľka4[[#This Row],[Zisk]]/Tabuľka4[[#This Row],[Trzba]]</f>
        <v>0.38474595842956127</v>
      </c>
      <c r="R385">
        <v>2026</v>
      </c>
      <c r="S385" t="str">
        <f>TEXT(Tabuľka4[[#This Row],[Datum]],"MMMM")</f>
        <v>apríl</v>
      </c>
    </row>
    <row r="386" spans="1:19" x14ac:dyDescent="0.3">
      <c r="A386" s="2">
        <v>45997</v>
      </c>
      <c r="B386" t="s">
        <v>825</v>
      </c>
      <c r="C386" t="s">
        <v>167</v>
      </c>
      <c r="D386" t="s">
        <v>20</v>
      </c>
      <c r="E386" t="s">
        <v>21</v>
      </c>
      <c r="F386" t="s">
        <v>863</v>
      </c>
      <c r="G386" t="s">
        <v>43</v>
      </c>
      <c r="H386" t="s">
        <v>188</v>
      </c>
      <c r="I386" s="29" t="s">
        <v>815</v>
      </c>
      <c r="J386" t="s">
        <v>25</v>
      </c>
      <c r="K386">
        <v>3</v>
      </c>
      <c r="L386">
        <v>288</v>
      </c>
      <c r="M386">
        <v>0.08</v>
      </c>
      <c r="N386" s="25">
        <v>864</v>
      </c>
      <c r="O386">
        <v>534.32000000000005</v>
      </c>
      <c r="P386">
        <v>329.67999999999995</v>
      </c>
      <c r="Q386" s="19">
        <f>Tabuľka4[[#This Row],[Zisk]]/Tabuľka4[[#This Row],[Trzba]]</f>
        <v>0.38157407407407401</v>
      </c>
      <c r="R386">
        <v>2025</v>
      </c>
      <c r="S386" t="str">
        <f>TEXT(Tabuľka4[[#This Row],[Datum]],"MMMM")</f>
        <v>december</v>
      </c>
    </row>
    <row r="387" spans="1:19" x14ac:dyDescent="0.3">
      <c r="A387" s="2">
        <v>45380</v>
      </c>
      <c r="B387" t="s">
        <v>816</v>
      </c>
      <c r="C387" t="s">
        <v>817</v>
      </c>
      <c r="D387" t="s">
        <v>20</v>
      </c>
      <c r="E387" t="s">
        <v>68</v>
      </c>
      <c r="F387" t="s">
        <v>863</v>
      </c>
      <c r="G387" t="s">
        <v>22</v>
      </c>
      <c r="H387" t="s">
        <v>188</v>
      </c>
      <c r="I387" s="29" t="s">
        <v>815</v>
      </c>
      <c r="J387" t="s">
        <v>33</v>
      </c>
      <c r="K387">
        <v>3</v>
      </c>
      <c r="L387">
        <v>287</v>
      </c>
      <c r="M387">
        <v>0.08</v>
      </c>
      <c r="N387" s="25">
        <v>861</v>
      </c>
      <c r="O387">
        <v>536.47</v>
      </c>
      <c r="P387">
        <v>324.52999999999997</v>
      </c>
      <c r="Q387" s="19">
        <f>Tabuľka4[[#This Row],[Zisk]]/Tabuľka4[[#This Row],[Trzba]]</f>
        <v>0.3769221835075493</v>
      </c>
      <c r="R387">
        <v>2024</v>
      </c>
      <c r="S387" t="str">
        <f>TEXT(Tabuľka4[[#This Row],[Datum]],"MMMM")</f>
        <v>marec</v>
      </c>
    </row>
    <row r="388" spans="1:19" x14ac:dyDescent="0.3">
      <c r="A388" s="2">
        <v>45496</v>
      </c>
      <c r="B388" t="s">
        <v>667</v>
      </c>
      <c r="C388" t="s">
        <v>371</v>
      </c>
      <c r="D388" t="s">
        <v>20</v>
      </c>
      <c r="E388" t="s">
        <v>68</v>
      </c>
      <c r="F388" t="s">
        <v>863</v>
      </c>
      <c r="G388" t="s">
        <v>22</v>
      </c>
      <c r="H388" t="s">
        <v>188</v>
      </c>
      <c r="I388" s="29" t="s">
        <v>663</v>
      </c>
      <c r="J388" t="s">
        <v>25</v>
      </c>
      <c r="K388">
        <v>2</v>
      </c>
      <c r="L388">
        <v>424</v>
      </c>
      <c r="M388">
        <v>0</v>
      </c>
      <c r="N388" s="25">
        <v>848</v>
      </c>
      <c r="O388">
        <v>550.76</v>
      </c>
      <c r="P388">
        <v>297.24</v>
      </c>
      <c r="Q388" s="19">
        <f>Tabuľka4[[#This Row],[Zisk]]/Tabuľka4[[#This Row],[Trzba]]</f>
        <v>0.3505188679245283</v>
      </c>
      <c r="R388">
        <v>2024</v>
      </c>
      <c r="S388" t="str">
        <f>TEXT(Tabuľka4[[#This Row],[Datum]],"MMMM")</f>
        <v>júl</v>
      </c>
    </row>
    <row r="389" spans="1:19" x14ac:dyDescent="0.3">
      <c r="A389" s="2">
        <v>45741</v>
      </c>
      <c r="B389" t="s">
        <v>542</v>
      </c>
      <c r="C389" t="s">
        <v>543</v>
      </c>
      <c r="D389" t="s">
        <v>20</v>
      </c>
      <c r="E389" t="s">
        <v>68</v>
      </c>
      <c r="F389" t="s">
        <v>863</v>
      </c>
      <c r="G389" t="s">
        <v>22</v>
      </c>
      <c r="H389" t="s">
        <v>71</v>
      </c>
      <c r="I389" s="29" t="s">
        <v>537</v>
      </c>
      <c r="J389" t="s">
        <v>46</v>
      </c>
      <c r="K389">
        <v>2</v>
      </c>
      <c r="L389">
        <v>420</v>
      </c>
      <c r="M389">
        <v>0.1</v>
      </c>
      <c r="N389" s="25">
        <v>840</v>
      </c>
      <c r="O389">
        <v>565.55999999999995</v>
      </c>
      <c r="P389">
        <v>274.44000000000005</v>
      </c>
      <c r="Q389" s="19">
        <f>Tabuľka4[[#This Row],[Zisk]]/Tabuľka4[[#This Row],[Trzba]]</f>
        <v>0.32671428571428579</v>
      </c>
      <c r="R389">
        <v>2025</v>
      </c>
      <c r="S389" t="str">
        <f>TEXT(Tabuľka4[[#This Row],[Datum]],"MMMM")</f>
        <v>marec</v>
      </c>
    </row>
    <row r="390" spans="1:19" x14ac:dyDescent="0.3">
      <c r="A390" s="2">
        <v>45811</v>
      </c>
      <c r="B390" t="s">
        <v>325</v>
      </c>
      <c r="C390" t="s">
        <v>326</v>
      </c>
      <c r="D390" t="s">
        <v>20</v>
      </c>
      <c r="E390" t="s">
        <v>0</v>
      </c>
      <c r="F390" t="s">
        <v>863</v>
      </c>
      <c r="G390" t="s">
        <v>22</v>
      </c>
      <c r="H390" t="s">
        <v>86</v>
      </c>
      <c r="I390" s="29" t="s">
        <v>310</v>
      </c>
      <c r="J390" t="s">
        <v>63</v>
      </c>
      <c r="K390">
        <v>2</v>
      </c>
      <c r="L390">
        <v>419</v>
      </c>
      <c r="M390">
        <v>0.13</v>
      </c>
      <c r="N390" s="25">
        <v>838</v>
      </c>
      <c r="O390">
        <v>527.55999999999995</v>
      </c>
      <c r="P390">
        <v>310.44000000000005</v>
      </c>
      <c r="Q390" s="19">
        <f>Tabuľka4[[#This Row],[Zisk]]/Tabuľka4[[#This Row],[Trzba]]</f>
        <v>0.37045346062052514</v>
      </c>
      <c r="R390">
        <v>2025</v>
      </c>
      <c r="S390" t="str">
        <f>TEXT(Tabuľka4[[#This Row],[Datum]],"MMMM")</f>
        <v>jún</v>
      </c>
    </row>
    <row r="391" spans="1:19" x14ac:dyDescent="0.3">
      <c r="A391" s="2">
        <v>46153</v>
      </c>
      <c r="B391" t="s">
        <v>552</v>
      </c>
      <c r="C391" t="s">
        <v>553</v>
      </c>
      <c r="D391" t="s">
        <v>20</v>
      </c>
      <c r="E391" t="s">
        <v>0</v>
      </c>
      <c r="F391" t="s">
        <v>863</v>
      </c>
      <c r="G391" t="s">
        <v>43</v>
      </c>
      <c r="H391" t="s">
        <v>71</v>
      </c>
      <c r="I391" s="29" t="s">
        <v>537</v>
      </c>
      <c r="J391" t="s">
        <v>88</v>
      </c>
      <c r="K391">
        <v>1</v>
      </c>
      <c r="L391">
        <v>795</v>
      </c>
      <c r="M391">
        <v>0.05</v>
      </c>
      <c r="N391" s="25">
        <v>795</v>
      </c>
      <c r="O391">
        <v>654.02</v>
      </c>
      <c r="P391">
        <v>140.98000000000002</v>
      </c>
      <c r="Q391" s="19">
        <f>Tabuľka4[[#This Row],[Zisk]]/Tabuľka4[[#This Row],[Trzba]]</f>
        <v>0.17733333333333334</v>
      </c>
      <c r="R391">
        <v>2026</v>
      </c>
      <c r="S391" t="str">
        <f>TEXT(Tabuľka4[[#This Row],[Datum]],"MMMM")</f>
        <v>máj</v>
      </c>
    </row>
    <row r="392" spans="1:19" x14ac:dyDescent="0.3">
      <c r="A392" s="2">
        <v>45315</v>
      </c>
      <c r="B392" t="s">
        <v>662</v>
      </c>
      <c r="C392" t="s">
        <v>167</v>
      </c>
      <c r="D392" t="s">
        <v>20</v>
      </c>
      <c r="E392" t="s">
        <v>50</v>
      </c>
      <c r="F392" t="s">
        <v>863</v>
      </c>
      <c r="G392" t="s">
        <v>22</v>
      </c>
      <c r="H392" t="s">
        <v>188</v>
      </c>
      <c r="I392" s="29" t="s">
        <v>663</v>
      </c>
      <c r="J392" t="s">
        <v>46</v>
      </c>
      <c r="K392">
        <v>3</v>
      </c>
      <c r="L392">
        <v>265</v>
      </c>
      <c r="M392">
        <v>0.04</v>
      </c>
      <c r="N392" s="25">
        <v>795</v>
      </c>
      <c r="O392">
        <v>557.92999999999995</v>
      </c>
      <c r="P392">
        <v>237.07000000000005</v>
      </c>
      <c r="Q392" s="19">
        <f>Tabuľka4[[#This Row],[Zisk]]/Tabuľka4[[#This Row],[Trzba]]</f>
        <v>0.29820125786163526</v>
      </c>
      <c r="R392">
        <v>2024</v>
      </c>
      <c r="S392" t="str">
        <f>TEXT(Tabuľka4[[#This Row],[Datum]],"MMMM")</f>
        <v>január</v>
      </c>
    </row>
    <row r="393" spans="1:19" x14ac:dyDescent="0.3">
      <c r="A393" s="2">
        <v>45452</v>
      </c>
      <c r="B393" t="s">
        <v>275</v>
      </c>
      <c r="C393" t="s">
        <v>276</v>
      </c>
      <c r="D393" t="s">
        <v>20</v>
      </c>
      <c r="E393" t="s">
        <v>21</v>
      </c>
      <c r="F393" t="s">
        <v>863</v>
      </c>
      <c r="G393" t="s">
        <v>22</v>
      </c>
      <c r="H393" t="s">
        <v>86</v>
      </c>
      <c r="I393" s="29" t="s">
        <v>271</v>
      </c>
      <c r="J393" t="s">
        <v>38</v>
      </c>
      <c r="K393">
        <v>2</v>
      </c>
      <c r="L393">
        <v>397</v>
      </c>
      <c r="M393">
        <v>0.11</v>
      </c>
      <c r="N393" s="25">
        <v>794</v>
      </c>
      <c r="O393">
        <v>494.07</v>
      </c>
      <c r="P393">
        <v>299.93</v>
      </c>
      <c r="Q393" s="19">
        <f>Tabuľka4[[#This Row],[Zisk]]/Tabuľka4[[#This Row],[Trzba]]</f>
        <v>0.3777455919395466</v>
      </c>
      <c r="R393">
        <v>2024</v>
      </c>
      <c r="S393" t="str">
        <f>TEXT(Tabuľka4[[#This Row],[Datum]],"MMMM")</f>
        <v>jún</v>
      </c>
    </row>
    <row r="394" spans="1:19" x14ac:dyDescent="0.3">
      <c r="A394" s="2">
        <v>45490</v>
      </c>
      <c r="B394" t="s">
        <v>747</v>
      </c>
      <c r="C394" t="s">
        <v>748</v>
      </c>
      <c r="D394" t="s">
        <v>20</v>
      </c>
      <c r="E394" t="s">
        <v>21</v>
      </c>
      <c r="F394" t="s">
        <v>863</v>
      </c>
      <c r="G394" t="s">
        <v>22</v>
      </c>
      <c r="H394" t="s">
        <v>188</v>
      </c>
      <c r="I394" s="29" t="s">
        <v>738</v>
      </c>
      <c r="J394" t="s">
        <v>30</v>
      </c>
      <c r="K394">
        <v>1</v>
      </c>
      <c r="L394">
        <v>773</v>
      </c>
      <c r="M394">
        <v>0.09</v>
      </c>
      <c r="N394" s="25">
        <v>773</v>
      </c>
      <c r="O394">
        <v>454.96</v>
      </c>
      <c r="P394">
        <v>318.04000000000002</v>
      </c>
      <c r="Q394" s="19">
        <f>Tabuľka4[[#This Row],[Zisk]]/Tabuľka4[[#This Row],[Trzba]]</f>
        <v>0.41143596377749031</v>
      </c>
      <c r="R394">
        <v>2024</v>
      </c>
      <c r="S394" t="str">
        <f>TEXT(Tabuľka4[[#This Row],[Datum]],"MMMM")</f>
        <v>júl</v>
      </c>
    </row>
    <row r="395" spans="1:19" x14ac:dyDescent="0.3">
      <c r="A395" s="2">
        <v>45575</v>
      </c>
      <c r="B395" t="s">
        <v>820</v>
      </c>
      <c r="C395" t="s">
        <v>373</v>
      </c>
      <c r="D395" t="s">
        <v>20</v>
      </c>
      <c r="E395" t="s">
        <v>21</v>
      </c>
      <c r="F395" t="s">
        <v>863</v>
      </c>
      <c r="G395" t="s">
        <v>22</v>
      </c>
      <c r="H395" t="s">
        <v>188</v>
      </c>
      <c r="I395" s="29" t="s">
        <v>815</v>
      </c>
      <c r="J395" t="s">
        <v>63</v>
      </c>
      <c r="K395">
        <v>2</v>
      </c>
      <c r="L395">
        <v>382</v>
      </c>
      <c r="M395">
        <v>7.0000000000000007E-2</v>
      </c>
      <c r="N395" s="25">
        <v>764</v>
      </c>
      <c r="O395">
        <v>388.57</v>
      </c>
      <c r="P395">
        <v>375.43</v>
      </c>
      <c r="Q395" s="19">
        <f>Tabuľka4[[#This Row],[Zisk]]/Tabuľka4[[#This Row],[Trzba]]</f>
        <v>0.49140052356020941</v>
      </c>
      <c r="R395">
        <v>2024</v>
      </c>
      <c r="S395" t="str">
        <f>TEXT(Tabuľka4[[#This Row],[Datum]],"MMMM")</f>
        <v>október</v>
      </c>
    </row>
    <row r="396" spans="1:19" x14ac:dyDescent="0.3">
      <c r="A396" s="2">
        <v>45862</v>
      </c>
      <c r="B396" t="s">
        <v>437</v>
      </c>
      <c r="C396" t="s">
        <v>224</v>
      </c>
      <c r="D396" t="s">
        <v>20</v>
      </c>
      <c r="E396" t="s">
        <v>50</v>
      </c>
      <c r="F396" t="s">
        <v>863</v>
      </c>
      <c r="G396" t="s">
        <v>22</v>
      </c>
      <c r="H396" t="s">
        <v>188</v>
      </c>
      <c r="I396" s="29" t="s">
        <v>424</v>
      </c>
      <c r="J396" t="s">
        <v>33</v>
      </c>
      <c r="K396">
        <v>1</v>
      </c>
      <c r="L396">
        <v>753</v>
      </c>
      <c r="M396">
        <v>0.14000000000000001</v>
      </c>
      <c r="N396" s="25">
        <v>753</v>
      </c>
      <c r="O396">
        <v>509.73</v>
      </c>
      <c r="P396">
        <v>243.26999999999998</v>
      </c>
      <c r="Q396" s="19">
        <f>Tabuľka4[[#This Row],[Zisk]]/Tabuľka4[[#This Row],[Trzba]]</f>
        <v>0.32306772908366532</v>
      </c>
      <c r="R396">
        <v>2025</v>
      </c>
      <c r="S396" t="str">
        <f>TEXT(Tabuľka4[[#This Row],[Datum]],"MMMM")</f>
        <v>júl</v>
      </c>
    </row>
    <row r="397" spans="1:19" x14ac:dyDescent="0.3">
      <c r="A397" s="2">
        <v>45775</v>
      </c>
      <c r="B397" t="s">
        <v>644</v>
      </c>
      <c r="C397" t="s">
        <v>257</v>
      </c>
      <c r="D397" t="s">
        <v>20</v>
      </c>
      <c r="E397" t="s">
        <v>68</v>
      </c>
      <c r="F397" t="s">
        <v>863</v>
      </c>
      <c r="G397" t="s">
        <v>43</v>
      </c>
      <c r="H397" t="s">
        <v>23</v>
      </c>
      <c r="I397" s="29" t="s">
        <v>632</v>
      </c>
      <c r="J397" t="s">
        <v>88</v>
      </c>
      <c r="K397">
        <v>3</v>
      </c>
      <c r="L397">
        <v>251</v>
      </c>
      <c r="M397">
        <v>0.03</v>
      </c>
      <c r="N397" s="25">
        <v>753</v>
      </c>
      <c r="O397">
        <v>516.21</v>
      </c>
      <c r="P397">
        <v>236.78999999999996</v>
      </c>
      <c r="Q397" s="19">
        <f>Tabuľka4[[#This Row],[Zisk]]/Tabuľka4[[#This Row],[Trzba]]</f>
        <v>0.31446215139442224</v>
      </c>
      <c r="R397">
        <v>2025</v>
      </c>
      <c r="S397" t="str">
        <f>TEXT(Tabuľka4[[#This Row],[Datum]],"MMMM")</f>
        <v>apríl</v>
      </c>
    </row>
    <row r="398" spans="1:19" x14ac:dyDescent="0.3">
      <c r="A398" s="2">
        <v>45815</v>
      </c>
      <c r="B398" t="s">
        <v>286</v>
      </c>
      <c r="C398" t="s">
        <v>287</v>
      </c>
      <c r="D398" t="s">
        <v>20</v>
      </c>
      <c r="E398" t="s">
        <v>68</v>
      </c>
      <c r="F398" t="s">
        <v>863</v>
      </c>
      <c r="G398" t="s">
        <v>43</v>
      </c>
      <c r="H398" t="s">
        <v>86</v>
      </c>
      <c r="I398" s="29" t="s">
        <v>271</v>
      </c>
      <c r="J398" t="s">
        <v>88</v>
      </c>
      <c r="K398">
        <v>2</v>
      </c>
      <c r="L398">
        <v>374</v>
      </c>
      <c r="M398">
        <v>0.06</v>
      </c>
      <c r="N398" s="25">
        <v>748</v>
      </c>
      <c r="O398">
        <v>456.82</v>
      </c>
      <c r="P398">
        <v>291.18</v>
      </c>
      <c r="Q398" s="19">
        <f>Tabuľka4[[#This Row],[Zisk]]/Tabuľka4[[#This Row],[Trzba]]</f>
        <v>0.38927807486631016</v>
      </c>
      <c r="R398">
        <v>2025</v>
      </c>
      <c r="S398" t="str">
        <f>TEXT(Tabuľka4[[#This Row],[Datum]],"MMMM")</f>
        <v>jún</v>
      </c>
    </row>
    <row r="399" spans="1:19" x14ac:dyDescent="0.3">
      <c r="A399" s="2">
        <v>45703</v>
      </c>
      <c r="B399" t="s">
        <v>822</v>
      </c>
      <c r="C399" t="s">
        <v>362</v>
      </c>
      <c r="D399" t="s">
        <v>20</v>
      </c>
      <c r="E399" t="s">
        <v>21</v>
      </c>
      <c r="F399" t="s">
        <v>863</v>
      </c>
      <c r="G399" t="s">
        <v>22</v>
      </c>
      <c r="H399" t="s">
        <v>188</v>
      </c>
      <c r="I399" s="29" t="s">
        <v>815</v>
      </c>
      <c r="J399" t="s">
        <v>33</v>
      </c>
      <c r="K399">
        <v>2</v>
      </c>
      <c r="L399">
        <v>374</v>
      </c>
      <c r="M399">
        <v>7.0000000000000007E-2</v>
      </c>
      <c r="N399" s="25">
        <v>748</v>
      </c>
      <c r="O399">
        <v>543.73</v>
      </c>
      <c r="P399">
        <v>204.26999999999998</v>
      </c>
      <c r="Q399" s="19">
        <f>Tabuľka4[[#This Row],[Zisk]]/Tabuľka4[[#This Row],[Trzba]]</f>
        <v>0.27308823529411763</v>
      </c>
      <c r="R399">
        <v>2025</v>
      </c>
      <c r="S399" t="str">
        <f>TEXT(Tabuľka4[[#This Row],[Datum]],"MMMM")</f>
        <v>február</v>
      </c>
    </row>
    <row r="400" spans="1:19" x14ac:dyDescent="0.3">
      <c r="A400" s="2">
        <v>45852</v>
      </c>
      <c r="B400" t="s">
        <v>289</v>
      </c>
      <c r="C400" t="s">
        <v>290</v>
      </c>
      <c r="D400" t="s">
        <v>20</v>
      </c>
      <c r="E400" t="s">
        <v>21</v>
      </c>
      <c r="F400" t="s">
        <v>863</v>
      </c>
      <c r="G400" t="s">
        <v>22</v>
      </c>
      <c r="H400" t="s">
        <v>86</v>
      </c>
      <c r="I400" s="29" t="s">
        <v>271</v>
      </c>
      <c r="J400" t="s">
        <v>30</v>
      </c>
      <c r="K400">
        <v>2</v>
      </c>
      <c r="L400">
        <v>371</v>
      </c>
      <c r="M400">
        <v>0.04</v>
      </c>
      <c r="N400" s="25">
        <v>742</v>
      </c>
      <c r="O400">
        <v>526.34</v>
      </c>
      <c r="P400">
        <v>215.65999999999997</v>
      </c>
      <c r="Q400" s="19">
        <f>Tabuľka4[[#This Row],[Zisk]]/Tabuľka4[[#This Row],[Trzba]]</f>
        <v>0.29064690026954176</v>
      </c>
      <c r="R400">
        <v>2025</v>
      </c>
      <c r="S400" t="str">
        <f>TEXT(Tabuľka4[[#This Row],[Datum]],"MMMM")</f>
        <v>júl</v>
      </c>
    </row>
    <row r="401" spans="1:19" x14ac:dyDescent="0.3">
      <c r="A401" s="2">
        <v>45363</v>
      </c>
      <c r="B401" t="s">
        <v>814</v>
      </c>
      <c r="C401" t="s">
        <v>60</v>
      </c>
      <c r="D401" t="s">
        <v>20</v>
      </c>
      <c r="E401" t="s">
        <v>0</v>
      </c>
      <c r="F401" t="s">
        <v>863</v>
      </c>
      <c r="G401" t="s">
        <v>22</v>
      </c>
      <c r="H401" t="s">
        <v>188</v>
      </c>
      <c r="I401" s="29" t="s">
        <v>815</v>
      </c>
      <c r="J401" t="s">
        <v>33</v>
      </c>
      <c r="K401">
        <v>2</v>
      </c>
      <c r="L401">
        <v>364</v>
      </c>
      <c r="M401">
        <v>0.14000000000000001</v>
      </c>
      <c r="N401" s="25">
        <v>728</v>
      </c>
      <c r="O401">
        <v>444.07</v>
      </c>
      <c r="P401">
        <v>283.93</v>
      </c>
      <c r="Q401" s="19">
        <f>Tabuľka4[[#This Row],[Zisk]]/Tabuľka4[[#This Row],[Trzba]]</f>
        <v>0.39001373626373625</v>
      </c>
      <c r="R401">
        <v>2024</v>
      </c>
      <c r="S401" t="str">
        <f>TEXT(Tabuľka4[[#This Row],[Datum]],"MMMM")</f>
        <v>marec</v>
      </c>
    </row>
    <row r="402" spans="1:19" x14ac:dyDescent="0.3">
      <c r="A402" s="2">
        <v>45906</v>
      </c>
      <c r="B402" t="s">
        <v>547</v>
      </c>
      <c r="C402" t="s">
        <v>178</v>
      </c>
      <c r="D402" t="s">
        <v>20</v>
      </c>
      <c r="E402" t="s">
        <v>0</v>
      </c>
      <c r="F402" t="s">
        <v>863</v>
      </c>
      <c r="G402" t="s">
        <v>22</v>
      </c>
      <c r="H402" t="s">
        <v>71</v>
      </c>
      <c r="I402" s="29" t="s">
        <v>537</v>
      </c>
      <c r="J402" t="s">
        <v>51</v>
      </c>
      <c r="K402">
        <v>1</v>
      </c>
      <c r="L402">
        <v>723</v>
      </c>
      <c r="M402">
        <v>7.0000000000000007E-2</v>
      </c>
      <c r="N402" s="25">
        <v>723</v>
      </c>
      <c r="O402">
        <v>569.51</v>
      </c>
      <c r="P402">
        <v>153.49</v>
      </c>
      <c r="Q402" s="19">
        <f>Tabuľka4[[#This Row],[Zisk]]/Tabuľka4[[#This Row],[Trzba]]</f>
        <v>0.2122959889349931</v>
      </c>
      <c r="R402">
        <v>2025</v>
      </c>
      <c r="S402" t="str">
        <f>TEXT(Tabuľka4[[#This Row],[Datum]],"MMMM")</f>
        <v>september</v>
      </c>
    </row>
    <row r="403" spans="1:19" x14ac:dyDescent="0.3">
      <c r="A403" s="2">
        <v>45350</v>
      </c>
      <c r="B403" t="s">
        <v>470</v>
      </c>
      <c r="C403" t="s">
        <v>48</v>
      </c>
      <c r="D403" t="s">
        <v>49</v>
      </c>
      <c r="E403" t="s">
        <v>21</v>
      </c>
      <c r="F403" t="s">
        <v>863</v>
      </c>
      <c r="G403" t="s">
        <v>58</v>
      </c>
      <c r="H403" t="s">
        <v>23</v>
      </c>
      <c r="I403" s="29" t="s">
        <v>469</v>
      </c>
      <c r="J403" t="s">
        <v>38</v>
      </c>
      <c r="K403">
        <v>8</v>
      </c>
      <c r="L403">
        <v>90</v>
      </c>
      <c r="M403">
        <v>0</v>
      </c>
      <c r="N403" s="25">
        <v>720</v>
      </c>
      <c r="O403">
        <v>492.86</v>
      </c>
      <c r="P403">
        <v>227.14</v>
      </c>
      <c r="Q403" s="19">
        <f>Tabuľka4[[#This Row],[Zisk]]/Tabuľka4[[#This Row],[Trzba]]</f>
        <v>0.31547222222222221</v>
      </c>
      <c r="R403">
        <v>2024</v>
      </c>
      <c r="S403" t="str">
        <f>TEXT(Tabuľka4[[#This Row],[Datum]],"MMMM")</f>
        <v>február</v>
      </c>
    </row>
    <row r="404" spans="1:19" x14ac:dyDescent="0.3">
      <c r="A404" s="2">
        <v>45897</v>
      </c>
      <c r="B404" t="s">
        <v>291</v>
      </c>
      <c r="C404" t="s">
        <v>292</v>
      </c>
      <c r="D404" t="s">
        <v>20</v>
      </c>
      <c r="E404" t="s">
        <v>50</v>
      </c>
      <c r="F404" t="s">
        <v>863</v>
      </c>
      <c r="G404" t="s">
        <v>22</v>
      </c>
      <c r="H404" t="s">
        <v>86</v>
      </c>
      <c r="I404" s="29" t="s">
        <v>271</v>
      </c>
      <c r="J404" t="s">
        <v>30</v>
      </c>
      <c r="K404">
        <v>2</v>
      </c>
      <c r="L404">
        <v>358</v>
      </c>
      <c r="M404">
        <v>7.0000000000000007E-2</v>
      </c>
      <c r="N404" s="25">
        <v>716</v>
      </c>
      <c r="O404">
        <v>484.14</v>
      </c>
      <c r="P404">
        <v>231.86</v>
      </c>
      <c r="Q404" s="19">
        <f>Tabuľka4[[#This Row],[Zisk]]/Tabuľka4[[#This Row],[Trzba]]</f>
        <v>0.32382681564245813</v>
      </c>
      <c r="R404">
        <v>2025</v>
      </c>
      <c r="S404" t="str">
        <f>TEXT(Tabuľka4[[#This Row],[Datum]],"MMMM")</f>
        <v>august</v>
      </c>
    </row>
    <row r="405" spans="1:19" x14ac:dyDescent="0.3">
      <c r="A405" s="2">
        <v>46141</v>
      </c>
      <c r="B405" t="s">
        <v>330</v>
      </c>
      <c r="C405" t="s">
        <v>331</v>
      </c>
      <c r="D405" t="s">
        <v>20</v>
      </c>
      <c r="E405" t="s">
        <v>68</v>
      </c>
      <c r="F405" t="s">
        <v>863</v>
      </c>
      <c r="G405" t="s">
        <v>43</v>
      </c>
      <c r="H405" t="s">
        <v>86</v>
      </c>
      <c r="I405" s="29" t="s">
        <v>310</v>
      </c>
      <c r="J405" t="s">
        <v>25</v>
      </c>
      <c r="K405">
        <v>1</v>
      </c>
      <c r="L405">
        <v>700</v>
      </c>
      <c r="M405">
        <v>0.14000000000000001</v>
      </c>
      <c r="N405" s="25">
        <v>700</v>
      </c>
      <c r="O405">
        <v>408.88</v>
      </c>
      <c r="P405">
        <v>291.12</v>
      </c>
      <c r="Q405" s="19">
        <f>Tabuľka4[[#This Row],[Zisk]]/Tabuľka4[[#This Row],[Trzba]]</f>
        <v>0.4158857142857143</v>
      </c>
      <c r="R405">
        <v>2026</v>
      </c>
      <c r="S405" t="str">
        <f>TEXT(Tabuľka4[[#This Row],[Datum]],"MMMM")</f>
        <v>apríl</v>
      </c>
    </row>
    <row r="406" spans="1:19" x14ac:dyDescent="0.3">
      <c r="A406" s="2">
        <v>46068</v>
      </c>
      <c r="B406" t="s">
        <v>299</v>
      </c>
      <c r="C406" t="s">
        <v>300</v>
      </c>
      <c r="D406" t="s">
        <v>20</v>
      </c>
      <c r="E406" t="s">
        <v>50</v>
      </c>
      <c r="F406" t="s">
        <v>863</v>
      </c>
      <c r="G406" t="s">
        <v>22</v>
      </c>
      <c r="H406" t="s">
        <v>86</v>
      </c>
      <c r="I406" s="29" t="s">
        <v>271</v>
      </c>
      <c r="J406" t="s">
        <v>51</v>
      </c>
      <c r="K406">
        <v>2</v>
      </c>
      <c r="L406">
        <v>340</v>
      </c>
      <c r="M406">
        <v>0.12</v>
      </c>
      <c r="N406" s="25">
        <v>680</v>
      </c>
      <c r="O406">
        <v>421.56</v>
      </c>
      <c r="P406">
        <v>258.44</v>
      </c>
      <c r="Q406" s="19">
        <f>Tabuľka4[[#This Row],[Zisk]]/Tabuľka4[[#This Row],[Trzba]]</f>
        <v>0.38005882352941178</v>
      </c>
      <c r="R406">
        <v>2026</v>
      </c>
      <c r="S406" t="str">
        <f>TEXT(Tabuľka4[[#This Row],[Datum]],"MMMM")</f>
        <v>február</v>
      </c>
    </row>
    <row r="407" spans="1:19" x14ac:dyDescent="0.3">
      <c r="A407" s="2">
        <v>45597</v>
      </c>
      <c r="B407" t="s">
        <v>476</v>
      </c>
      <c r="C407" t="s">
        <v>185</v>
      </c>
      <c r="D407" t="s">
        <v>49</v>
      </c>
      <c r="E407" t="s">
        <v>68</v>
      </c>
      <c r="F407" t="s">
        <v>863</v>
      </c>
      <c r="G407" t="s">
        <v>22</v>
      </c>
      <c r="H407" t="s">
        <v>23</v>
      </c>
      <c r="I407" s="29" t="s">
        <v>469</v>
      </c>
      <c r="J407" t="s">
        <v>88</v>
      </c>
      <c r="K407">
        <v>8</v>
      </c>
      <c r="L407">
        <v>85</v>
      </c>
      <c r="M407">
        <v>0.16</v>
      </c>
      <c r="N407" s="25">
        <v>680</v>
      </c>
      <c r="O407">
        <v>348.12</v>
      </c>
      <c r="P407">
        <v>331.88</v>
      </c>
      <c r="Q407" s="19">
        <f>Tabuľka4[[#This Row],[Zisk]]/Tabuľka4[[#This Row],[Trzba]]</f>
        <v>0.48805882352941177</v>
      </c>
      <c r="R407">
        <v>2024</v>
      </c>
      <c r="S407" t="str">
        <f>TEXT(Tabuľka4[[#This Row],[Datum]],"MMMM")</f>
        <v>november</v>
      </c>
    </row>
    <row r="408" spans="1:19" x14ac:dyDescent="0.3">
      <c r="A408" s="2">
        <v>45875</v>
      </c>
      <c r="B408" t="s">
        <v>672</v>
      </c>
      <c r="C408" t="s">
        <v>134</v>
      </c>
      <c r="D408" t="s">
        <v>20</v>
      </c>
      <c r="E408" t="s">
        <v>0</v>
      </c>
      <c r="F408" t="s">
        <v>863</v>
      </c>
      <c r="G408" t="s">
        <v>22</v>
      </c>
      <c r="H408" t="s">
        <v>188</v>
      </c>
      <c r="I408" s="29" t="s">
        <v>663</v>
      </c>
      <c r="J408" t="s">
        <v>25</v>
      </c>
      <c r="K408">
        <v>2</v>
      </c>
      <c r="L408">
        <v>320</v>
      </c>
      <c r="M408">
        <v>0.13</v>
      </c>
      <c r="N408" s="25">
        <v>640</v>
      </c>
      <c r="O408">
        <v>451.84</v>
      </c>
      <c r="P408">
        <v>188.16000000000003</v>
      </c>
      <c r="Q408" s="19">
        <f>Tabuľka4[[#This Row],[Zisk]]/Tabuľka4[[#This Row],[Trzba]]</f>
        <v>0.29400000000000004</v>
      </c>
      <c r="R408">
        <v>2025</v>
      </c>
      <c r="S408" t="str">
        <f>TEXT(Tabuľka4[[#This Row],[Datum]],"MMMM")</f>
        <v>august</v>
      </c>
    </row>
    <row r="409" spans="1:19" x14ac:dyDescent="0.3">
      <c r="A409" s="2">
        <v>45394</v>
      </c>
      <c r="B409" t="s">
        <v>404</v>
      </c>
      <c r="C409" t="s">
        <v>185</v>
      </c>
      <c r="D409" t="s">
        <v>49</v>
      </c>
      <c r="E409" t="s">
        <v>68</v>
      </c>
      <c r="F409" t="s">
        <v>863</v>
      </c>
      <c r="G409" t="s">
        <v>43</v>
      </c>
      <c r="H409" t="s">
        <v>23</v>
      </c>
      <c r="I409" s="29" t="s">
        <v>405</v>
      </c>
      <c r="J409" t="s">
        <v>30</v>
      </c>
      <c r="K409">
        <v>6</v>
      </c>
      <c r="L409">
        <v>103</v>
      </c>
      <c r="M409">
        <v>0</v>
      </c>
      <c r="N409" s="25">
        <v>618</v>
      </c>
      <c r="O409">
        <v>417.88</v>
      </c>
      <c r="P409">
        <v>200.12</v>
      </c>
      <c r="Q409" s="19">
        <f>Tabuľka4[[#This Row],[Zisk]]/Tabuľka4[[#This Row],[Trzba]]</f>
        <v>0.32381877022653721</v>
      </c>
      <c r="R409">
        <v>2024</v>
      </c>
      <c r="S409" t="str">
        <f>TEXT(Tabuľka4[[#This Row],[Datum]],"MMMM")</f>
        <v>apríl</v>
      </c>
    </row>
    <row r="410" spans="1:19" x14ac:dyDescent="0.3">
      <c r="A410" s="2">
        <v>45649</v>
      </c>
      <c r="B410" t="s">
        <v>477</v>
      </c>
      <c r="C410" t="s">
        <v>132</v>
      </c>
      <c r="D410" t="s">
        <v>49</v>
      </c>
      <c r="E410" t="s">
        <v>0</v>
      </c>
      <c r="F410" t="s">
        <v>863</v>
      </c>
      <c r="G410" t="s">
        <v>58</v>
      </c>
      <c r="H410" t="s">
        <v>23</v>
      </c>
      <c r="I410" s="29" t="s">
        <v>469</v>
      </c>
      <c r="J410" t="s">
        <v>38</v>
      </c>
      <c r="K410">
        <v>6</v>
      </c>
      <c r="L410">
        <v>102</v>
      </c>
      <c r="M410">
        <v>0.23</v>
      </c>
      <c r="N410" s="25">
        <v>612</v>
      </c>
      <c r="O410">
        <v>386.77</v>
      </c>
      <c r="P410">
        <v>225.23000000000002</v>
      </c>
      <c r="Q410" s="19">
        <f>Tabuľka4[[#This Row],[Zisk]]/Tabuľka4[[#This Row],[Trzba]]</f>
        <v>0.3680228758169935</v>
      </c>
      <c r="R410">
        <v>2024</v>
      </c>
      <c r="S410" t="str">
        <f>TEXT(Tabuľka4[[#This Row],[Datum]],"MMMM")</f>
        <v>december</v>
      </c>
    </row>
    <row r="411" spans="1:19" x14ac:dyDescent="0.3">
      <c r="A411" s="2">
        <v>45781</v>
      </c>
      <c r="B411" t="s">
        <v>758</v>
      </c>
      <c r="C411" t="s">
        <v>636</v>
      </c>
      <c r="D411" t="s">
        <v>20</v>
      </c>
      <c r="E411" t="s">
        <v>0</v>
      </c>
      <c r="F411" t="s">
        <v>863</v>
      </c>
      <c r="G411" t="s">
        <v>22</v>
      </c>
      <c r="H411" t="s">
        <v>188</v>
      </c>
      <c r="I411" s="29" t="s">
        <v>738</v>
      </c>
      <c r="J411" t="s">
        <v>33</v>
      </c>
      <c r="K411">
        <v>1</v>
      </c>
      <c r="L411">
        <v>609</v>
      </c>
      <c r="M411">
        <v>0.03</v>
      </c>
      <c r="N411" s="25">
        <v>609</v>
      </c>
      <c r="O411">
        <v>429.95</v>
      </c>
      <c r="P411">
        <v>179.05</v>
      </c>
      <c r="Q411" s="19">
        <f>Tabuľka4[[#This Row],[Zisk]]/Tabuľka4[[#This Row],[Trzba]]</f>
        <v>0.29400656814449921</v>
      </c>
      <c r="R411">
        <v>2025</v>
      </c>
      <c r="S411" t="str">
        <f>TEXT(Tabuľka4[[#This Row],[Datum]],"MMMM")</f>
        <v>máj</v>
      </c>
    </row>
    <row r="412" spans="1:19" x14ac:dyDescent="0.3">
      <c r="A412" s="2">
        <v>45664</v>
      </c>
      <c r="B412" t="s">
        <v>540</v>
      </c>
      <c r="C412" t="s">
        <v>541</v>
      </c>
      <c r="D412" t="s">
        <v>20</v>
      </c>
      <c r="E412" t="s">
        <v>0</v>
      </c>
      <c r="F412" t="s">
        <v>863</v>
      </c>
      <c r="G412" t="s">
        <v>22</v>
      </c>
      <c r="H412" t="s">
        <v>71</v>
      </c>
      <c r="I412" s="29" t="s">
        <v>537</v>
      </c>
      <c r="J412" t="s">
        <v>88</v>
      </c>
      <c r="K412">
        <v>1</v>
      </c>
      <c r="L412">
        <v>585</v>
      </c>
      <c r="M412">
        <v>0.16</v>
      </c>
      <c r="N412" s="25">
        <v>585</v>
      </c>
      <c r="O412">
        <v>406.02</v>
      </c>
      <c r="P412">
        <v>178.98000000000002</v>
      </c>
      <c r="Q412" s="19">
        <f>Tabuľka4[[#This Row],[Zisk]]/Tabuľka4[[#This Row],[Trzba]]</f>
        <v>0.30594871794871797</v>
      </c>
      <c r="R412">
        <v>2025</v>
      </c>
      <c r="S412" t="str">
        <f>TEXT(Tabuľka4[[#This Row],[Datum]],"MMMM")</f>
        <v>január</v>
      </c>
    </row>
    <row r="413" spans="1:19" x14ac:dyDescent="0.3">
      <c r="A413" s="2">
        <v>45515</v>
      </c>
      <c r="B413" t="s">
        <v>605</v>
      </c>
      <c r="C413" t="s">
        <v>235</v>
      </c>
      <c r="D413" t="s">
        <v>49</v>
      </c>
      <c r="E413" t="s">
        <v>0</v>
      </c>
      <c r="F413" t="s">
        <v>863</v>
      </c>
      <c r="G413" t="s">
        <v>22</v>
      </c>
      <c r="H413" t="s">
        <v>86</v>
      </c>
      <c r="I413" s="29" t="s">
        <v>604</v>
      </c>
      <c r="J413" t="s">
        <v>25</v>
      </c>
      <c r="K413">
        <v>9</v>
      </c>
      <c r="L413">
        <v>65</v>
      </c>
      <c r="M413">
        <v>0.06</v>
      </c>
      <c r="N413" s="25">
        <v>585</v>
      </c>
      <c r="O413">
        <v>358.99</v>
      </c>
      <c r="P413">
        <v>226.01</v>
      </c>
      <c r="Q413" s="19">
        <f>Tabuľka4[[#This Row],[Zisk]]/Tabuľka4[[#This Row],[Trzba]]</f>
        <v>0.38634188034188033</v>
      </c>
      <c r="R413">
        <v>2024</v>
      </c>
      <c r="S413" t="str">
        <f>TEXT(Tabuľka4[[#This Row],[Datum]],"MMMM")</f>
        <v>august</v>
      </c>
    </row>
    <row r="414" spans="1:19" x14ac:dyDescent="0.3">
      <c r="A414" s="2">
        <v>45891</v>
      </c>
      <c r="B414" t="s">
        <v>620</v>
      </c>
      <c r="C414" t="s">
        <v>132</v>
      </c>
      <c r="D414" t="s">
        <v>49</v>
      </c>
      <c r="E414" t="s">
        <v>21</v>
      </c>
      <c r="F414" t="s">
        <v>863</v>
      </c>
      <c r="G414" t="s">
        <v>43</v>
      </c>
      <c r="H414" t="s">
        <v>86</v>
      </c>
      <c r="I414" s="29" t="s">
        <v>604</v>
      </c>
      <c r="J414" t="s">
        <v>51</v>
      </c>
      <c r="K414">
        <v>6</v>
      </c>
      <c r="L414">
        <v>97</v>
      </c>
      <c r="M414">
        <v>0.09</v>
      </c>
      <c r="N414" s="25">
        <v>582</v>
      </c>
      <c r="O414">
        <v>367.56</v>
      </c>
      <c r="P414">
        <v>214.44</v>
      </c>
      <c r="Q414" s="19">
        <f>Tabuľka4[[#This Row],[Zisk]]/Tabuľka4[[#This Row],[Trzba]]</f>
        <v>0.36845360824742268</v>
      </c>
      <c r="R414">
        <v>2025</v>
      </c>
      <c r="S414" t="str">
        <f>TEXT(Tabuľka4[[#This Row],[Datum]],"MMMM")</f>
        <v>august</v>
      </c>
    </row>
    <row r="415" spans="1:19" x14ac:dyDescent="0.3">
      <c r="A415" s="2">
        <v>45778</v>
      </c>
      <c r="B415" t="s">
        <v>645</v>
      </c>
      <c r="C415" t="s">
        <v>314</v>
      </c>
      <c r="D415" t="s">
        <v>20</v>
      </c>
      <c r="E415" t="s">
        <v>21</v>
      </c>
      <c r="F415" t="s">
        <v>863</v>
      </c>
      <c r="G415" t="s">
        <v>43</v>
      </c>
      <c r="H415" t="s">
        <v>23</v>
      </c>
      <c r="I415" s="29" t="s">
        <v>632</v>
      </c>
      <c r="J415" t="s">
        <v>25</v>
      </c>
      <c r="K415">
        <v>3</v>
      </c>
      <c r="L415">
        <v>194</v>
      </c>
      <c r="M415">
        <v>0.01</v>
      </c>
      <c r="N415" s="25">
        <v>582</v>
      </c>
      <c r="O415">
        <v>312.8</v>
      </c>
      <c r="P415">
        <v>269.2</v>
      </c>
      <c r="Q415" s="19">
        <f>Tabuľka4[[#This Row],[Zisk]]/Tabuľka4[[#This Row],[Trzba]]</f>
        <v>0.46254295532646045</v>
      </c>
      <c r="R415">
        <v>2025</v>
      </c>
      <c r="S415" t="str">
        <f>TEXT(Tabuľka4[[#This Row],[Datum]],"MMMM")</f>
        <v>máj</v>
      </c>
    </row>
    <row r="416" spans="1:19" x14ac:dyDescent="0.3">
      <c r="A416" s="2">
        <v>45982</v>
      </c>
      <c r="B416" t="s">
        <v>623</v>
      </c>
      <c r="C416" t="s">
        <v>237</v>
      </c>
      <c r="D416" t="s">
        <v>20</v>
      </c>
      <c r="E416" t="s">
        <v>0</v>
      </c>
      <c r="F416" t="s">
        <v>863</v>
      </c>
      <c r="G416" t="s">
        <v>22</v>
      </c>
      <c r="H416" t="s">
        <v>86</v>
      </c>
      <c r="I416" s="29" t="s">
        <v>604</v>
      </c>
      <c r="J416" t="s">
        <v>38</v>
      </c>
      <c r="K416">
        <v>5</v>
      </c>
      <c r="L416">
        <v>108</v>
      </c>
      <c r="M416">
        <v>0.28000000000000003</v>
      </c>
      <c r="N416" s="25">
        <v>540</v>
      </c>
      <c r="O416">
        <v>314.45</v>
      </c>
      <c r="P416">
        <v>225.55</v>
      </c>
      <c r="Q416" s="19">
        <f>Tabuľka4[[#This Row],[Zisk]]/Tabuľka4[[#This Row],[Trzba]]</f>
        <v>0.41768518518518521</v>
      </c>
      <c r="R416">
        <v>2025</v>
      </c>
      <c r="S416" t="str">
        <f>TEXT(Tabuľka4[[#This Row],[Datum]],"MMMM")</f>
        <v>november</v>
      </c>
    </row>
    <row r="417" spans="1:19" x14ac:dyDescent="0.3">
      <c r="A417" s="2">
        <v>45842</v>
      </c>
      <c r="B417" t="s">
        <v>764</v>
      </c>
      <c r="C417" t="s">
        <v>55</v>
      </c>
      <c r="D417" t="s">
        <v>20</v>
      </c>
      <c r="E417" t="s">
        <v>0</v>
      </c>
      <c r="F417" t="s">
        <v>863</v>
      </c>
      <c r="G417" t="s">
        <v>22</v>
      </c>
      <c r="H417" t="s">
        <v>188</v>
      </c>
      <c r="I417" s="29" t="s">
        <v>738</v>
      </c>
      <c r="J417" t="s">
        <v>30</v>
      </c>
      <c r="K417">
        <v>1</v>
      </c>
      <c r="L417">
        <v>536</v>
      </c>
      <c r="M417">
        <v>0.08</v>
      </c>
      <c r="N417" s="25">
        <v>536</v>
      </c>
      <c r="O417">
        <v>382.7</v>
      </c>
      <c r="P417">
        <v>153.30000000000001</v>
      </c>
      <c r="Q417" s="19">
        <f>Tabuľka4[[#This Row],[Zisk]]/Tabuľka4[[#This Row],[Trzba]]</f>
        <v>0.28600746268656718</v>
      </c>
      <c r="R417">
        <v>2025</v>
      </c>
      <c r="S417" t="str">
        <f>TEXT(Tabuľka4[[#This Row],[Datum]],"MMMM")</f>
        <v>júl</v>
      </c>
    </row>
    <row r="418" spans="1:19" x14ac:dyDescent="0.3">
      <c r="A418" s="2">
        <v>45907</v>
      </c>
      <c r="B418" t="s">
        <v>293</v>
      </c>
      <c r="C418" t="s">
        <v>210</v>
      </c>
      <c r="D418" t="s">
        <v>20</v>
      </c>
      <c r="E418" t="s">
        <v>21</v>
      </c>
      <c r="F418" t="s">
        <v>863</v>
      </c>
      <c r="G418" t="s">
        <v>22</v>
      </c>
      <c r="H418" t="s">
        <v>86</v>
      </c>
      <c r="I418" s="29" t="s">
        <v>271</v>
      </c>
      <c r="J418" t="s">
        <v>46</v>
      </c>
      <c r="K418">
        <v>2</v>
      </c>
      <c r="L418">
        <v>266</v>
      </c>
      <c r="M418">
        <v>0.13</v>
      </c>
      <c r="N418" s="25">
        <v>532</v>
      </c>
      <c r="O418">
        <v>358.04</v>
      </c>
      <c r="P418">
        <v>173.95999999999998</v>
      </c>
      <c r="Q418" s="19">
        <f>Tabuľka4[[#This Row],[Zisk]]/Tabuľka4[[#This Row],[Trzba]]</f>
        <v>0.3269924812030075</v>
      </c>
      <c r="R418">
        <v>2025</v>
      </c>
      <c r="S418" t="str">
        <f>TEXT(Tabuľka4[[#This Row],[Datum]],"MMMM")</f>
        <v>september</v>
      </c>
    </row>
    <row r="419" spans="1:19" x14ac:dyDescent="0.3">
      <c r="A419" s="2">
        <v>45758</v>
      </c>
      <c r="B419" t="s">
        <v>193</v>
      </c>
      <c r="C419" t="s">
        <v>194</v>
      </c>
      <c r="D419" t="s">
        <v>20</v>
      </c>
      <c r="E419" t="s">
        <v>0</v>
      </c>
      <c r="F419" t="s">
        <v>863</v>
      </c>
      <c r="G419" t="s">
        <v>43</v>
      </c>
      <c r="H419" t="s">
        <v>188</v>
      </c>
      <c r="I419" s="29" t="s">
        <v>189</v>
      </c>
      <c r="J419" t="s">
        <v>63</v>
      </c>
      <c r="K419">
        <v>3</v>
      </c>
      <c r="L419">
        <v>177</v>
      </c>
      <c r="M419">
        <v>0.03</v>
      </c>
      <c r="N419" s="25">
        <v>531</v>
      </c>
      <c r="O419">
        <v>341.32</v>
      </c>
      <c r="P419">
        <v>189.68</v>
      </c>
      <c r="Q419" s="19">
        <f>Tabuľka4[[#This Row],[Zisk]]/Tabuľka4[[#This Row],[Trzba]]</f>
        <v>0.35721280602636535</v>
      </c>
      <c r="R419">
        <v>2025</v>
      </c>
      <c r="S419" t="str">
        <f>TEXT(Tabuľka4[[#This Row],[Datum]],"MMMM")</f>
        <v>apríl</v>
      </c>
    </row>
    <row r="420" spans="1:19" x14ac:dyDescent="0.3">
      <c r="A420" s="2">
        <v>45464</v>
      </c>
      <c r="B420" t="s">
        <v>744</v>
      </c>
      <c r="C420" t="s">
        <v>194</v>
      </c>
      <c r="D420" t="s">
        <v>20</v>
      </c>
      <c r="E420" t="s">
        <v>21</v>
      </c>
      <c r="F420" t="s">
        <v>863</v>
      </c>
      <c r="G420" t="s">
        <v>43</v>
      </c>
      <c r="H420" t="s">
        <v>188</v>
      </c>
      <c r="I420" s="29" t="s">
        <v>738</v>
      </c>
      <c r="J420" t="s">
        <v>63</v>
      </c>
      <c r="K420">
        <v>1</v>
      </c>
      <c r="L420">
        <v>507</v>
      </c>
      <c r="M420">
        <v>0.13</v>
      </c>
      <c r="N420" s="25">
        <v>507</v>
      </c>
      <c r="O420">
        <v>362.29</v>
      </c>
      <c r="P420">
        <v>144.70999999999998</v>
      </c>
      <c r="Q420" s="19">
        <f>Tabuľka4[[#This Row],[Zisk]]/Tabuľka4[[#This Row],[Trzba]]</f>
        <v>0.28542406311637075</v>
      </c>
      <c r="R420">
        <v>2024</v>
      </c>
      <c r="S420" t="str">
        <f>TEXT(Tabuľka4[[#This Row],[Datum]],"MMMM")</f>
        <v>jún</v>
      </c>
    </row>
    <row r="421" spans="1:19" x14ac:dyDescent="0.3">
      <c r="A421" s="2">
        <v>45767</v>
      </c>
      <c r="B421" t="s">
        <v>436</v>
      </c>
      <c r="C421" t="s">
        <v>422</v>
      </c>
      <c r="D421" t="s">
        <v>20</v>
      </c>
      <c r="E421" t="s">
        <v>68</v>
      </c>
      <c r="F421" t="s">
        <v>863</v>
      </c>
      <c r="G421" t="s">
        <v>22</v>
      </c>
      <c r="H421" t="s">
        <v>188</v>
      </c>
      <c r="I421" s="29" t="s">
        <v>424</v>
      </c>
      <c r="J421" t="s">
        <v>38</v>
      </c>
      <c r="K421">
        <v>1</v>
      </c>
      <c r="L421">
        <v>504</v>
      </c>
      <c r="M421">
        <v>0.03</v>
      </c>
      <c r="N421" s="25">
        <v>504</v>
      </c>
      <c r="O421">
        <v>323.3</v>
      </c>
      <c r="P421">
        <v>180.7</v>
      </c>
      <c r="Q421" s="19">
        <f>Tabuľka4[[#This Row],[Zisk]]/Tabuľka4[[#This Row],[Trzba]]</f>
        <v>0.35853174603174603</v>
      </c>
      <c r="R421">
        <v>2025</v>
      </c>
      <c r="S421" t="str">
        <f>TEXT(Tabuľka4[[#This Row],[Datum]],"MMMM")</f>
        <v>apríl</v>
      </c>
    </row>
    <row r="422" spans="1:19" x14ac:dyDescent="0.3">
      <c r="A422" s="2">
        <v>45647</v>
      </c>
      <c r="B422" t="s">
        <v>416</v>
      </c>
      <c r="C422" t="s">
        <v>57</v>
      </c>
      <c r="D422" t="s">
        <v>49</v>
      </c>
      <c r="E422" t="s">
        <v>0</v>
      </c>
      <c r="F422" t="s">
        <v>863</v>
      </c>
      <c r="G422" t="s">
        <v>58</v>
      </c>
      <c r="H422" t="s">
        <v>23</v>
      </c>
      <c r="I422" s="29" t="s">
        <v>405</v>
      </c>
      <c r="J422" t="s">
        <v>63</v>
      </c>
      <c r="K422">
        <v>7</v>
      </c>
      <c r="L422">
        <v>71</v>
      </c>
      <c r="M422">
        <v>7.0000000000000007E-2</v>
      </c>
      <c r="N422" s="25">
        <v>497</v>
      </c>
      <c r="O422">
        <v>372.27</v>
      </c>
      <c r="P422">
        <v>124.73000000000002</v>
      </c>
      <c r="Q422" s="19">
        <f>Tabuľka4[[#This Row],[Zisk]]/Tabuľka4[[#This Row],[Trzba]]</f>
        <v>0.25096579476861169</v>
      </c>
      <c r="R422">
        <v>2024</v>
      </c>
      <c r="S422" t="str">
        <f>TEXT(Tabuľka4[[#This Row],[Datum]],"MMMM")</f>
        <v>december</v>
      </c>
    </row>
    <row r="423" spans="1:19" x14ac:dyDescent="0.3">
      <c r="A423" s="2">
        <v>45769</v>
      </c>
      <c r="B423" t="s">
        <v>614</v>
      </c>
      <c r="C423" t="s">
        <v>615</v>
      </c>
      <c r="D423" t="s">
        <v>20</v>
      </c>
      <c r="E423" t="s">
        <v>21</v>
      </c>
      <c r="F423" t="s">
        <v>863</v>
      </c>
      <c r="G423" t="s">
        <v>22</v>
      </c>
      <c r="H423" t="s">
        <v>86</v>
      </c>
      <c r="I423" s="29" t="s">
        <v>604</v>
      </c>
      <c r="J423" t="s">
        <v>38</v>
      </c>
      <c r="K423">
        <v>7</v>
      </c>
      <c r="L423">
        <v>71</v>
      </c>
      <c r="M423">
        <v>0.06</v>
      </c>
      <c r="N423" s="25">
        <v>497</v>
      </c>
      <c r="O423">
        <v>320.69</v>
      </c>
      <c r="P423">
        <v>176.31</v>
      </c>
      <c r="Q423" s="19">
        <f>Tabuľka4[[#This Row],[Zisk]]/Tabuľka4[[#This Row],[Trzba]]</f>
        <v>0.35474849094567407</v>
      </c>
      <c r="R423">
        <v>2025</v>
      </c>
      <c r="S423" t="str">
        <f>TEXT(Tabuľka4[[#This Row],[Datum]],"MMMM")</f>
        <v>apríl</v>
      </c>
    </row>
    <row r="424" spans="1:19" x14ac:dyDescent="0.3">
      <c r="A424" s="2">
        <v>45842</v>
      </c>
      <c r="B424" t="s">
        <v>618</v>
      </c>
      <c r="C424" t="s">
        <v>156</v>
      </c>
      <c r="D424" t="s">
        <v>20</v>
      </c>
      <c r="E424" t="s">
        <v>68</v>
      </c>
      <c r="F424" t="s">
        <v>863</v>
      </c>
      <c r="G424" t="s">
        <v>22</v>
      </c>
      <c r="H424" t="s">
        <v>86</v>
      </c>
      <c r="I424" s="29" t="s">
        <v>604</v>
      </c>
      <c r="J424" t="s">
        <v>63</v>
      </c>
      <c r="K424">
        <v>5</v>
      </c>
      <c r="L424">
        <v>98</v>
      </c>
      <c r="M424">
        <v>0.01</v>
      </c>
      <c r="N424" s="25">
        <v>490</v>
      </c>
      <c r="O424">
        <v>343.85</v>
      </c>
      <c r="P424">
        <v>146.14999999999998</v>
      </c>
      <c r="Q424" s="19">
        <f>Tabuľka4[[#This Row],[Zisk]]/Tabuľka4[[#This Row],[Trzba]]</f>
        <v>0.29826530612244895</v>
      </c>
      <c r="R424">
        <v>2025</v>
      </c>
      <c r="S424" t="str">
        <f>TEXT(Tabuľka4[[#This Row],[Datum]],"MMMM")</f>
        <v>júl</v>
      </c>
    </row>
    <row r="425" spans="1:19" x14ac:dyDescent="0.3">
      <c r="A425" s="2">
        <v>45633</v>
      </c>
      <c r="B425" t="s">
        <v>669</v>
      </c>
      <c r="C425" t="s">
        <v>670</v>
      </c>
      <c r="D425" t="s">
        <v>20</v>
      </c>
      <c r="E425" t="s">
        <v>68</v>
      </c>
      <c r="F425" t="s">
        <v>863</v>
      </c>
      <c r="G425" t="s">
        <v>43</v>
      </c>
      <c r="H425" t="s">
        <v>188</v>
      </c>
      <c r="I425" s="29" t="s">
        <v>663</v>
      </c>
      <c r="J425" t="s">
        <v>30</v>
      </c>
      <c r="K425">
        <v>2</v>
      </c>
      <c r="L425">
        <v>243</v>
      </c>
      <c r="M425">
        <v>0.09</v>
      </c>
      <c r="N425" s="25">
        <v>486</v>
      </c>
      <c r="O425">
        <v>333.3</v>
      </c>
      <c r="P425">
        <v>152.69999999999999</v>
      </c>
      <c r="Q425" s="19">
        <f>Tabuľka4[[#This Row],[Zisk]]/Tabuľka4[[#This Row],[Trzba]]</f>
        <v>0.31419753086419749</v>
      </c>
      <c r="R425">
        <v>2024</v>
      </c>
      <c r="S425" t="str">
        <f>TEXT(Tabuľka4[[#This Row],[Datum]],"MMMM")</f>
        <v>december</v>
      </c>
    </row>
    <row r="426" spans="1:19" x14ac:dyDescent="0.3">
      <c r="A426" s="2">
        <v>45585</v>
      </c>
      <c r="B426" t="s">
        <v>749</v>
      </c>
      <c r="C426" t="s">
        <v>750</v>
      </c>
      <c r="D426" t="s">
        <v>20</v>
      </c>
      <c r="E426" t="s">
        <v>21</v>
      </c>
      <c r="F426" t="s">
        <v>863</v>
      </c>
      <c r="G426" t="s">
        <v>22</v>
      </c>
      <c r="H426" t="s">
        <v>188</v>
      </c>
      <c r="I426" s="29" t="s">
        <v>738</v>
      </c>
      <c r="J426" t="s">
        <v>46</v>
      </c>
      <c r="K426">
        <v>1</v>
      </c>
      <c r="L426">
        <v>481</v>
      </c>
      <c r="M426">
        <v>0</v>
      </c>
      <c r="N426" s="25">
        <v>481</v>
      </c>
      <c r="O426">
        <v>335.78</v>
      </c>
      <c r="P426">
        <v>145.22000000000003</v>
      </c>
      <c r="Q426" s="19">
        <f>Tabuľka4[[#This Row],[Zisk]]/Tabuľka4[[#This Row],[Trzba]]</f>
        <v>0.30191268191268195</v>
      </c>
      <c r="R426">
        <v>2024</v>
      </c>
      <c r="S426" t="str">
        <f>TEXT(Tabuľka4[[#This Row],[Datum]],"MMMM")</f>
        <v>október</v>
      </c>
    </row>
    <row r="427" spans="1:19" x14ac:dyDescent="0.3">
      <c r="A427" s="2">
        <v>45880</v>
      </c>
      <c r="B427" t="s">
        <v>646</v>
      </c>
      <c r="C427" t="s">
        <v>647</v>
      </c>
      <c r="D427" t="s">
        <v>20</v>
      </c>
      <c r="E427" t="s">
        <v>0</v>
      </c>
      <c r="F427" t="s">
        <v>863</v>
      </c>
      <c r="G427" t="s">
        <v>43</v>
      </c>
      <c r="H427" t="s">
        <v>23</v>
      </c>
      <c r="I427" s="29" t="s">
        <v>632</v>
      </c>
      <c r="J427" t="s">
        <v>63</v>
      </c>
      <c r="K427">
        <v>2</v>
      </c>
      <c r="L427">
        <v>236</v>
      </c>
      <c r="M427">
        <v>0.05</v>
      </c>
      <c r="N427" s="25">
        <v>472</v>
      </c>
      <c r="O427">
        <v>326.91000000000003</v>
      </c>
      <c r="P427">
        <v>145.08999999999997</v>
      </c>
      <c r="Q427" s="19">
        <f>Tabuľka4[[#This Row],[Zisk]]/Tabuľka4[[#This Row],[Trzba]]</f>
        <v>0.3073940677966101</v>
      </c>
      <c r="R427">
        <v>2025</v>
      </c>
      <c r="S427" t="str">
        <f>TEXT(Tabuľka4[[#This Row],[Datum]],"MMMM")</f>
        <v>august</v>
      </c>
    </row>
    <row r="428" spans="1:19" x14ac:dyDescent="0.3">
      <c r="A428" s="2">
        <v>45961</v>
      </c>
      <c r="B428" t="s">
        <v>197</v>
      </c>
      <c r="C428" t="s">
        <v>198</v>
      </c>
      <c r="D428" t="s">
        <v>20</v>
      </c>
      <c r="E428" t="s">
        <v>68</v>
      </c>
      <c r="F428" t="s">
        <v>863</v>
      </c>
      <c r="G428" t="s">
        <v>22</v>
      </c>
      <c r="H428" t="s">
        <v>188</v>
      </c>
      <c r="I428" s="29" t="s">
        <v>189</v>
      </c>
      <c r="J428" t="s">
        <v>46</v>
      </c>
      <c r="K428">
        <v>2</v>
      </c>
      <c r="L428">
        <v>235</v>
      </c>
      <c r="M428">
        <v>0.08</v>
      </c>
      <c r="N428" s="25">
        <v>470</v>
      </c>
      <c r="O428">
        <v>293.01</v>
      </c>
      <c r="P428">
        <v>176.99</v>
      </c>
      <c r="Q428" s="19">
        <f>Tabuľka4[[#This Row],[Zisk]]/Tabuľka4[[#This Row],[Trzba]]</f>
        <v>0.37657446808510642</v>
      </c>
      <c r="R428">
        <v>2025</v>
      </c>
      <c r="S428" t="str">
        <f>TEXT(Tabuľka4[[#This Row],[Datum]],"MMMM")</f>
        <v>október</v>
      </c>
    </row>
    <row r="429" spans="1:19" x14ac:dyDescent="0.3">
      <c r="A429" s="2">
        <v>45514</v>
      </c>
      <c r="B429" t="s">
        <v>635</v>
      </c>
      <c r="C429" t="s">
        <v>636</v>
      </c>
      <c r="D429" t="s">
        <v>20</v>
      </c>
      <c r="E429" t="s">
        <v>68</v>
      </c>
      <c r="F429" t="s">
        <v>863</v>
      </c>
      <c r="G429" t="s">
        <v>22</v>
      </c>
      <c r="H429" t="s">
        <v>23</v>
      </c>
      <c r="I429" s="29" t="s">
        <v>632</v>
      </c>
      <c r="J429" t="s">
        <v>63</v>
      </c>
      <c r="K429">
        <v>2</v>
      </c>
      <c r="L429">
        <v>223</v>
      </c>
      <c r="M429">
        <v>0.03</v>
      </c>
      <c r="N429" s="25">
        <v>446</v>
      </c>
      <c r="O429">
        <v>347.68</v>
      </c>
      <c r="P429">
        <v>98.32</v>
      </c>
      <c r="Q429" s="19">
        <f>Tabuľka4[[#This Row],[Zisk]]/Tabuľka4[[#This Row],[Trzba]]</f>
        <v>0.22044843049327353</v>
      </c>
      <c r="R429">
        <v>2024</v>
      </c>
      <c r="S429" t="str">
        <f>TEXT(Tabuľka4[[#This Row],[Datum]],"MMMM")</f>
        <v>august</v>
      </c>
    </row>
    <row r="430" spans="1:19" x14ac:dyDescent="0.3">
      <c r="A430" s="2">
        <v>45652</v>
      </c>
      <c r="B430" t="s">
        <v>281</v>
      </c>
      <c r="C430" t="s">
        <v>282</v>
      </c>
      <c r="D430" t="s">
        <v>20</v>
      </c>
      <c r="E430" t="s">
        <v>68</v>
      </c>
      <c r="F430" t="s">
        <v>863</v>
      </c>
      <c r="G430" t="s">
        <v>43</v>
      </c>
      <c r="H430" t="s">
        <v>86</v>
      </c>
      <c r="I430" s="29" t="s">
        <v>271</v>
      </c>
      <c r="J430" t="s">
        <v>25</v>
      </c>
      <c r="K430">
        <v>1</v>
      </c>
      <c r="L430">
        <v>424</v>
      </c>
      <c r="M430">
        <v>0.2</v>
      </c>
      <c r="N430" s="25">
        <v>424</v>
      </c>
      <c r="O430">
        <v>259.33</v>
      </c>
      <c r="P430">
        <v>164.67000000000002</v>
      </c>
      <c r="Q430" s="19">
        <f>Tabuľka4[[#This Row],[Zisk]]/Tabuľka4[[#This Row],[Trzba]]</f>
        <v>0.38837264150943401</v>
      </c>
      <c r="R430">
        <v>2024</v>
      </c>
      <c r="S430" t="str">
        <f>TEXT(Tabuľka4[[#This Row],[Datum]],"MMMM")</f>
        <v>december</v>
      </c>
    </row>
    <row r="431" spans="1:19" x14ac:dyDescent="0.3">
      <c r="A431" s="2">
        <v>45765</v>
      </c>
      <c r="B431" t="s">
        <v>643</v>
      </c>
      <c r="C431" t="s">
        <v>145</v>
      </c>
      <c r="D431" t="s">
        <v>20</v>
      </c>
      <c r="E431" t="s">
        <v>21</v>
      </c>
      <c r="F431" t="s">
        <v>863</v>
      </c>
      <c r="G431" t="s">
        <v>22</v>
      </c>
      <c r="H431" t="s">
        <v>23</v>
      </c>
      <c r="I431" s="29" t="s">
        <v>632</v>
      </c>
      <c r="J431" t="s">
        <v>46</v>
      </c>
      <c r="K431">
        <v>3</v>
      </c>
      <c r="L431">
        <v>141</v>
      </c>
      <c r="M431">
        <v>0.1</v>
      </c>
      <c r="N431" s="25">
        <v>423</v>
      </c>
      <c r="O431">
        <v>270.13</v>
      </c>
      <c r="P431">
        <v>152.87</v>
      </c>
      <c r="Q431" s="19">
        <f>Tabuľka4[[#This Row],[Zisk]]/Tabuľka4[[#This Row],[Trzba]]</f>
        <v>0.36139479905437355</v>
      </c>
      <c r="R431">
        <v>2025</v>
      </c>
      <c r="S431" t="str">
        <f>TEXT(Tabuľka4[[#This Row],[Datum]],"MMMM")</f>
        <v>apríl</v>
      </c>
    </row>
    <row r="432" spans="1:19" x14ac:dyDescent="0.3">
      <c r="A432" s="2">
        <v>45579</v>
      </c>
      <c r="B432" t="s">
        <v>607</v>
      </c>
      <c r="C432" t="s">
        <v>608</v>
      </c>
      <c r="D432" t="s">
        <v>20</v>
      </c>
      <c r="E432" t="s">
        <v>21</v>
      </c>
      <c r="F432" t="s">
        <v>863</v>
      </c>
      <c r="G432" t="s">
        <v>43</v>
      </c>
      <c r="H432" t="s">
        <v>86</v>
      </c>
      <c r="I432" s="29" t="s">
        <v>604</v>
      </c>
      <c r="J432" t="s">
        <v>30</v>
      </c>
      <c r="K432">
        <v>5</v>
      </c>
      <c r="L432">
        <v>82</v>
      </c>
      <c r="M432">
        <v>0</v>
      </c>
      <c r="N432" s="25">
        <v>410</v>
      </c>
      <c r="O432">
        <v>314.22000000000003</v>
      </c>
      <c r="P432">
        <v>95.779999999999973</v>
      </c>
      <c r="Q432" s="19">
        <f>Tabuľka4[[#This Row],[Zisk]]/Tabuľka4[[#This Row],[Trzba]]</f>
        <v>0.23360975609756091</v>
      </c>
      <c r="R432">
        <v>2024</v>
      </c>
      <c r="S432" t="str">
        <f>TEXT(Tabuľka4[[#This Row],[Datum]],"MMMM")</f>
        <v>október</v>
      </c>
    </row>
    <row r="433" spans="1:19" x14ac:dyDescent="0.3">
      <c r="A433" s="2">
        <v>46140</v>
      </c>
      <c r="B433" t="s">
        <v>629</v>
      </c>
      <c r="C433" t="s">
        <v>630</v>
      </c>
      <c r="D433" t="s">
        <v>20</v>
      </c>
      <c r="E433" t="s">
        <v>68</v>
      </c>
      <c r="F433" t="s">
        <v>863</v>
      </c>
      <c r="G433" t="s">
        <v>43</v>
      </c>
      <c r="H433" t="s">
        <v>86</v>
      </c>
      <c r="I433" s="29" t="s">
        <v>604</v>
      </c>
      <c r="J433" t="s">
        <v>33</v>
      </c>
      <c r="K433">
        <v>4</v>
      </c>
      <c r="L433">
        <v>101</v>
      </c>
      <c r="M433">
        <v>7.0000000000000007E-2</v>
      </c>
      <c r="N433" s="25">
        <v>404</v>
      </c>
      <c r="O433">
        <v>287.38</v>
      </c>
      <c r="P433">
        <v>116.62</v>
      </c>
      <c r="Q433" s="19">
        <f>Tabuľka4[[#This Row],[Zisk]]/Tabuľka4[[#This Row],[Trzba]]</f>
        <v>0.2886633663366337</v>
      </c>
      <c r="R433">
        <v>2026</v>
      </c>
      <c r="S433" t="str">
        <f>TEXT(Tabuľka4[[#This Row],[Datum]],"MMMM")</f>
        <v>apríl</v>
      </c>
    </row>
    <row r="434" spans="1:19" x14ac:dyDescent="0.3">
      <c r="A434" s="2">
        <v>45939</v>
      </c>
      <c r="B434" t="s">
        <v>419</v>
      </c>
      <c r="C434" t="s">
        <v>420</v>
      </c>
      <c r="D434" t="s">
        <v>20</v>
      </c>
      <c r="E434" t="s">
        <v>50</v>
      </c>
      <c r="F434" t="s">
        <v>863</v>
      </c>
      <c r="G434" t="s">
        <v>22</v>
      </c>
      <c r="H434" t="s">
        <v>23</v>
      </c>
      <c r="I434" s="29" t="s">
        <v>405</v>
      </c>
      <c r="J434" t="s">
        <v>46</v>
      </c>
      <c r="K434">
        <v>4</v>
      </c>
      <c r="L434">
        <v>100</v>
      </c>
      <c r="M434">
        <v>0</v>
      </c>
      <c r="N434" s="25">
        <v>400</v>
      </c>
      <c r="O434">
        <v>280.11</v>
      </c>
      <c r="P434">
        <v>119.88999999999999</v>
      </c>
      <c r="Q434" s="19">
        <f>Tabuľka4[[#This Row],[Zisk]]/Tabuľka4[[#This Row],[Trzba]]</f>
        <v>0.29972499999999996</v>
      </c>
      <c r="R434">
        <v>2025</v>
      </c>
      <c r="S434" t="str">
        <f>TEXT(Tabuľka4[[#This Row],[Datum]],"MMMM")</f>
        <v>október</v>
      </c>
    </row>
    <row r="435" spans="1:19" x14ac:dyDescent="0.3">
      <c r="A435" s="2">
        <v>46063</v>
      </c>
      <c r="B435" t="s">
        <v>625</v>
      </c>
      <c r="C435" t="s">
        <v>626</v>
      </c>
      <c r="D435" t="s">
        <v>20</v>
      </c>
      <c r="E435" t="s">
        <v>21</v>
      </c>
      <c r="F435" t="s">
        <v>863</v>
      </c>
      <c r="G435" t="s">
        <v>22</v>
      </c>
      <c r="H435" t="s">
        <v>86</v>
      </c>
      <c r="I435" s="29" t="s">
        <v>604</v>
      </c>
      <c r="J435" t="s">
        <v>25</v>
      </c>
      <c r="K435">
        <v>5</v>
      </c>
      <c r="L435">
        <v>80</v>
      </c>
      <c r="M435">
        <v>0.1</v>
      </c>
      <c r="N435" s="25">
        <v>400</v>
      </c>
      <c r="O435">
        <v>298.14</v>
      </c>
      <c r="P435">
        <v>101.86000000000001</v>
      </c>
      <c r="Q435" s="19">
        <f>Tabuľka4[[#This Row],[Zisk]]/Tabuľka4[[#This Row],[Trzba]]</f>
        <v>0.25465000000000004</v>
      </c>
      <c r="R435">
        <v>2026</v>
      </c>
      <c r="S435" t="str">
        <f>TEXT(Tabuľka4[[#This Row],[Datum]],"MMMM")</f>
        <v>február</v>
      </c>
    </row>
    <row r="436" spans="1:19" x14ac:dyDescent="0.3">
      <c r="A436" s="2">
        <v>45914</v>
      </c>
      <c r="B436" t="s">
        <v>294</v>
      </c>
      <c r="C436" t="s">
        <v>295</v>
      </c>
      <c r="D436" t="s">
        <v>20</v>
      </c>
      <c r="E436" t="s">
        <v>21</v>
      </c>
      <c r="F436" t="s">
        <v>863</v>
      </c>
      <c r="G436" t="s">
        <v>22</v>
      </c>
      <c r="H436" t="s">
        <v>86</v>
      </c>
      <c r="I436" s="29" t="s">
        <v>271</v>
      </c>
      <c r="J436" t="s">
        <v>88</v>
      </c>
      <c r="K436">
        <v>1</v>
      </c>
      <c r="L436">
        <v>396</v>
      </c>
      <c r="M436">
        <v>0</v>
      </c>
      <c r="N436" s="25">
        <v>396</v>
      </c>
      <c r="O436">
        <v>267.93</v>
      </c>
      <c r="P436">
        <v>128.07</v>
      </c>
      <c r="Q436" s="19">
        <f>Tabuľka4[[#This Row],[Zisk]]/Tabuľka4[[#This Row],[Trzba]]</f>
        <v>0.32340909090909087</v>
      </c>
      <c r="R436">
        <v>2025</v>
      </c>
      <c r="S436" t="str">
        <f>TEXT(Tabuľka4[[#This Row],[Datum]],"MMMM")</f>
        <v>september</v>
      </c>
    </row>
    <row r="437" spans="1:19" x14ac:dyDescent="0.3">
      <c r="A437" s="2">
        <v>45529</v>
      </c>
      <c r="B437" t="s">
        <v>606</v>
      </c>
      <c r="C437" t="s">
        <v>420</v>
      </c>
      <c r="D437" t="s">
        <v>20</v>
      </c>
      <c r="E437" t="s">
        <v>21</v>
      </c>
      <c r="F437" t="s">
        <v>863</v>
      </c>
      <c r="G437" t="s">
        <v>22</v>
      </c>
      <c r="H437" t="s">
        <v>86</v>
      </c>
      <c r="I437" s="29" t="s">
        <v>604</v>
      </c>
      <c r="J437" t="s">
        <v>38</v>
      </c>
      <c r="K437">
        <v>4</v>
      </c>
      <c r="L437">
        <v>96</v>
      </c>
      <c r="M437">
        <v>0.12</v>
      </c>
      <c r="N437" s="25">
        <v>384</v>
      </c>
      <c r="O437">
        <v>229.83</v>
      </c>
      <c r="P437">
        <v>154.16999999999999</v>
      </c>
      <c r="Q437" s="19">
        <f>Tabuľka4[[#This Row],[Zisk]]/Tabuľka4[[#This Row],[Trzba]]</f>
        <v>0.40148437499999995</v>
      </c>
      <c r="R437">
        <v>2024</v>
      </c>
      <c r="S437" t="str">
        <f>TEXT(Tabuľka4[[#This Row],[Datum]],"MMMM")</f>
        <v>august</v>
      </c>
    </row>
    <row r="438" spans="1:19" x14ac:dyDescent="0.3">
      <c r="A438" s="2">
        <v>46054</v>
      </c>
      <c r="B438" t="s">
        <v>656</v>
      </c>
      <c r="C438" t="s">
        <v>115</v>
      </c>
      <c r="D438" t="s">
        <v>20</v>
      </c>
      <c r="E438" t="s">
        <v>68</v>
      </c>
      <c r="F438" t="s">
        <v>863</v>
      </c>
      <c r="G438" t="s">
        <v>43</v>
      </c>
      <c r="H438" t="s">
        <v>23</v>
      </c>
      <c r="I438" s="29" t="s">
        <v>632</v>
      </c>
      <c r="J438" t="s">
        <v>51</v>
      </c>
      <c r="K438">
        <v>2</v>
      </c>
      <c r="L438">
        <v>185</v>
      </c>
      <c r="M438">
        <v>0.03</v>
      </c>
      <c r="N438" s="25">
        <v>370</v>
      </c>
      <c r="O438">
        <v>267.63</v>
      </c>
      <c r="P438">
        <v>102.37</v>
      </c>
      <c r="Q438" s="19">
        <f>Tabuľka4[[#This Row],[Zisk]]/Tabuľka4[[#This Row],[Trzba]]</f>
        <v>0.27667567567567569</v>
      </c>
      <c r="R438">
        <v>2026</v>
      </c>
      <c r="S438" t="str">
        <f>TEXT(Tabuľka4[[#This Row],[Datum]],"MMMM")</f>
        <v>február</v>
      </c>
    </row>
    <row r="439" spans="1:19" x14ac:dyDescent="0.3">
      <c r="A439" s="2">
        <v>46090</v>
      </c>
      <c r="B439" t="s">
        <v>467</v>
      </c>
      <c r="C439" t="s">
        <v>57</v>
      </c>
      <c r="D439" t="s">
        <v>49</v>
      </c>
      <c r="E439" t="s">
        <v>50</v>
      </c>
      <c r="F439" t="s">
        <v>863</v>
      </c>
      <c r="G439" t="s">
        <v>58</v>
      </c>
      <c r="H439" t="s">
        <v>23</v>
      </c>
      <c r="I439" s="29" t="s">
        <v>447</v>
      </c>
      <c r="J439" t="s">
        <v>46</v>
      </c>
      <c r="K439">
        <v>4</v>
      </c>
      <c r="L439">
        <v>88</v>
      </c>
      <c r="M439">
        <v>7.0000000000000007E-2</v>
      </c>
      <c r="N439" s="25">
        <v>352</v>
      </c>
      <c r="O439">
        <v>127.76</v>
      </c>
      <c r="P439">
        <v>224.24</v>
      </c>
      <c r="Q439" s="19">
        <f>Tabuľka4[[#This Row],[Zisk]]/Tabuľka4[[#This Row],[Trzba]]</f>
        <v>0.63704545454545458</v>
      </c>
      <c r="R439">
        <v>2026</v>
      </c>
      <c r="S439" t="str">
        <f>TEXT(Tabuľka4[[#This Row],[Datum]],"MMMM")</f>
        <v>marec</v>
      </c>
    </row>
    <row r="440" spans="1:19" x14ac:dyDescent="0.3">
      <c r="A440" s="2">
        <v>45413</v>
      </c>
      <c r="B440" t="s">
        <v>471</v>
      </c>
      <c r="C440" t="s">
        <v>472</v>
      </c>
      <c r="D440" t="s">
        <v>20</v>
      </c>
      <c r="E440" t="s">
        <v>0</v>
      </c>
      <c r="F440" t="s">
        <v>863</v>
      </c>
      <c r="G440" t="s">
        <v>22</v>
      </c>
      <c r="H440" t="s">
        <v>23</v>
      </c>
      <c r="I440" s="29" t="s">
        <v>469</v>
      </c>
      <c r="J440" t="s">
        <v>63</v>
      </c>
      <c r="K440">
        <v>3</v>
      </c>
      <c r="L440">
        <v>108</v>
      </c>
      <c r="M440">
        <v>0.1</v>
      </c>
      <c r="N440" s="25">
        <v>324</v>
      </c>
      <c r="O440">
        <v>206.29</v>
      </c>
      <c r="P440">
        <v>117.71000000000001</v>
      </c>
      <c r="Q440" s="19">
        <f>Tabuľka4[[#This Row],[Zisk]]/Tabuľka4[[#This Row],[Trzba]]</f>
        <v>0.3633024691358025</v>
      </c>
      <c r="R440">
        <v>2024</v>
      </c>
      <c r="S440" t="str">
        <f>TEXT(Tabuľka4[[#This Row],[Datum]],"MMMM")</f>
        <v>máj</v>
      </c>
    </row>
    <row r="441" spans="1:19" x14ac:dyDescent="0.3">
      <c r="A441" s="2">
        <v>45630</v>
      </c>
      <c r="B441" t="s">
        <v>609</v>
      </c>
      <c r="C441" t="s">
        <v>96</v>
      </c>
      <c r="D441" t="s">
        <v>49</v>
      </c>
      <c r="E441" t="s">
        <v>68</v>
      </c>
      <c r="F441" t="s">
        <v>863</v>
      </c>
      <c r="G441" t="s">
        <v>58</v>
      </c>
      <c r="H441" t="s">
        <v>86</v>
      </c>
      <c r="I441" s="29" t="s">
        <v>604</v>
      </c>
      <c r="J441" t="s">
        <v>63</v>
      </c>
      <c r="K441">
        <v>6</v>
      </c>
      <c r="L441">
        <v>54</v>
      </c>
      <c r="M441">
        <v>0.3</v>
      </c>
      <c r="N441" s="25">
        <v>324</v>
      </c>
      <c r="O441">
        <v>189.98</v>
      </c>
      <c r="P441">
        <v>134.02000000000001</v>
      </c>
      <c r="Q441" s="19">
        <f>Tabuľka4[[#This Row],[Zisk]]/Tabuľka4[[#This Row],[Trzba]]</f>
        <v>0.413641975308642</v>
      </c>
      <c r="R441">
        <v>2024</v>
      </c>
      <c r="S441" t="str">
        <f>TEXT(Tabuľka4[[#This Row],[Datum]],"MMMM")</f>
        <v>december</v>
      </c>
    </row>
    <row r="442" spans="1:19" x14ac:dyDescent="0.3">
      <c r="A442" s="2">
        <v>45960</v>
      </c>
      <c r="B442" t="s">
        <v>621</v>
      </c>
      <c r="C442" t="s">
        <v>94</v>
      </c>
      <c r="D442" t="s">
        <v>20</v>
      </c>
      <c r="E442" t="s">
        <v>68</v>
      </c>
      <c r="F442" t="s">
        <v>863</v>
      </c>
      <c r="G442" t="s">
        <v>22</v>
      </c>
      <c r="H442" t="s">
        <v>86</v>
      </c>
      <c r="I442" s="29" t="s">
        <v>604</v>
      </c>
      <c r="J442" t="s">
        <v>51</v>
      </c>
      <c r="K442">
        <v>3</v>
      </c>
      <c r="L442">
        <v>106</v>
      </c>
      <c r="M442">
        <v>0.05</v>
      </c>
      <c r="N442" s="25">
        <v>318</v>
      </c>
      <c r="O442">
        <v>202.06</v>
      </c>
      <c r="P442">
        <v>115.94</v>
      </c>
      <c r="Q442" s="19">
        <f>Tabuľka4[[#This Row],[Zisk]]/Tabuľka4[[#This Row],[Trzba]]</f>
        <v>0.36459119496855347</v>
      </c>
      <c r="R442">
        <v>2025</v>
      </c>
      <c r="S442" t="str">
        <f>TEXT(Tabuľka4[[#This Row],[Datum]],"MMMM")</f>
        <v>október</v>
      </c>
    </row>
    <row r="443" spans="1:19" x14ac:dyDescent="0.3">
      <c r="A443" s="2">
        <v>45350</v>
      </c>
      <c r="B443" t="s">
        <v>468</v>
      </c>
      <c r="C443" t="s">
        <v>145</v>
      </c>
      <c r="D443" t="s">
        <v>20</v>
      </c>
      <c r="E443" t="s">
        <v>50</v>
      </c>
      <c r="F443" t="s">
        <v>863</v>
      </c>
      <c r="G443" t="s">
        <v>58</v>
      </c>
      <c r="H443" t="s">
        <v>23</v>
      </c>
      <c r="I443" s="29" t="s">
        <v>469</v>
      </c>
      <c r="J443" t="s">
        <v>51</v>
      </c>
      <c r="K443">
        <v>3</v>
      </c>
      <c r="L443">
        <v>104</v>
      </c>
      <c r="M443">
        <v>0.05</v>
      </c>
      <c r="N443" s="25">
        <v>312</v>
      </c>
      <c r="O443">
        <v>221.75</v>
      </c>
      <c r="P443">
        <v>90.25</v>
      </c>
      <c r="Q443" s="19">
        <f>Tabuľka4[[#This Row],[Zisk]]/Tabuľka4[[#This Row],[Trzba]]</f>
        <v>0.28926282051282054</v>
      </c>
      <c r="R443">
        <v>2024</v>
      </c>
      <c r="S443" t="str">
        <f>TEXT(Tabuľka4[[#This Row],[Datum]],"MMMM")</f>
        <v>február</v>
      </c>
    </row>
    <row r="444" spans="1:19" x14ac:dyDescent="0.3">
      <c r="A444" s="2">
        <v>45684</v>
      </c>
      <c r="B444" t="s">
        <v>417</v>
      </c>
      <c r="C444" t="s">
        <v>290</v>
      </c>
      <c r="D444" t="s">
        <v>20</v>
      </c>
      <c r="E444" t="s">
        <v>68</v>
      </c>
      <c r="F444" t="s">
        <v>863</v>
      </c>
      <c r="G444" t="s">
        <v>22</v>
      </c>
      <c r="H444" t="s">
        <v>23</v>
      </c>
      <c r="I444" s="29" t="s">
        <v>405</v>
      </c>
      <c r="J444" t="s">
        <v>51</v>
      </c>
      <c r="K444">
        <v>4</v>
      </c>
      <c r="L444">
        <v>76</v>
      </c>
      <c r="M444">
        <v>0.22</v>
      </c>
      <c r="N444" s="25">
        <v>304</v>
      </c>
      <c r="O444">
        <v>155.99</v>
      </c>
      <c r="P444">
        <v>148.01</v>
      </c>
      <c r="Q444" s="19">
        <f>Tabuľka4[[#This Row],[Zisk]]/Tabuľka4[[#This Row],[Trzba]]</f>
        <v>0.48687499999999995</v>
      </c>
      <c r="R444">
        <v>2025</v>
      </c>
      <c r="S444" t="str">
        <f>TEXT(Tabuľka4[[#This Row],[Datum]],"MMMM")</f>
        <v>január</v>
      </c>
    </row>
    <row r="445" spans="1:19" x14ac:dyDescent="0.3">
      <c r="A445" s="2">
        <v>46161</v>
      </c>
      <c r="B445" t="s">
        <v>661</v>
      </c>
      <c r="C445" t="s">
        <v>128</v>
      </c>
      <c r="D445" t="s">
        <v>20</v>
      </c>
      <c r="E445" t="s">
        <v>50</v>
      </c>
      <c r="F445" t="s">
        <v>863</v>
      </c>
      <c r="G445" t="s">
        <v>22</v>
      </c>
      <c r="H445" t="s">
        <v>23</v>
      </c>
      <c r="I445" s="29" t="s">
        <v>632</v>
      </c>
      <c r="J445" t="s">
        <v>38</v>
      </c>
      <c r="K445">
        <v>2</v>
      </c>
      <c r="L445">
        <v>152</v>
      </c>
      <c r="M445">
        <v>7.0000000000000007E-2</v>
      </c>
      <c r="N445" s="25">
        <v>304</v>
      </c>
      <c r="O445">
        <v>216.62</v>
      </c>
      <c r="P445">
        <v>87.38</v>
      </c>
      <c r="Q445" s="19">
        <f>Tabuľka4[[#This Row],[Zisk]]/Tabuľka4[[#This Row],[Trzba]]</f>
        <v>0.28743421052631579</v>
      </c>
      <c r="R445">
        <v>2026</v>
      </c>
      <c r="S445" t="str">
        <f>TEXT(Tabuľka4[[#This Row],[Datum]],"MMMM")</f>
        <v>máj</v>
      </c>
    </row>
    <row r="446" spans="1:19" x14ac:dyDescent="0.3">
      <c r="A446" s="2">
        <v>46011</v>
      </c>
      <c r="B446" t="s">
        <v>624</v>
      </c>
      <c r="C446" t="s">
        <v>285</v>
      </c>
      <c r="D446" t="s">
        <v>20</v>
      </c>
      <c r="E446" t="s">
        <v>21</v>
      </c>
      <c r="F446" t="s">
        <v>863</v>
      </c>
      <c r="G446" t="s">
        <v>22</v>
      </c>
      <c r="H446" t="s">
        <v>86</v>
      </c>
      <c r="I446" s="29" t="s">
        <v>604</v>
      </c>
      <c r="J446" t="s">
        <v>46</v>
      </c>
      <c r="K446">
        <v>3</v>
      </c>
      <c r="L446">
        <v>96</v>
      </c>
      <c r="M446">
        <v>0.14000000000000001</v>
      </c>
      <c r="N446" s="25">
        <v>288</v>
      </c>
      <c r="O446">
        <v>207.92</v>
      </c>
      <c r="P446">
        <v>80.080000000000013</v>
      </c>
      <c r="Q446" s="19">
        <f>Tabuľka4[[#This Row],[Zisk]]/Tabuľka4[[#This Row],[Trzba]]</f>
        <v>0.27805555555555561</v>
      </c>
      <c r="R446">
        <v>2025</v>
      </c>
      <c r="S446" t="str">
        <f>TEXT(Tabuľka4[[#This Row],[Datum]],"MMMM")</f>
        <v>december</v>
      </c>
    </row>
    <row r="447" spans="1:19" x14ac:dyDescent="0.3">
      <c r="A447" s="2">
        <v>45837</v>
      </c>
      <c r="B447" t="s">
        <v>418</v>
      </c>
      <c r="C447" t="s">
        <v>62</v>
      </c>
      <c r="D447" t="s">
        <v>20</v>
      </c>
      <c r="E447" t="s">
        <v>0</v>
      </c>
      <c r="F447" t="s">
        <v>863</v>
      </c>
      <c r="G447" t="s">
        <v>43</v>
      </c>
      <c r="H447" t="s">
        <v>23</v>
      </c>
      <c r="I447" s="29" t="s">
        <v>405</v>
      </c>
      <c r="J447" t="s">
        <v>30</v>
      </c>
      <c r="K447">
        <v>3</v>
      </c>
      <c r="L447">
        <v>95</v>
      </c>
      <c r="M447">
        <v>0.06</v>
      </c>
      <c r="N447" s="25">
        <v>285</v>
      </c>
      <c r="O447">
        <v>169.25</v>
      </c>
      <c r="P447">
        <v>115.75</v>
      </c>
      <c r="Q447" s="19">
        <f>Tabuľka4[[#This Row],[Zisk]]/Tabuľka4[[#This Row],[Trzba]]</f>
        <v>0.40614035087719297</v>
      </c>
      <c r="R447">
        <v>2025</v>
      </c>
      <c r="S447" t="str">
        <f>TEXT(Tabuľka4[[#This Row],[Datum]],"MMMM")</f>
        <v>jún</v>
      </c>
    </row>
    <row r="448" spans="1:19" x14ac:dyDescent="0.3">
      <c r="A448" s="2">
        <v>45645</v>
      </c>
      <c r="B448" t="s">
        <v>258</v>
      </c>
      <c r="C448" t="s">
        <v>74</v>
      </c>
      <c r="D448" t="s">
        <v>49</v>
      </c>
      <c r="E448" t="s">
        <v>21</v>
      </c>
      <c r="F448" t="s">
        <v>863</v>
      </c>
      <c r="G448" t="s">
        <v>58</v>
      </c>
      <c r="H448" t="s">
        <v>23</v>
      </c>
      <c r="I448" s="29" t="s">
        <v>248</v>
      </c>
      <c r="J448" t="s">
        <v>38</v>
      </c>
      <c r="K448">
        <v>9</v>
      </c>
      <c r="L448">
        <v>30</v>
      </c>
      <c r="M448">
        <v>0.11</v>
      </c>
      <c r="N448" s="25">
        <v>270</v>
      </c>
      <c r="O448">
        <v>284.01</v>
      </c>
      <c r="P448">
        <v>-14.009999999999991</v>
      </c>
      <c r="Q448" s="19">
        <f>Tabuľka4[[#This Row],[Zisk]]/Tabuľka4[[#This Row],[Trzba]]</f>
        <v>-5.1888888888888852E-2</v>
      </c>
      <c r="R448">
        <v>2024</v>
      </c>
      <c r="S448" t="str">
        <f>TEXT(Tabuľka4[[#This Row],[Datum]],"MMMM")</f>
        <v>december</v>
      </c>
    </row>
    <row r="449" spans="1:19" x14ac:dyDescent="0.3">
      <c r="A449" s="2">
        <v>46158</v>
      </c>
      <c r="B449" t="s">
        <v>659</v>
      </c>
      <c r="C449" t="s">
        <v>660</v>
      </c>
      <c r="D449" t="s">
        <v>20</v>
      </c>
      <c r="E449" t="s">
        <v>0</v>
      </c>
      <c r="F449" t="s">
        <v>863</v>
      </c>
      <c r="G449" t="s">
        <v>43</v>
      </c>
      <c r="H449" t="s">
        <v>23</v>
      </c>
      <c r="I449" s="29" t="s">
        <v>632</v>
      </c>
      <c r="J449" t="s">
        <v>38</v>
      </c>
      <c r="K449">
        <v>2</v>
      </c>
      <c r="L449">
        <v>135</v>
      </c>
      <c r="M449">
        <v>0.11</v>
      </c>
      <c r="N449" s="25">
        <v>270</v>
      </c>
      <c r="O449">
        <v>167.48</v>
      </c>
      <c r="P449">
        <v>102.52000000000001</v>
      </c>
      <c r="Q449" s="19">
        <f>Tabuľka4[[#This Row],[Zisk]]/Tabuľka4[[#This Row],[Trzba]]</f>
        <v>0.37970370370370377</v>
      </c>
      <c r="R449">
        <v>2026</v>
      </c>
      <c r="S449" t="str">
        <f>TEXT(Tabuľka4[[#This Row],[Datum]],"MMMM")</f>
        <v>máj</v>
      </c>
    </row>
    <row r="450" spans="1:19" x14ac:dyDescent="0.3">
      <c r="A450" s="2">
        <v>45564</v>
      </c>
      <c r="B450" t="s">
        <v>412</v>
      </c>
      <c r="C450" t="s">
        <v>413</v>
      </c>
      <c r="D450" t="s">
        <v>20</v>
      </c>
      <c r="E450" t="s">
        <v>21</v>
      </c>
      <c r="F450" t="s">
        <v>863</v>
      </c>
      <c r="G450" t="s">
        <v>22</v>
      </c>
      <c r="H450" t="s">
        <v>23</v>
      </c>
      <c r="I450" s="29" t="s">
        <v>405</v>
      </c>
      <c r="J450" t="s">
        <v>51</v>
      </c>
      <c r="K450">
        <v>3</v>
      </c>
      <c r="L450">
        <v>87</v>
      </c>
      <c r="M450">
        <v>0.01</v>
      </c>
      <c r="N450" s="25">
        <v>261</v>
      </c>
      <c r="O450">
        <v>178.17</v>
      </c>
      <c r="P450">
        <v>82.830000000000013</v>
      </c>
      <c r="Q450" s="19">
        <f>Tabuľka4[[#This Row],[Zisk]]/Tabuľka4[[#This Row],[Trzba]]</f>
        <v>0.31735632183908052</v>
      </c>
      <c r="R450">
        <v>2024</v>
      </c>
      <c r="S450" t="str">
        <f>TEXT(Tabuľka4[[#This Row],[Datum]],"MMMM")</f>
        <v>september</v>
      </c>
    </row>
    <row r="451" spans="1:19" x14ac:dyDescent="0.3">
      <c r="A451" s="2">
        <v>46102</v>
      </c>
      <c r="B451" t="s">
        <v>481</v>
      </c>
      <c r="C451" t="s">
        <v>278</v>
      </c>
      <c r="D451" t="s">
        <v>20</v>
      </c>
      <c r="E451" t="s">
        <v>21</v>
      </c>
      <c r="F451" t="s">
        <v>863</v>
      </c>
      <c r="G451" t="s">
        <v>22</v>
      </c>
      <c r="H451" t="s">
        <v>23</v>
      </c>
      <c r="I451" s="29" t="s">
        <v>469</v>
      </c>
      <c r="J451" t="s">
        <v>38</v>
      </c>
      <c r="K451">
        <v>3</v>
      </c>
      <c r="L451">
        <v>85</v>
      </c>
      <c r="M451">
        <v>0.02</v>
      </c>
      <c r="N451" s="25">
        <v>255</v>
      </c>
      <c r="O451">
        <v>167.67</v>
      </c>
      <c r="P451">
        <v>87.330000000000013</v>
      </c>
      <c r="Q451" s="19">
        <f>Tabuľka4[[#This Row],[Zisk]]/Tabuľka4[[#This Row],[Trzba]]</f>
        <v>0.34247058823529419</v>
      </c>
      <c r="R451">
        <v>2026</v>
      </c>
      <c r="S451" t="str">
        <f>TEXT(Tabuľka4[[#This Row],[Datum]],"MMMM")</f>
        <v>marec</v>
      </c>
    </row>
    <row r="452" spans="1:19" x14ac:dyDescent="0.3">
      <c r="A452" s="2">
        <v>45398</v>
      </c>
      <c r="B452" t="s">
        <v>249</v>
      </c>
      <c r="C452" t="s">
        <v>92</v>
      </c>
      <c r="D452" t="s">
        <v>20</v>
      </c>
      <c r="E452" t="s">
        <v>68</v>
      </c>
      <c r="F452" t="s">
        <v>863</v>
      </c>
      <c r="G452" t="s">
        <v>22</v>
      </c>
      <c r="H452" t="s">
        <v>23</v>
      </c>
      <c r="I452" s="29" t="s">
        <v>248</v>
      </c>
      <c r="J452" t="s">
        <v>33</v>
      </c>
      <c r="K452">
        <v>5</v>
      </c>
      <c r="L452">
        <v>50</v>
      </c>
      <c r="M452">
        <v>0</v>
      </c>
      <c r="N452" s="25">
        <v>250</v>
      </c>
      <c r="O452">
        <v>168.32</v>
      </c>
      <c r="P452">
        <v>81.680000000000007</v>
      </c>
      <c r="Q452" s="19">
        <f>Tabuľka4[[#This Row],[Zisk]]/Tabuľka4[[#This Row],[Trzba]]</f>
        <v>0.32672000000000001</v>
      </c>
      <c r="R452">
        <v>2024</v>
      </c>
      <c r="S452" t="str">
        <f>TEXT(Tabuľka4[[#This Row],[Datum]],"MMMM")</f>
        <v>apríl</v>
      </c>
    </row>
    <row r="453" spans="1:19" x14ac:dyDescent="0.3">
      <c r="A453" s="2">
        <v>45450</v>
      </c>
      <c r="B453" t="s">
        <v>473</v>
      </c>
      <c r="C453" t="s">
        <v>145</v>
      </c>
      <c r="D453" t="s">
        <v>20</v>
      </c>
      <c r="E453" t="s">
        <v>50</v>
      </c>
      <c r="F453" t="s">
        <v>863</v>
      </c>
      <c r="G453" t="s">
        <v>22</v>
      </c>
      <c r="H453" t="s">
        <v>23</v>
      </c>
      <c r="I453" s="29" t="s">
        <v>469</v>
      </c>
      <c r="J453" t="s">
        <v>33</v>
      </c>
      <c r="K453">
        <v>3</v>
      </c>
      <c r="L453">
        <v>83</v>
      </c>
      <c r="M453">
        <v>0.06</v>
      </c>
      <c r="N453" s="25">
        <v>249</v>
      </c>
      <c r="O453">
        <v>176.37</v>
      </c>
      <c r="P453">
        <v>72.63</v>
      </c>
      <c r="Q453" s="19">
        <f>Tabuľka4[[#This Row],[Zisk]]/Tabuľka4[[#This Row],[Trzba]]</f>
        <v>0.29168674698795177</v>
      </c>
      <c r="R453">
        <v>2024</v>
      </c>
      <c r="S453" t="str">
        <f>TEXT(Tabuľka4[[#This Row],[Datum]],"MMMM")</f>
        <v>jún</v>
      </c>
    </row>
    <row r="454" spans="1:19" x14ac:dyDescent="0.3">
      <c r="A454" s="2">
        <v>45437</v>
      </c>
      <c r="B454" t="s">
        <v>633</v>
      </c>
      <c r="C454" t="s">
        <v>413</v>
      </c>
      <c r="D454" t="s">
        <v>20</v>
      </c>
      <c r="E454" t="s">
        <v>0</v>
      </c>
      <c r="F454" t="s">
        <v>863</v>
      </c>
      <c r="G454" t="s">
        <v>22</v>
      </c>
      <c r="H454" t="s">
        <v>23</v>
      </c>
      <c r="I454" s="29" t="s">
        <v>632</v>
      </c>
      <c r="J454" t="s">
        <v>25</v>
      </c>
      <c r="K454">
        <v>1</v>
      </c>
      <c r="L454">
        <v>240</v>
      </c>
      <c r="M454">
        <v>0.05</v>
      </c>
      <c r="N454" s="25">
        <v>240</v>
      </c>
      <c r="O454">
        <v>160.86000000000001</v>
      </c>
      <c r="P454">
        <v>79.139999999999986</v>
      </c>
      <c r="Q454" s="19">
        <f>Tabuľka4[[#This Row],[Zisk]]/Tabuľka4[[#This Row],[Trzba]]</f>
        <v>0.32974999999999993</v>
      </c>
      <c r="R454">
        <v>2024</v>
      </c>
      <c r="S454" t="str">
        <f>TEXT(Tabuľka4[[#This Row],[Datum]],"MMMM")</f>
        <v>máj</v>
      </c>
    </row>
    <row r="455" spans="1:19" x14ac:dyDescent="0.3">
      <c r="A455" s="2">
        <v>45545</v>
      </c>
      <c r="B455" t="s">
        <v>410</v>
      </c>
      <c r="C455" t="s">
        <v>228</v>
      </c>
      <c r="D455" t="s">
        <v>20</v>
      </c>
      <c r="E455" t="s">
        <v>68</v>
      </c>
      <c r="F455" t="s">
        <v>863</v>
      </c>
      <c r="G455" t="s">
        <v>58</v>
      </c>
      <c r="H455" t="s">
        <v>23</v>
      </c>
      <c r="I455" s="29" t="s">
        <v>405</v>
      </c>
      <c r="J455" t="s">
        <v>63</v>
      </c>
      <c r="K455">
        <v>3</v>
      </c>
      <c r="L455">
        <v>79</v>
      </c>
      <c r="M455">
        <v>0.04</v>
      </c>
      <c r="N455" s="25">
        <v>237</v>
      </c>
      <c r="O455">
        <v>177.46</v>
      </c>
      <c r="P455">
        <v>59.539999999999992</v>
      </c>
      <c r="Q455" s="19">
        <f>Tabuľka4[[#This Row],[Zisk]]/Tabuľka4[[#This Row],[Trzba]]</f>
        <v>0.25122362869198311</v>
      </c>
      <c r="R455">
        <v>2024</v>
      </c>
      <c r="S455" t="str">
        <f>TEXT(Tabuľka4[[#This Row],[Datum]],"MMMM")</f>
        <v>september</v>
      </c>
    </row>
    <row r="456" spans="1:19" x14ac:dyDescent="0.3">
      <c r="A456" s="2">
        <v>45711</v>
      </c>
      <c r="B456" t="s">
        <v>641</v>
      </c>
      <c r="C456" t="s">
        <v>642</v>
      </c>
      <c r="D456" t="s">
        <v>20</v>
      </c>
      <c r="E456" t="s">
        <v>21</v>
      </c>
      <c r="F456" t="s">
        <v>863</v>
      </c>
      <c r="G456" t="s">
        <v>22</v>
      </c>
      <c r="H456" t="s">
        <v>23</v>
      </c>
      <c r="I456" s="29" t="s">
        <v>632</v>
      </c>
      <c r="J456" t="s">
        <v>88</v>
      </c>
      <c r="K456">
        <v>2</v>
      </c>
      <c r="L456">
        <v>115</v>
      </c>
      <c r="M456">
        <v>0.12</v>
      </c>
      <c r="N456" s="25">
        <v>230</v>
      </c>
      <c r="O456">
        <v>117.86</v>
      </c>
      <c r="P456">
        <v>112.14</v>
      </c>
      <c r="Q456" s="19">
        <f>Tabuľka4[[#This Row],[Zisk]]/Tabuľka4[[#This Row],[Trzba]]</f>
        <v>0.48756521739130437</v>
      </c>
      <c r="R456">
        <v>2025</v>
      </c>
      <c r="S456" t="str">
        <f>TEXT(Tabuľka4[[#This Row],[Datum]],"MMMM")</f>
        <v>február</v>
      </c>
    </row>
    <row r="457" spans="1:19" x14ac:dyDescent="0.3">
      <c r="A457" s="2">
        <v>45638</v>
      </c>
      <c r="B457" t="s">
        <v>610</v>
      </c>
      <c r="C457" t="s">
        <v>611</v>
      </c>
      <c r="D457" t="s">
        <v>20</v>
      </c>
      <c r="E457" t="s">
        <v>21</v>
      </c>
      <c r="F457" t="s">
        <v>863</v>
      </c>
      <c r="G457" t="s">
        <v>22</v>
      </c>
      <c r="H457" t="s">
        <v>86</v>
      </c>
      <c r="I457" s="29" t="s">
        <v>604</v>
      </c>
      <c r="J457" t="s">
        <v>33</v>
      </c>
      <c r="K457">
        <v>3</v>
      </c>
      <c r="L457">
        <v>76</v>
      </c>
      <c r="M457">
        <v>0.23</v>
      </c>
      <c r="N457" s="25">
        <v>228</v>
      </c>
      <c r="O457">
        <v>113.48</v>
      </c>
      <c r="P457">
        <v>114.52</v>
      </c>
      <c r="Q457" s="19">
        <f>Tabuľka4[[#This Row],[Zisk]]/Tabuľka4[[#This Row],[Trzba]]</f>
        <v>0.50228070175438599</v>
      </c>
      <c r="R457">
        <v>2024</v>
      </c>
      <c r="S457" t="str">
        <f>TEXT(Tabuľka4[[#This Row],[Datum]],"MMMM")</f>
        <v>december</v>
      </c>
    </row>
    <row r="458" spans="1:19" x14ac:dyDescent="0.3">
      <c r="A458" s="2">
        <v>45678</v>
      </c>
      <c r="B458" t="s">
        <v>259</v>
      </c>
      <c r="C458" t="s">
        <v>74</v>
      </c>
      <c r="D458" t="s">
        <v>49</v>
      </c>
      <c r="E458" t="s">
        <v>0</v>
      </c>
      <c r="F458" t="s">
        <v>863</v>
      </c>
      <c r="G458" t="s">
        <v>43</v>
      </c>
      <c r="H458" t="s">
        <v>23</v>
      </c>
      <c r="I458" s="29" t="s">
        <v>248</v>
      </c>
      <c r="J458" t="s">
        <v>33</v>
      </c>
      <c r="K458">
        <v>9</v>
      </c>
      <c r="L458">
        <v>25</v>
      </c>
      <c r="M458">
        <v>0.06</v>
      </c>
      <c r="N458" s="25">
        <v>225</v>
      </c>
      <c r="O458">
        <v>174.06</v>
      </c>
      <c r="P458">
        <v>50.94</v>
      </c>
      <c r="Q458" s="19">
        <f>Tabuľka4[[#This Row],[Zisk]]/Tabuľka4[[#This Row],[Trzba]]</f>
        <v>0.22639999999999999</v>
      </c>
      <c r="R458">
        <v>2025</v>
      </c>
      <c r="S458" t="str">
        <f>TEXT(Tabuľka4[[#This Row],[Datum]],"MMMM")</f>
        <v>január</v>
      </c>
    </row>
    <row r="459" spans="1:19" x14ac:dyDescent="0.3">
      <c r="A459" s="2">
        <v>45422</v>
      </c>
      <c r="B459" t="s">
        <v>406</v>
      </c>
      <c r="C459" t="s">
        <v>212</v>
      </c>
      <c r="D459" t="s">
        <v>20</v>
      </c>
      <c r="E459" t="s">
        <v>0</v>
      </c>
      <c r="F459" t="s">
        <v>863</v>
      </c>
      <c r="G459" t="s">
        <v>22</v>
      </c>
      <c r="H459" t="s">
        <v>23</v>
      </c>
      <c r="I459" s="29" t="s">
        <v>405</v>
      </c>
      <c r="J459" t="s">
        <v>51</v>
      </c>
      <c r="K459">
        <v>2</v>
      </c>
      <c r="L459">
        <v>108</v>
      </c>
      <c r="M459">
        <v>0.09</v>
      </c>
      <c r="N459" s="25">
        <v>216</v>
      </c>
      <c r="O459">
        <v>151.96</v>
      </c>
      <c r="P459">
        <v>64.039999999999992</v>
      </c>
      <c r="Q459" s="19">
        <f>Tabuľka4[[#This Row],[Zisk]]/Tabuľka4[[#This Row],[Trzba]]</f>
        <v>0.29648148148148146</v>
      </c>
      <c r="R459">
        <v>2024</v>
      </c>
      <c r="S459" t="str">
        <f>TEXT(Tabuľka4[[#This Row],[Datum]],"MMMM")</f>
        <v>máj</v>
      </c>
    </row>
    <row r="460" spans="1:19" x14ac:dyDescent="0.3">
      <c r="A460" s="2">
        <v>45544</v>
      </c>
      <c r="B460" t="s">
        <v>474</v>
      </c>
      <c r="C460" t="s">
        <v>62</v>
      </c>
      <c r="D460" t="s">
        <v>20</v>
      </c>
      <c r="E460" t="s">
        <v>68</v>
      </c>
      <c r="F460" t="s">
        <v>863</v>
      </c>
      <c r="G460" t="s">
        <v>22</v>
      </c>
      <c r="H460" t="s">
        <v>23</v>
      </c>
      <c r="I460" s="29" t="s">
        <v>469</v>
      </c>
      <c r="J460" t="s">
        <v>88</v>
      </c>
      <c r="K460">
        <v>2</v>
      </c>
      <c r="L460">
        <v>106</v>
      </c>
      <c r="M460">
        <v>0.06</v>
      </c>
      <c r="N460" s="25">
        <v>212</v>
      </c>
      <c r="O460">
        <v>174.38</v>
      </c>
      <c r="P460">
        <v>37.620000000000005</v>
      </c>
      <c r="Q460" s="19">
        <f>Tabuľka4[[#This Row],[Zisk]]/Tabuľka4[[#This Row],[Trzba]]</f>
        <v>0.17745283018867927</v>
      </c>
      <c r="R460">
        <v>2024</v>
      </c>
      <c r="S460" t="str">
        <f>TEXT(Tabuľka4[[#This Row],[Datum]],"MMMM")</f>
        <v>september</v>
      </c>
    </row>
    <row r="461" spans="1:19" x14ac:dyDescent="0.3">
      <c r="A461" s="2">
        <v>46036</v>
      </c>
      <c r="B461" t="s">
        <v>653</v>
      </c>
      <c r="C461" t="s">
        <v>280</v>
      </c>
      <c r="D461" t="s">
        <v>20</v>
      </c>
      <c r="E461" t="s">
        <v>68</v>
      </c>
      <c r="F461" t="s">
        <v>863</v>
      </c>
      <c r="G461" t="s">
        <v>43</v>
      </c>
      <c r="H461" t="s">
        <v>23</v>
      </c>
      <c r="I461" s="29" t="s">
        <v>632</v>
      </c>
      <c r="J461" t="s">
        <v>88</v>
      </c>
      <c r="K461">
        <v>1</v>
      </c>
      <c r="L461">
        <v>211</v>
      </c>
      <c r="M461">
        <v>0.14000000000000001</v>
      </c>
      <c r="N461" s="25">
        <v>211</v>
      </c>
      <c r="O461">
        <v>158.21</v>
      </c>
      <c r="P461">
        <v>52.789999999999992</v>
      </c>
      <c r="Q461" s="19">
        <f>Tabuľka4[[#This Row],[Zisk]]/Tabuľka4[[#This Row],[Trzba]]</f>
        <v>0.2501895734597156</v>
      </c>
      <c r="R461">
        <v>2026</v>
      </c>
      <c r="S461" t="str">
        <f>TEXT(Tabuľka4[[#This Row],[Datum]],"MMMM")</f>
        <v>január</v>
      </c>
    </row>
    <row r="462" spans="1:19" x14ac:dyDescent="0.3">
      <c r="A462" s="2">
        <v>45916</v>
      </c>
      <c r="B462" t="s">
        <v>195</v>
      </c>
      <c r="C462" t="s">
        <v>196</v>
      </c>
      <c r="D462" t="s">
        <v>20</v>
      </c>
      <c r="E462" t="s">
        <v>0</v>
      </c>
      <c r="F462" t="s">
        <v>863</v>
      </c>
      <c r="G462" t="s">
        <v>22</v>
      </c>
      <c r="H462" t="s">
        <v>188</v>
      </c>
      <c r="I462" s="29" t="s">
        <v>189</v>
      </c>
      <c r="J462" t="s">
        <v>63</v>
      </c>
      <c r="K462">
        <v>1</v>
      </c>
      <c r="L462">
        <v>201</v>
      </c>
      <c r="M462">
        <v>7.0000000000000007E-2</v>
      </c>
      <c r="N462" s="25">
        <v>201</v>
      </c>
      <c r="O462">
        <v>111.05</v>
      </c>
      <c r="P462">
        <v>89.95</v>
      </c>
      <c r="Q462" s="19">
        <f>Tabuľka4[[#This Row],[Zisk]]/Tabuľka4[[#This Row],[Trzba]]</f>
        <v>0.4475124378109453</v>
      </c>
      <c r="R462">
        <v>2025</v>
      </c>
      <c r="S462" t="str">
        <f>TEXT(Tabuľka4[[#This Row],[Datum]],"MMMM")</f>
        <v>september</v>
      </c>
    </row>
    <row r="463" spans="1:19" x14ac:dyDescent="0.3">
      <c r="A463" s="2">
        <v>45466</v>
      </c>
      <c r="B463" t="s">
        <v>253</v>
      </c>
      <c r="C463" t="s">
        <v>254</v>
      </c>
      <c r="D463" t="s">
        <v>20</v>
      </c>
      <c r="E463" t="s">
        <v>0</v>
      </c>
      <c r="F463" t="s">
        <v>863</v>
      </c>
      <c r="G463" t="s">
        <v>22</v>
      </c>
      <c r="H463" t="s">
        <v>23</v>
      </c>
      <c r="I463" s="29" t="s">
        <v>248</v>
      </c>
      <c r="J463" t="s">
        <v>46</v>
      </c>
      <c r="K463">
        <v>5</v>
      </c>
      <c r="L463">
        <v>40</v>
      </c>
      <c r="M463">
        <v>0.11</v>
      </c>
      <c r="N463" s="25">
        <v>200</v>
      </c>
      <c r="O463">
        <v>133.12</v>
      </c>
      <c r="P463">
        <v>66.88</v>
      </c>
      <c r="Q463" s="19">
        <f>Tabuľka4[[#This Row],[Zisk]]/Tabuľka4[[#This Row],[Trzba]]</f>
        <v>0.33439999999999998</v>
      </c>
      <c r="R463">
        <v>2024</v>
      </c>
      <c r="S463" t="str">
        <f>TEXT(Tabuľka4[[#This Row],[Datum]],"MMMM")</f>
        <v>jún</v>
      </c>
    </row>
    <row r="464" spans="1:19" x14ac:dyDescent="0.3">
      <c r="A464" s="2">
        <v>46125</v>
      </c>
      <c r="B464" t="s">
        <v>265</v>
      </c>
      <c r="C464" t="s">
        <v>266</v>
      </c>
      <c r="D464" t="s">
        <v>20</v>
      </c>
      <c r="E464" t="s">
        <v>0</v>
      </c>
      <c r="F464" t="s">
        <v>863</v>
      </c>
      <c r="G464" t="s">
        <v>22</v>
      </c>
      <c r="H464" t="s">
        <v>23</v>
      </c>
      <c r="I464" s="29" t="s">
        <v>248</v>
      </c>
      <c r="J464" t="s">
        <v>30</v>
      </c>
      <c r="K464">
        <v>8</v>
      </c>
      <c r="L464">
        <v>25</v>
      </c>
      <c r="M464">
        <v>0.13</v>
      </c>
      <c r="N464" s="25">
        <v>200</v>
      </c>
      <c r="O464">
        <v>282.74</v>
      </c>
      <c r="P464">
        <v>-82.740000000000009</v>
      </c>
      <c r="Q464" s="19">
        <f>Tabuľka4[[#This Row],[Zisk]]/Tabuľka4[[#This Row],[Trzba]]</f>
        <v>-0.41370000000000007</v>
      </c>
      <c r="R464">
        <v>2026</v>
      </c>
      <c r="S464" t="str">
        <f>TEXT(Tabuľka4[[#This Row],[Datum]],"MMMM")</f>
        <v>apríl</v>
      </c>
    </row>
    <row r="465" spans="1:19" x14ac:dyDescent="0.3">
      <c r="A465" s="2">
        <v>46100</v>
      </c>
      <c r="B465" t="s">
        <v>627</v>
      </c>
      <c r="C465" t="s">
        <v>608</v>
      </c>
      <c r="D465" t="s">
        <v>20</v>
      </c>
      <c r="E465" t="s">
        <v>21</v>
      </c>
      <c r="F465" t="s">
        <v>863</v>
      </c>
      <c r="G465" t="s">
        <v>22</v>
      </c>
      <c r="H465" t="s">
        <v>86</v>
      </c>
      <c r="I465" s="29" t="s">
        <v>604</v>
      </c>
      <c r="J465" t="s">
        <v>38</v>
      </c>
      <c r="K465">
        <v>2</v>
      </c>
      <c r="L465">
        <v>97</v>
      </c>
      <c r="M465">
        <v>0.08</v>
      </c>
      <c r="N465" s="25">
        <v>194</v>
      </c>
      <c r="O465">
        <v>130.63999999999999</v>
      </c>
      <c r="P465">
        <v>63.360000000000014</v>
      </c>
      <c r="Q465" s="19">
        <f>Tabuľka4[[#This Row],[Zisk]]/Tabuľka4[[#This Row],[Trzba]]</f>
        <v>0.32659793814432997</v>
      </c>
      <c r="R465">
        <v>2026</v>
      </c>
      <c r="S465" t="str">
        <f>TEXT(Tabuľka4[[#This Row],[Datum]],"MMMM")</f>
        <v>marec</v>
      </c>
    </row>
    <row r="466" spans="1:19" x14ac:dyDescent="0.3">
      <c r="A466" s="2">
        <v>45850</v>
      </c>
      <c r="B466" t="s">
        <v>462</v>
      </c>
      <c r="C466" t="s">
        <v>463</v>
      </c>
      <c r="D466" t="s">
        <v>20</v>
      </c>
      <c r="E466" t="s">
        <v>68</v>
      </c>
      <c r="F466" t="s">
        <v>863</v>
      </c>
      <c r="G466" t="s">
        <v>22</v>
      </c>
      <c r="H466" t="s">
        <v>23</v>
      </c>
      <c r="I466" s="29" t="s">
        <v>447</v>
      </c>
      <c r="J466" t="s">
        <v>46</v>
      </c>
      <c r="K466">
        <v>5</v>
      </c>
      <c r="L466">
        <v>38</v>
      </c>
      <c r="M466">
        <v>0.15</v>
      </c>
      <c r="N466" s="25">
        <v>190</v>
      </c>
      <c r="O466">
        <v>97.09</v>
      </c>
      <c r="P466">
        <v>92.91</v>
      </c>
      <c r="Q466" s="19">
        <f>Tabuľka4[[#This Row],[Zisk]]/Tabuľka4[[#This Row],[Trzba]]</f>
        <v>0.48899999999999999</v>
      </c>
      <c r="R466">
        <v>2025</v>
      </c>
      <c r="S466" t="str">
        <f>TEXT(Tabuľka4[[#This Row],[Datum]],"MMMM")</f>
        <v>júl</v>
      </c>
    </row>
    <row r="467" spans="1:19" x14ac:dyDescent="0.3">
      <c r="A467" s="2">
        <v>46129</v>
      </c>
      <c r="B467" t="s">
        <v>628</v>
      </c>
      <c r="C467" t="s">
        <v>320</v>
      </c>
      <c r="D467" t="s">
        <v>20</v>
      </c>
      <c r="E467" t="s">
        <v>21</v>
      </c>
      <c r="F467" t="s">
        <v>863</v>
      </c>
      <c r="G467" t="s">
        <v>22</v>
      </c>
      <c r="H467" t="s">
        <v>86</v>
      </c>
      <c r="I467" s="29" t="s">
        <v>604</v>
      </c>
      <c r="J467" t="s">
        <v>38</v>
      </c>
      <c r="K467">
        <v>2</v>
      </c>
      <c r="L467">
        <v>95</v>
      </c>
      <c r="M467">
        <v>0.08</v>
      </c>
      <c r="N467" s="25">
        <v>190</v>
      </c>
      <c r="O467">
        <v>109.82</v>
      </c>
      <c r="P467">
        <v>80.180000000000007</v>
      </c>
      <c r="Q467" s="19">
        <f>Tabuľka4[[#This Row],[Zisk]]/Tabuľka4[[#This Row],[Trzba]]</f>
        <v>0.42200000000000004</v>
      </c>
      <c r="R467">
        <v>2026</v>
      </c>
      <c r="S467" t="str">
        <f>TEXT(Tabuľka4[[#This Row],[Datum]],"MMMM")</f>
        <v>apríl</v>
      </c>
    </row>
    <row r="468" spans="1:19" x14ac:dyDescent="0.3">
      <c r="A468" s="2">
        <v>45678</v>
      </c>
      <c r="B468" t="s">
        <v>190</v>
      </c>
      <c r="C468" t="s">
        <v>94</v>
      </c>
      <c r="D468" t="s">
        <v>20</v>
      </c>
      <c r="E468" t="s">
        <v>0</v>
      </c>
      <c r="F468" t="s">
        <v>863</v>
      </c>
      <c r="G468" t="s">
        <v>22</v>
      </c>
      <c r="H468" t="s">
        <v>188</v>
      </c>
      <c r="I468" s="29" t="s">
        <v>189</v>
      </c>
      <c r="J468" t="s">
        <v>38</v>
      </c>
      <c r="K468">
        <v>1</v>
      </c>
      <c r="L468">
        <v>189</v>
      </c>
      <c r="M468">
        <v>0.05</v>
      </c>
      <c r="N468" s="25">
        <v>189</v>
      </c>
      <c r="O468">
        <v>89.69</v>
      </c>
      <c r="P468">
        <v>99.31</v>
      </c>
      <c r="Q468" s="19">
        <f>Tabuľka4[[#This Row],[Zisk]]/Tabuľka4[[#This Row],[Trzba]]</f>
        <v>0.5254497354497355</v>
      </c>
      <c r="R468">
        <v>2025</v>
      </c>
      <c r="S468" t="str">
        <f>TEXT(Tabuľka4[[#This Row],[Datum]],"MMMM")</f>
        <v>január</v>
      </c>
    </row>
    <row r="469" spans="1:19" x14ac:dyDescent="0.3">
      <c r="A469" s="2">
        <v>45977</v>
      </c>
      <c r="B469" t="s">
        <v>622</v>
      </c>
      <c r="C469" t="s">
        <v>111</v>
      </c>
      <c r="D469" t="s">
        <v>20</v>
      </c>
      <c r="E469" t="s">
        <v>21</v>
      </c>
      <c r="F469" t="s">
        <v>863</v>
      </c>
      <c r="G469" t="s">
        <v>43</v>
      </c>
      <c r="H469" t="s">
        <v>86</v>
      </c>
      <c r="I469" s="29" t="s">
        <v>604</v>
      </c>
      <c r="J469" t="s">
        <v>25</v>
      </c>
      <c r="K469">
        <v>3</v>
      </c>
      <c r="L469">
        <v>62</v>
      </c>
      <c r="M469">
        <v>0.08</v>
      </c>
      <c r="N469" s="25">
        <v>186</v>
      </c>
      <c r="O469">
        <v>135.54</v>
      </c>
      <c r="P469">
        <v>50.460000000000008</v>
      </c>
      <c r="Q469" s="19">
        <f>Tabuľka4[[#This Row],[Zisk]]/Tabuľka4[[#This Row],[Trzba]]</f>
        <v>0.27129032258064523</v>
      </c>
      <c r="R469">
        <v>2025</v>
      </c>
      <c r="S469" t="str">
        <f>TEXT(Tabuľka4[[#This Row],[Datum]],"MMMM")</f>
        <v>november</v>
      </c>
    </row>
    <row r="470" spans="1:19" x14ac:dyDescent="0.3">
      <c r="A470" s="2">
        <v>45660</v>
      </c>
      <c r="B470" t="s">
        <v>456</v>
      </c>
      <c r="C470" t="s">
        <v>457</v>
      </c>
      <c r="D470" t="s">
        <v>20</v>
      </c>
      <c r="E470" t="s">
        <v>0</v>
      </c>
      <c r="F470" t="s">
        <v>863</v>
      </c>
      <c r="G470" t="s">
        <v>22</v>
      </c>
      <c r="H470" t="s">
        <v>23</v>
      </c>
      <c r="I470" s="29" t="s">
        <v>447</v>
      </c>
      <c r="J470" t="s">
        <v>38</v>
      </c>
      <c r="K470">
        <v>5</v>
      </c>
      <c r="L470">
        <v>36</v>
      </c>
      <c r="M470">
        <v>0.1</v>
      </c>
      <c r="N470" s="25">
        <v>180</v>
      </c>
      <c r="O470">
        <v>88.52</v>
      </c>
      <c r="P470">
        <v>91.48</v>
      </c>
      <c r="Q470" s="19">
        <f>Tabuľka4[[#This Row],[Zisk]]/Tabuľka4[[#This Row],[Trzba]]</f>
        <v>0.50822222222222224</v>
      </c>
      <c r="R470">
        <v>2025</v>
      </c>
      <c r="S470" t="str">
        <f>TEXT(Tabuľka4[[#This Row],[Datum]],"MMMM")</f>
        <v>január</v>
      </c>
    </row>
    <row r="471" spans="1:19" x14ac:dyDescent="0.3">
      <c r="A471" s="2">
        <v>45395</v>
      </c>
      <c r="B471" t="s">
        <v>186</v>
      </c>
      <c r="C471" t="s">
        <v>187</v>
      </c>
      <c r="D471" t="s">
        <v>20</v>
      </c>
      <c r="E471" t="s">
        <v>50</v>
      </c>
      <c r="F471" t="s">
        <v>863</v>
      </c>
      <c r="G471" t="s">
        <v>22</v>
      </c>
      <c r="H471" t="s">
        <v>188</v>
      </c>
      <c r="I471" s="29" t="s">
        <v>189</v>
      </c>
      <c r="J471" t="s">
        <v>51</v>
      </c>
      <c r="K471">
        <v>1</v>
      </c>
      <c r="L471">
        <v>172</v>
      </c>
      <c r="M471">
        <v>0.13</v>
      </c>
      <c r="N471" s="25">
        <v>172</v>
      </c>
      <c r="O471">
        <v>110.15</v>
      </c>
      <c r="P471">
        <v>61.849999999999994</v>
      </c>
      <c r="Q471" s="19">
        <f>Tabuľka4[[#This Row],[Zisk]]/Tabuľka4[[#This Row],[Trzba]]</f>
        <v>0.35959302325581394</v>
      </c>
      <c r="R471">
        <v>2024</v>
      </c>
      <c r="S471" t="str">
        <f>TEXT(Tabuľka4[[#This Row],[Datum]],"MMMM")</f>
        <v>apríl</v>
      </c>
    </row>
    <row r="472" spans="1:19" x14ac:dyDescent="0.3">
      <c r="A472" s="2">
        <v>45465</v>
      </c>
      <c r="B472" t="s">
        <v>603</v>
      </c>
      <c r="C472" t="s">
        <v>308</v>
      </c>
      <c r="D472" t="s">
        <v>20</v>
      </c>
      <c r="E472" t="s">
        <v>0</v>
      </c>
      <c r="F472" t="s">
        <v>863</v>
      </c>
      <c r="G472" t="s">
        <v>22</v>
      </c>
      <c r="H472" t="s">
        <v>86</v>
      </c>
      <c r="I472" s="29" t="s">
        <v>604</v>
      </c>
      <c r="J472" t="s">
        <v>63</v>
      </c>
      <c r="K472">
        <v>2</v>
      </c>
      <c r="L472">
        <v>81</v>
      </c>
      <c r="M472">
        <v>0.1</v>
      </c>
      <c r="N472" s="25">
        <v>162</v>
      </c>
      <c r="O472">
        <v>108.28</v>
      </c>
      <c r="P472">
        <v>53.72</v>
      </c>
      <c r="Q472" s="19">
        <f>Tabuľka4[[#This Row],[Zisk]]/Tabuľka4[[#This Row],[Trzba]]</f>
        <v>0.33160493827160492</v>
      </c>
      <c r="R472">
        <v>2024</v>
      </c>
      <c r="S472" t="str">
        <f>TEXT(Tabuľka4[[#This Row],[Datum]],"MMMM")</f>
        <v>jún</v>
      </c>
    </row>
    <row r="473" spans="1:19" x14ac:dyDescent="0.3">
      <c r="A473" s="2">
        <v>45710</v>
      </c>
      <c r="B473" t="s">
        <v>192</v>
      </c>
      <c r="C473" t="s">
        <v>76</v>
      </c>
      <c r="D473" t="s">
        <v>20</v>
      </c>
      <c r="E473" t="s">
        <v>21</v>
      </c>
      <c r="F473" t="s">
        <v>863</v>
      </c>
      <c r="G473" t="s">
        <v>22</v>
      </c>
      <c r="H473" t="s">
        <v>188</v>
      </c>
      <c r="I473" s="29" t="s">
        <v>189</v>
      </c>
      <c r="J473" t="s">
        <v>46</v>
      </c>
      <c r="K473">
        <v>1</v>
      </c>
      <c r="L473">
        <v>156</v>
      </c>
      <c r="M473">
        <v>0.05</v>
      </c>
      <c r="N473" s="25">
        <v>156</v>
      </c>
      <c r="O473">
        <v>94</v>
      </c>
      <c r="P473">
        <v>62</v>
      </c>
      <c r="Q473" s="19">
        <f>Tabuľka4[[#This Row],[Zisk]]/Tabuľka4[[#This Row],[Trzba]]</f>
        <v>0.39743589743589741</v>
      </c>
      <c r="R473">
        <v>2025</v>
      </c>
      <c r="S473" t="str">
        <f>TEXT(Tabuľka4[[#This Row],[Datum]],"MMMM")</f>
        <v>február</v>
      </c>
    </row>
    <row r="474" spans="1:19" x14ac:dyDescent="0.3">
      <c r="A474" s="2">
        <v>45802</v>
      </c>
      <c r="B474" t="s">
        <v>616</v>
      </c>
      <c r="C474" t="s">
        <v>617</v>
      </c>
      <c r="D474" t="s">
        <v>20</v>
      </c>
      <c r="E474" t="s">
        <v>68</v>
      </c>
      <c r="F474" t="s">
        <v>863</v>
      </c>
      <c r="G474" t="s">
        <v>22</v>
      </c>
      <c r="H474" t="s">
        <v>86</v>
      </c>
      <c r="I474" s="29" t="s">
        <v>604</v>
      </c>
      <c r="J474" t="s">
        <v>38</v>
      </c>
      <c r="K474">
        <v>3</v>
      </c>
      <c r="L474">
        <v>51</v>
      </c>
      <c r="M474">
        <v>0.01</v>
      </c>
      <c r="N474" s="25">
        <v>153</v>
      </c>
      <c r="O474">
        <v>106.48</v>
      </c>
      <c r="P474">
        <v>46.519999999999996</v>
      </c>
      <c r="Q474" s="19">
        <f>Tabuľka4[[#This Row],[Zisk]]/Tabuľka4[[#This Row],[Trzba]]</f>
        <v>0.30405228758169933</v>
      </c>
      <c r="R474">
        <v>2025</v>
      </c>
      <c r="S474" t="str">
        <f>TEXT(Tabuľka4[[#This Row],[Datum]],"MMMM")</f>
        <v>máj</v>
      </c>
    </row>
    <row r="475" spans="1:19" x14ac:dyDescent="0.3">
      <c r="A475" s="2">
        <v>45651</v>
      </c>
      <c r="B475" t="s">
        <v>612</v>
      </c>
      <c r="C475" t="s">
        <v>613</v>
      </c>
      <c r="D475" t="s">
        <v>20</v>
      </c>
      <c r="E475" t="s">
        <v>21</v>
      </c>
      <c r="F475" t="s">
        <v>863</v>
      </c>
      <c r="G475" t="s">
        <v>22</v>
      </c>
      <c r="H475" t="s">
        <v>86</v>
      </c>
      <c r="I475" s="29" t="s">
        <v>604</v>
      </c>
      <c r="J475" t="s">
        <v>63</v>
      </c>
      <c r="K475">
        <v>2</v>
      </c>
      <c r="L475">
        <v>76</v>
      </c>
      <c r="M475">
        <v>0.13</v>
      </c>
      <c r="N475" s="25">
        <v>152</v>
      </c>
      <c r="O475">
        <v>85.83</v>
      </c>
      <c r="P475">
        <v>66.17</v>
      </c>
      <c r="Q475" s="19">
        <f>Tabuľka4[[#This Row],[Zisk]]/Tabuľka4[[#This Row],[Trzba]]</f>
        <v>0.43532894736842104</v>
      </c>
      <c r="R475">
        <v>2024</v>
      </c>
      <c r="S475" t="str">
        <f>TEXT(Tabuľka4[[#This Row],[Datum]],"MMMM")</f>
        <v>december</v>
      </c>
    </row>
    <row r="476" spans="1:19" x14ac:dyDescent="0.3">
      <c r="A476" s="2">
        <v>46042</v>
      </c>
      <c r="B476" t="s">
        <v>464</v>
      </c>
      <c r="C476" t="s">
        <v>48</v>
      </c>
      <c r="D476" t="s">
        <v>49</v>
      </c>
      <c r="E476" t="s">
        <v>68</v>
      </c>
      <c r="F476" t="s">
        <v>863</v>
      </c>
      <c r="G476" t="s">
        <v>22</v>
      </c>
      <c r="H476" t="s">
        <v>23</v>
      </c>
      <c r="I476" s="29" t="s">
        <v>447</v>
      </c>
      <c r="J476" t="s">
        <v>46</v>
      </c>
      <c r="K476">
        <v>6</v>
      </c>
      <c r="L476">
        <v>25</v>
      </c>
      <c r="M476">
        <v>0.11</v>
      </c>
      <c r="N476" s="25">
        <v>150</v>
      </c>
      <c r="O476">
        <v>93.35</v>
      </c>
      <c r="P476">
        <v>56.650000000000006</v>
      </c>
      <c r="Q476" s="19">
        <f>Tabuľka4[[#This Row],[Zisk]]/Tabuľka4[[#This Row],[Trzba]]</f>
        <v>0.37766666666666671</v>
      </c>
      <c r="R476">
        <v>2026</v>
      </c>
      <c r="S476" t="str">
        <f>TEXT(Tabuľka4[[#This Row],[Datum]],"MMMM")</f>
        <v>január</v>
      </c>
    </row>
    <row r="477" spans="1:19" x14ac:dyDescent="0.3">
      <c r="A477" s="2">
        <v>45486</v>
      </c>
      <c r="B477" t="s">
        <v>407</v>
      </c>
      <c r="C477" t="s">
        <v>90</v>
      </c>
      <c r="D477" t="s">
        <v>20</v>
      </c>
      <c r="E477" t="s">
        <v>50</v>
      </c>
      <c r="F477" t="s">
        <v>863</v>
      </c>
      <c r="G477" t="s">
        <v>43</v>
      </c>
      <c r="H477" t="s">
        <v>23</v>
      </c>
      <c r="I477" s="29" t="s">
        <v>405</v>
      </c>
      <c r="J477" t="s">
        <v>88</v>
      </c>
      <c r="K477">
        <v>2</v>
      </c>
      <c r="L477">
        <v>73</v>
      </c>
      <c r="M477">
        <v>0.08</v>
      </c>
      <c r="N477" s="25">
        <v>146</v>
      </c>
      <c r="O477">
        <v>87.14</v>
      </c>
      <c r="P477">
        <v>58.86</v>
      </c>
      <c r="Q477" s="19">
        <f>Tabuľka4[[#This Row],[Zisk]]/Tabuľka4[[#This Row],[Trzba]]</f>
        <v>0.40315068493150685</v>
      </c>
      <c r="R477">
        <v>2024</v>
      </c>
      <c r="S477" t="str">
        <f>TEXT(Tabuľka4[[#This Row],[Datum]],"MMMM")</f>
        <v>júl</v>
      </c>
    </row>
    <row r="478" spans="1:19" x14ac:dyDescent="0.3">
      <c r="A478" s="2">
        <v>45552</v>
      </c>
      <c r="B478" t="s">
        <v>411</v>
      </c>
      <c r="C478" t="s">
        <v>130</v>
      </c>
      <c r="D478" t="s">
        <v>20</v>
      </c>
      <c r="E478" t="s">
        <v>21</v>
      </c>
      <c r="F478" t="s">
        <v>863</v>
      </c>
      <c r="G478" t="s">
        <v>22</v>
      </c>
      <c r="H478" t="s">
        <v>23</v>
      </c>
      <c r="I478" s="29" t="s">
        <v>405</v>
      </c>
      <c r="J478" t="s">
        <v>63</v>
      </c>
      <c r="K478">
        <v>2</v>
      </c>
      <c r="L478">
        <v>73</v>
      </c>
      <c r="M478">
        <v>0</v>
      </c>
      <c r="N478" s="25">
        <v>146</v>
      </c>
      <c r="O478">
        <v>96.51</v>
      </c>
      <c r="P478">
        <v>49.489999999999995</v>
      </c>
      <c r="Q478" s="19">
        <f>Tabuľka4[[#This Row],[Zisk]]/Tabuľka4[[#This Row],[Trzba]]</f>
        <v>0.33897260273972601</v>
      </c>
      <c r="R478">
        <v>2024</v>
      </c>
      <c r="S478" t="str">
        <f>TEXT(Tabuľka4[[#This Row],[Datum]],"MMMM")</f>
        <v>september</v>
      </c>
    </row>
    <row r="479" spans="1:19" x14ac:dyDescent="0.3">
      <c r="A479" s="2">
        <v>46113</v>
      </c>
      <c r="B479" t="s">
        <v>421</v>
      </c>
      <c r="C479" t="s">
        <v>422</v>
      </c>
      <c r="D479" t="s">
        <v>20</v>
      </c>
      <c r="E479" t="s">
        <v>50</v>
      </c>
      <c r="F479" t="s">
        <v>863</v>
      </c>
      <c r="G479" t="s">
        <v>43</v>
      </c>
      <c r="H479" t="s">
        <v>23</v>
      </c>
      <c r="I479" s="29" t="s">
        <v>405</v>
      </c>
      <c r="J479" t="s">
        <v>51</v>
      </c>
      <c r="K479">
        <v>2</v>
      </c>
      <c r="L479">
        <v>73</v>
      </c>
      <c r="M479">
        <v>0.11</v>
      </c>
      <c r="N479" s="25">
        <v>146</v>
      </c>
      <c r="O479">
        <v>87.89</v>
      </c>
      <c r="P479">
        <v>58.11</v>
      </c>
      <c r="Q479" s="19">
        <f>Tabuľka4[[#This Row],[Zisk]]/Tabuľka4[[#This Row],[Trzba]]</f>
        <v>0.39801369863013697</v>
      </c>
      <c r="R479">
        <v>2026</v>
      </c>
      <c r="S479" t="str">
        <f>TEXT(Tabuľka4[[#This Row],[Datum]],"MMMM")</f>
        <v>apríl</v>
      </c>
    </row>
    <row r="480" spans="1:19" x14ac:dyDescent="0.3">
      <c r="A480" s="2">
        <v>45599</v>
      </c>
      <c r="B480" t="s">
        <v>255</v>
      </c>
      <c r="C480" t="s">
        <v>40</v>
      </c>
      <c r="D480" t="s">
        <v>20</v>
      </c>
      <c r="E480" t="s">
        <v>0</v>
      </c>
      <c r="F480" t="s">
        <v>863</v>
      </c>
      <c r="G480" t="s">
        <v>22</v>
      </c>
      <c r="H480" t="s">
        <v>23</v>
      </c>
      <c r="I480" s="29" t="s">
        <v>248</v>
      </c>
      <c r="J480" t="s">
        <v>63</v>
      </c>
      <c r="K480">
        <v>3</v>
      </c>
      <c r="L480">
        <v>48</v>
      </c>
      <c r="M480">
        <v>0.09</v>
      </c>
      <c r="N480" s="25">
        <v>144</v>
      </c>
      <c r="O480">
        <v>93.93</v>
      </c>
      <c r="P480">
        <v>50.069999999999993</v>
      </c>
      <c r="Q480" s="19">
        <f>Tabuľka4[[#This Row],[Zisk]]/Tabuľka4[[#This Row],[Trzba]]</f>
        <v>0.34770833333333329</v>
      </c>
      <c r="R480">
        <v>2024</v>
      </c>
      <c r="S480" t="str">
        <f>TEXT(Tabuľka4[[#This Row],[Datum]],"MMMM")</f>
        <v>november</v>
      </c>
    </row>
    <row r="481" spans="1:19" x14ac:dyDescent="0.3">
      <c r="A481" s="2">
        <v>45353</v>
      </c>
      <c r="B481" t="s">
        <v>448</v>
      </c>
      <c r="C481" t="s">
        <v>449</v>
      </c>
      <c r="D481" t="s">
        <v>20</v>
      </c>
      <c r="E481" t="s">
        <v>21</v>
      </c>
      <c r="F481" t="s">
        <v>863</v>
      </c>
      <c r="G481" t="s">
        <v>22</v>
      </c>
      <c r="H481" t="s">
        <v>23</v>
      </c>
      <c r="I481" s="29" t="s">
        <v>447</v>
      </c>
      <c r="J481" t="s">
        <v>51</v>
      </c>
      <c r="K481">
        <v>3</v>
      </c>
      <c r="L481">
        <v>45</v>
      </c>
      <c r="M481">
        <v>0.06</v>
      </c>
      <c r="N481" s="25">
        <v>135</v>
      </c>
      <c r="O481">
        <v>54.48</v>
      </c>
      <c r="P481">
        <v>80.52000000000001</v>
      </c>
      <c r="Q481" s="19">
        <f>Tabuľka4[[#This Row],[Zisk]]/Tabuľka4[[#This Row],[Trzba]]</f>
        <v>0.59644444444444455</v>
      </c>
      <c r="R481">
        <v>2024</v>
      </c>
      <c r="S481" t="str">
        <f>TEXT(Tabuľka4[[#This Row],[Datum]],"MMMM")</f>
        <v>marec</v>
      </c>
    </row>
    <row r="482" spans="1:19" x14ac:dyDescent="0.3">
      <c r="A482" s="2">
        <v>45512</v>
      </c>
      <c r="B482" t="s">
        <v>452</v>
      </c>
      <c r="C482" t="s">
        <v>254</v>
      </c>
      <c r="D482" t="s">
        <v>20</v>
      </c>
      <c r="E482" t="s">
        <v>0</v>
      </c>
      <c r="F482" t="s">
        <v>863</v>
      </c>
      <c r="G482" t="s">
        <v>43</v>
      </c>
      <c r="H482" t="s">
        <v>23</v>
      </c>
      <c r="I482" s="29" t="s">
        <v>447</v>
      </c>
      <c r="J482" t="s">
        <v>30</v>
      </c>
      <c r="K482">
        <v>3</v>
      </c>
      <c r="L482">
        <v>45</v>
      </c>
      <c r="M482">
        <v>0.1</v>
      </c>
      <c r="N482" s="25">
        <v>135</v>
      </c>
      <c r="O482">
        <v>81.260000000000005</v>
      </c>
      <c r="P482">
        <v>53.739999999999995</v>
      </c>
      <c r="Q482" s="19">
        <f>Tabuľka4[[#This Row],[Zisk]]/Tabuľka4[[#This Row],[Trzba]]</f>
        <v>0.39807407407407402</v>
      </c>
      <c r="R482">
        <v>2024</v>
      </c>
      <c r="S482" t="str">
        <f>TEXT(Tabuľka4[[#This Row],[Datum]],"MMMM")</f>
        <v>august</v>
      </c>
    </row>
    <row r="483" spans="1:19" x14ac:dyDescent="0.3">
      <c r="A483" s="2">
        <v>46044</v>
      </c>
      <c r="B483" t="s">
        <v>654</v>
      </c>
      <c r="C483" t="s">
        <v>655</v>
      </c>
      <c r="D483" t="s">
        <v>20</v>
      </c>
      <c r="E483" t="s">
        <v>0</v>
      </c>
      <c r="F483" t="s">
        <v>863</v>
      </c>
      <c r="G483" t="s">
        <v>43</v>
      </c>
      <c r="H483" t="s">
        <v>23</v>
      </c>
      <c r="I483" s="29" t="s">
        <v>632</v>
      </c>
      <c r="J483" t="s">
        <v>38</v>
      </c>
      <c r="K483">
        <v>1</v>
      </c>
      <c r="L483">
        <v>135</v>
      </c>
      <c r="M483">
        <v>0.04</v>
      </c>
      <c r="N483" s="25">
        <v>135</v>
      </c>
      <c r="O483">
        <v>99.82</v>
      </c>
      <c r="P483">
        <v>35.180000000000007</v>
      </c>
      <c r="Q483" s="19">
        <f>Tabuľka4[[#This Row],[Zisk]]/Tabuľka4[[#This Row],[Trzba]]</f>
        <v>0.26059259259259265</v>
      </c>
      <c r="R483">
        <v>2026</v>
      </c>
      <c r="S483" t="str">
        <f>TEXT(Tabuľka4[[#This Row],[Datum]],"MMMM")</f>
        <v>január</v>
      </c>
    </row>
    <row r="484" spans="1:19" x14ac:dyDescent="0.3">
      <c r="A484" s="2">
        <v>45423</v>
      </c>
      <c r="B484" t="s">
        <v>250</v>
      </c>
      <c r="C484" t="s">
        <v>251</v>
      </c>
      <c r="D484" t="s">
        <v>20</v>
      </c>
      <c r="E484" t="s">
        <v>21</v>
      </c>
      <c r="F484" t="s">
        <v>863</v>
      </c>
      <c r="G484" t="s">
        <v>22</v>
      </c>
      <c r="H484" t="s">
        <v>23</v>
      </c>
      <c r="I484" s="29" t="s">
        <v>248</v>
      </c>
      <c r="J484" t="s">
        <v>88</v>
      </c>
      <c r="K484">
        <v>3</v>
      </c>
      <c r="L484">
        <v>44</v>
      </c>
      <c r="M484">
        <v>0</v>
      </c>
      <c r="N484" s="25">
        <v>132</v>
      </c>
      <c r="O484">
        <v>103.01</v>
      </c>
      <c r="P484">
        <v>28.989999999999995</v>
      </c>
      <c r="Q484" s="19">
        <f>Tabuľka4[[#This Row],[Zisk]]/Tabuľka4[[#This Row],[Trzba]]</f>
        <v>0.21962121212121208</v>
      </c>
      <c r="R484">
        <v>2024</v>
      </c>
      <c r="S484" t="str">
        <f>TEXT(Tabuľka4[[#This Row],[Datum]],"MMMM")</f>
        <v>máj</v>
      </c>
    </row>
    <row r="485" spans="1:19" x14ac:dyDescent="0.3">
      <c r="A485" s="2">
        <v>45608</v>
      </c>
      <c r="B485" t="s">
        <v>639</v>
      </c>
      <c r="C485" t="s">
        <v>640</v>
      </c>
      <c r="D485" t="s">
        <v>20</v>
      </c>
      <c r="E485" t="s">
        <v>21</v>
      </c>
      <c r="F485" t="s">
        <v>863</v>
      </c>
      <c r="G485" t="s">
        <v>43</v>
      </c>
      <c r="H485" t="s">
        <v>23</v>
      </c>
      <c r="I485" s="29" t="s">
        <v>632</v>
      </c>
      <c r="J485" t="s">
        <v>88</v>
      </c>
      <c r="K485">
        <v>1</v>
      </c>
      <c r="L485">
        <v>128</v>
      </c>
      <c r="M485">
        <v>7.0000000000000007E-2</v>
      </c>
      <c r="N485" s="25">
        <v>128</v>
      </c>
      <c r="O485">
        <v>91.97</v>
      </c>
      <c r="P485">
        <v>36.03</v>
      </c>
      <c r="Q485" s="19">
        <f>Tabuľka4[[#This Row],[Zisk]]/Tabuľka4[[#This Row],[Trzba]]</f>
        <v>0.28148437500000001</v>
      </c>
      <c r="R485">
        <v>2024</v>
      </c>
      <c r="S485" t="str">
        <f>TEXT(Tabuľka4[[#This Row],[Datum]],"MMMM")</f>
        <v>november</v>
      </c>
    </row>
    <row r="486" spans="1:19" x14ac:dyDescent="0.3">
      <c r="A486" s="2">
        <v>45334</v>
      </c>
      <c r="B486" t="s">
        <v>246</v>
      </c>
      <c r="C486" t="s">
        <v>247</v>
      </c>
      <c r="D486" t="s">
        <v>20</v>
      </c>
      <c r="E486" t="s">
        <v>21</v>
      </c>
      <c r="F486" t="s">
        <v>863</v>
      </c>
      <c r="G486" t="s">
        <v>43</v>
      </c>
      <c r="H486" t="s">
        <v>23</v>
      </c>
      <c r="I486" s="29" t="s">
        <v>248</v>
      </c>
      <c r="J486" t="s">
        <v>33</v>
      </c>
      <c r="K486">
        <v>3</v>
      </c>
      <c r="L486">
        <v>41</v>
      </c>
      <c r="M486">
        <v>0.05</v>
      </c>
      <c r="N486" s="25">
        <v>123</v>
      </c>
      <c r="O486">
        <v>67.42</v>
      </c>
      <c r="P486">
        <v>55.58</v>
      </c>
      <c r="Q486" s="19">
        <f>Tabuľka4[[#This Row],[Zisk]]/Tabuľka4[[#This Row],[Trzba]]</f>
        <v>0.45186991869918697</v>
      </c>
      <c r="R486">
        <v>2024</v>
      </c>
      <c r="S486" t="str">
        <f>TEXT(Tabuľka4[[#This Row],[Datum]],"MMMM")</f>
        <v>február</v>
      </c>
    </row>
    <row r="487" spans="1:19" x14ac:dyDescent="0.3">
      <c r="A487" s="2">
        <v>45534</v>
      </c>
      <c r="B487" t="s">
        <v>453</v>
      </c>
      <c r="C487" t="s">
        <v>451</v>
      </c>
      <c r="D487" t="s">
        <v>20</v>
      </c>
      <c r="E487" t="s">
        <v>68</v>
      </c>
      <c r="F487" t="s">
        <v>863</v>
      </c>
      <c r="G487" t="s">
        <v>22</v>
      </c>
      <c r="H487" t="s">
        <v>23</v>
      </c>
      <c r="I487" s="29" t="s">
        <v>447</v>
      </c>
      <c r="J487" t="s">
        <v>30</v>
      </c>
      <c r="K487">
        <v>3</v>
      </c>
      <c r="L487">
        <v>36</v>
      </c>
      <c r="M487">
        <v>0.06</v>
      </c>
      <c r="N487" s="25">
        <v>108</v>
      </c>
      <c r="O487">
        <v>71.010000000000005</v>
      </c>
      <c r="P487">
        <v>36.989999999999995</v>
      </c>
      <c r="Q487" s="19">
        <f>Tabuľka4[[#This Row],[Zisk]]/Tabuľka4[[#This Row],[Trzba]]</f>
        <v>0.34249999999999997</v>
      </c>
      <c r="R487">
        <v>2024</v>
      </c>
      <c r="S487" t="str">
        <f>TEXT(Tabuľka4[[#This Row],[Datum]],"MMMM")</f>
        <v>august</v>
      </c>
    </row>
    <row r="488" spans="1:19" x14ac:dyDescent="0.3">
      <c r="A488" s="2">
        <v>46172</v>
      </c>
      <c r="B488" t="s">
        <v>267</v>
      </c>
      <c r="C488" t="s">
        <v>268</v>
      </c>
      <c r="D488" t="s">
        <v>20</v>
      </c>
      <c r="E488" t="s">
        <v>0</v>
      </c>
      <c r="F488" t="s">
        <v>863</v>
      </c>
      <c r="G488" t="s">
        <v>22</v>
      </c>
      <c r="H488" t="s">
        <v>23</v>
      </c>
      <c r="I488" s="29" t="s">
        <v>248</v>
      </c>
      <c r="J488" t="s">
        <v>30</v>
      </c>
      <c r="K488">
        <v>4</v>
      </c>
      <c r="L488">
        <v>25</v>
      </c>
      <c r="M488">
        <v>0.14000000000000001</v>
      </c>
      <c r="N488" s="25">
        <v>100</v>
      </c>
      <c r="O488">
        <v>98.07</v>
      </c>
      <c r="P488">
        <v>1.9300000000000068</v>
      </c>
      <c r="Q488" s="19">
        <f>Tabuľka4[[#This Row],[Zisk]]/Tabuľka4[[#This Row],[Trzba]]</f>
        <v>1.9300000000000067E-2</v>
      </c>
      <c r="R488">
        <v>2026</v>
      </c>
      <c r="S488" t="str">
        <f>TEXT(Tabuľka4[[#This Row],[Datum]],"MMMM")</f>
        <v>máj</v>
      </c>
    </row>
    <row r="489" spans="1:19" x14ac:dyDescent="0.3">
      <c r="A489" s="2">
        <v>46072</v>
      </c>
      <c r="B489" t="s">
        <v>479</v>
      </c>
      <c r="C489" t="s">
        <v>480</v>
      </c>
      <c r="D489" t="s">
        <v>20</v>
      </c>
      <c r="E489" t="s">
        <v>68</v>
      </c>
      <c r="F489" t="s">
        <v>863</v>
      </c>
      <c r="G489" t="s">
        <v>58</v>
      </c>
      <c r="H489" t="s">
        <v>23</v>
      </c>
      <c r="I489" s="29" t="s">
        <v>469</v>
      </c>
      <c r="J489" t="s">
        <v>46</v>
      </c>
      <c r="K489">
        <v>1</v>
      </c>
      <c r="L489">
        <v>95</v>
      </c>
      <c r="M489">
        <v>0.04</v>
      </c>
      <c r="N489" s="25">
        <v>95</v>
      </c>
      <c r="O489">
        <v>63.54</v>
      </c>
      <c r="P489">
        <v>31.46</v>
      </c>
      <c r="Q489" s="19">
        <f>Tabuľka4[[#This Row],[Zisk]]/Tabuľka4[[#This Row],[Trzba]]</f>
        <v>0.3311578947368421</v>
      </c>
      <c r="R489">
        <v>2026</v>
      </c>
      <c r="S489" t="str">
        <f>TEXT(Tabuľka4[[#This Row],[Datum]],"MMMM")</f>
        <v>február</v>
      </c>
    </row>
    <row r="490" spans="1:19" x14ac:dyDescent="0.3">
      <c r="A490" s="2">
        <v>45853</v>
      </c>
      <c r="B490" t="s">
        <v>478</v>
      </c>
      <c r="C490" t="s">
        <v>276</v>
      </c>
      <c r="D490" t="s">
        <v>20</v>
      </c>
      <c r="E490" t="s">
        <v>21</v>
      </c>
      <c r="F490" t="s">
        <v>863</v>
      </c>
      <c r="G490" t="s">
        <v>43</v>
      </c>
      <c r="H490" t="s">
        <v>23</v>
      </c>
      <c r="I490" s="29" t="s">
        <v>469</v>
      </c>
      <c r="J490" t="s">
        <v>63</v>
      </c>
      <c r="K490">
        <v>1</v>
      </c>
      <c r="L490">
        <v>84</v>
      </c>
      <c r="M490">
        <v>0.03</v>
      </c>
      <c r="N490" s="25">
        <v>84</v>
      </c>
      <c r="O490">
        <v>55.53</v>
      </c>
      <c r="P490">
        <v>28.47</v>
      </c>
      <c r="Q490" s="19">
        <f>Tabuľka4[[#This Row],[Zisk]]/Tabuľka4[[#This Row],[Trzba]]</f>
        <v>0.33892857142857141</v>
      </c>
      <c r="R490">
        <v>2025</v>
      </c>
      <c r="S490" t="str">
        <f>TEXT(Tabuľka4[[#This Row],[Datum]],"MMMM")</f>
        <v>júl</v>
      </c>
    </row>
    <row r="491" spans="1:19" x14ac:dyDescent="0.3">
      <c r="A491" s="2">
        <v>45613</v>
      </c>
      <c r="B491" t="s">
        <v>454</v>
      </c>
      <c r="C491" t="s">
        <v>455</v>
      </c>
      <c r="D491" t="s">
        <v>20</v>
      </c>
      <c r="E491" t="s">
        <v>50</v>
      </c>
      <c r="F491" t="s">
        <v>863</v>
      </c>
      <c r="G491" t="s">
        <v>43</v>
      </c>
      <c r="H491" t="s">
        <v>23</v>
      </c>
      <c r="I491" s="29" t="s">
        <v>447</v>
      </c>
      <c r="J491" t="s">
        <v>38</v>
      </c>
      <c r="K491">
        <v>4</v>
      </c>
      <c r="L491">
        <v>20</v>
      </c>
      <c r="M491">
        <v>0</v>
      </c>
      <c r="N491" s="25">
        <v>80</v>
      </c>
      <c r="O491">
        <v>51.28</v>
      </c>
      <c r="P491">
        <v>28.72</v>
      </c>
      <c r="Q491" s="19">
        <f>Tabuľka4[[#This Row],[Zisk]]/Tabuľka4[[#This Row],[Trzba]]</f>
        <v>0.35899999999999999</v>
      </c>
      <c r="R491">
        <v>2024</v>
      </c>
      <c r="S491" t="str">
        <f>TEXT(Tabuľka4[[#This Row],[Datum]],"MMMM")</f>
        <v>november</v>
      </c>
    </row>
    <row r="492" spans="1:19" x14ac:dyDescent="0.3">
      <c r="A492" s="2">
        <v>45620</v>
      </c>
      <c r="B492" t="s">
        <v>414</v>
      </c>
      <c r="C492" t="s">
        <v>415</v>
      </c>
      <c r="D492" t="s">
        <v>20</v>
      </c>
      <c r="E492" t="s">
        <v>68</v>
      </c>
      <c r="F492" t="s">
        <v>863</v>
      </c>
      <c r="G492" t="s">
        <v>22</v>
      </c>
      <c r="H492" t="s">
        <v>23</v>
      </c>
      <c r="I492" s="29" t="s">
        <v>405</v>
      </c>
      <c r="J492" t="s">
        <v>38</v>
      </c>
      <c r="K492">
        <v>1</v>
      </c>
      <c r="L492">
        <v>69</v>
      </c>
      <c r="M492">
        <v>0.2</v>
      </c>
      <c r="N492" s="25">
        <v>69</v>
      </c>
      <c r="O492">
        <v>42.46</v>
      </c>
      <c r="P492">
        <v>26.54</v>
      </c>
      <c r="Q492" s="19">
        <f>Tabuľka4[[#This Row],[Zisk]]/Tabuľka4[[#This Row],[Trzba]]</f>
        <v>0.38463768115942026</v>
      </c>
      <c r="R492">
        <v>2024</v>
      </c>
      <c r="S492" t="str">
        <f>TEXT(Tabuľka4[[#This Row],[Datum]],"MMMM")</f>
        <v>november</v>
      </c>
    </row>
    <row r="493" spans="1:19" x14ac:dyDescent="0.3">
      <c r="A493" s="2">
        <v>45463</v>
      </c>
      <c r="B493" t="s">
        <v>252</v>
      </c>
      <c r="C493" t="s">
        <v>60</v>
      </c>
      <c r="D493" t="s">
        <v>20</v>
      </c>
      <c r="E493" t="s">
        <v>21</v>
      </c>
      <c r="F493" t="s">
        <v>863</v>
      </c>
      <c r="G493" t="s">
        <v>43</v>
      </c>
      <c r="H493" t="s">
        <v>23</v>
      </c>
      <c r="I493" s="29" t="s">
        <v>248</v>
      </c>
      <c r="J493" t="s">
        <v>63</v>
      </c>
      <c r="K493">
        <v>2</v>
      </c>
      <c r="L493">
        <v>30</v>
      </c>
      <c r="M493">
        <v>0.14000000000000001</v>
      </c>
      <c r="N493" s="25">
        <v>60</v>
      </c>
      <c r="O493">
        <v>66.13</v>
      </c>
      <c r="P493">
        <v>-6.1299999999999955</v>
      </c>
      <c r="Q493" s="19">
        <f>Tabuľka4[[#This Row],[Zisk]]/Tabuľka4[[#This Row],[Trzba]]</f>
        <v>-0.10216666666666659</v>
      </c>
      <c r="R493">
        <v>2024</v>
      </c>
      <c r="S493" t="str">
        <f>TEXT(Tabuľka4[[#This Row],[Datum]],"MMMM")</f>
        <v>jún</v>
      </c>
    </row>
    <row r="494" spans="1:19" x14ac:dyDescent="0.3">
      <c r="A494" s="2">
        <v>45542</v>
      </c>
      <c r="B494" t="s">
        <v>408</v>
      </c>
      <c r="C494" t="s">
        <v>409</v>
      </c>
      <c r="D494" t="s">
        <v>20</v>
      </c>
      <c r="E494" t="s">
        <v>21</v>
      </c>
      <c r="F494" t="s">
        <v>863</v>
      </c>
      <c r="G494" t="s">
        <v>22</v>
      </c>
      <c r="H494" t="s">
        <v>23</v>
      </c>
      <c r="I494" s="29" t="s">
        <v>405</v>
      </c>
      <c r="J494" t="s">
        <v>46</v>
      </c>
      <c r="K494">
        <v>1</v>
      </c>
      <c r="L494">
        <v>60</v>
      </c>
      <c r="M494">
        <v>0.09</v>
      </c>
      <c r="N494" s="25">
        <v>60</v>
      </c>
      <c r="O494">
        <v>33.61</v>
      </c>
      <c r="P494">
        <v>26.39</v>
      </c>
      <c r="Q494" s="19">
        <f>Tabuľka4[[#This Row],[Zisk]]/Tabuľka4[[#This Row],[Trzba]]</f>
        <v>0.43983333333333335</v>
      </c>
      <c r="R494">
        <v>2024</v>
      </c>
      <c r="S494" t="str">
        <f>TEXT(Tabuľka4[[#This Row],[Datum]],"MMMM")</f>
        <v>september</v>
      </c>
    </row>
    <row r="495" spans="1:19" x14ac:dyDescent="0.3">
      <c r="A495" s="2">
        <v>45816</v>
      </c>
      <c r="B495" t="s">
        <v>458</v>
      </c>
      <c r="C495" t="s">
        <v>459</v>
      </c>
      <c r="D495" t="s">
        <v>20</v>
      </c>
      <c r="E495" t="s">
        <v>21</v>
      </c>
      <c r="F495" t="s">
        <v>863</v>
      </c>
      <c r="G495" t="s">
        <v>22</v>
      </c>
      <c r="H495" t="s">
        <v>23</v>
      </c>
      <c r="I495" s="29" t="s">
        <v>447</v>
      </c>
      <c r="J495" t="s">
        <v>33</v>
      </c>
      <c r="K495">
        <v>2</v>
      </c>
      <c r="L495">
        <v>28</v>
      </c>
      <c r="M495">
        <v>0.14000000000000001</v>
      </c>
      <c r="N495" s="25">
        <v>56</v>
      </c>
      <c r="O495">
        <v>26.92</v>
      </c>
      <c r="P495">
        <v>29.08</v>
      </c>
      <c r="Q495" s="19">
        <f>Tabuľka4[[#This Row],[Zisk]]/Tabuľka4[[#This Row],[Trzba]]</f>
        <v>0.51928571428571424</v>
      </c>
      <c r="R495">
        <v>2025</v>
      </c>
      <c r="S495" t="str">
        <f>TEXT(Tabuľka4[[#This Row],[Datum]],"MMMM")</f>
        <v>jún</v>
      </c>
    </row>
    <row r="496" spans="1:19" x14ac:dyDescent="0.3">
      <c r="A496" s="2">
        <v>46048</v>
      </c>
      <c r="B496" t="s">
        <v>465</v>
      </c>
      <c r="C496" t="s">
        <v>466</v>
      </c>
      <c r="D496" t="s">
        <v>20</v>
      </c>
      <c r="E496" t="s">
        <v>0</v>
      </c>
      <c r="F496" t="s">
        <v>863</v>
      </c>
      <c r="G496" t="s">
        <v>22</v>
      </c>
      <c r="H496" t="s">
        <v>23</v>
      </c>
      <c r="I496" s="29" t="s">
        <v>447</v>
      </c>
      <c r="J496" t="s">
        <v>51</v>
      </c>
      <c r="K496">
        <v>1</v>
      </c>
      <c r="L496">
        <v>56</v>
      </c>
      <c r="M496">
        <v>0.02</v>
      </c>
      <c r="N496" s="25">
        <v>56</v>
      </c>
      <c r="O496">
        <v>14.69</v>
      </c>
      <c r="P496">
        <v>41.31</v>
      </c>
      <c r="Q496" s="19">
        <f>Tabuľka4[[#This Row],[Zisk]]/Tabuľka4[[#This Row],[Trzba]]</f>
        <v>0.73767857142857152</v>
      </c>
      <c r="R496">
        <v>2026</v>
      </c>
      <c r="S496" t="str">
        <f>TEXT(Tabuľka4[[#This Row],[Datum]],"MMMM")</f>
        <v>január</v>
      </c>
    </row>
    <row r="497" spans="1:19" x14ac:dyDescent="0.3">
      <c r="A497" s="2">
        <v>46006</v>
      </c>
      <c r="B497" t="s">
        <v>264</v>
      </c>
      <c r="C497" t="s">
        <v>206</v>
      </c>
      <c r="D497" t="s">
        <v>20</v>
      </c>
      <c r="E497" t="s">
        <v>21</v>
      </c>
      <c r="F497" t="s">
        <v>863</v>
      </c>
      <c r="G497" t="s">
        <v>43</v>
      </c>
      <c r="H497" t="s">
        <v>23</v>
      </c>
      <c r="I497" s="29" t="s">
        <v>248</v>
      </c>
      <c r="J497" t="s">
        <v>30</v>
      </c>
      <c r="K497">
        <v>1</v>
      </c>
      <c r="L497">
        <v>48</v>
      </c>
      <c r="M497">
        <v>0.14000000000000001</v>
      </c>
      <c r="N497" s="25">
        <v>48</v>
      </c>
      <c r="O497">
        <v>30.2</v>
      </c>
      <c r="P497">
        <v>17.8</v>
      </c>
      <c r="Q497" s="19">
        <f>Tabuľka4[[#This Row],[Zisk]]/Tabuľka4[[#This Row],[Trzba]]</f>
        <v>0.37083333333333335</v>
      </c>
      <c r="R497">
        <v>2025</v>
      </c>
      <c r="S497" t="str">
        <f>TEXT(Tabuľka4[[#This Row],[Datum]],"MMMM")</f>
        <v>december</v>
      </c>
    </row>
    <row r="498" spans="1:19" x14ac:dyDescent="0.3">
      <c r="A498" s="2">
        <v>45311</v>
      </c>
      <c r="B498" t="s">
        <v>445</v>
      </c>
      <c r="C498" t="s">
        <v>446</v>
      </c>
      <c r="D498" t="s">
        <v>20</v>
      </c>
      <c r="E498" t="s">
        <v>50</v>
      </c>
      <c r="F498" t="s">
        <v>863</v>
      </c>
      <c r="G498" t="s">
        <v>43</v>
      </c>
      <c r="H498" t="s">
        <v>23</v>
      </c>
      <c r="I498" s="29" t="s">
        <v>447</v>
      </c>
      <c r="J498" t="s">
        <v>51</v>
      </c>
      <c r="K498">
        <v>1</v>
      </c>
      <c r="L498">
        <v>45</v>
      </c>
      <c r="M498">
        <v>0.02</v>
      </c>
      <c r="N498" s="25">
        <v>45</v>
      </c>
      <c r="O498">
        <v>19.059999999999999</v>
      </c>
      <c r="P498">
        <v>25.94</v>
      </c>
      <c r="Q498" s="19">
        <f>Tabuľka4[[#This Row],[Zisk]]/Tabuľka4[[#This Row],[Trzba]]</f>
        <v>0.57644444444444443</v>
      </c>
      <c r="R498">
        <v>2024</v>
      </c>
      <c r="S498" t="str">
        <f>TEXT(Tabuľka4[[#This Row],[Datum]],"MMMM")</f>
        <v>január</v>
      </c>
    </row>
    <row r="499" spans="1:19" x14ac:dyDescent="0.3">
      <c r="A499" s="2">
        <v>45821</v>
      </c>
      <c r="B499" t="s">
        <v>262</v>
      </c>
      <c r="C499" t="s">
        <v>263</v>
      </c>
      <c r="D499" t="s">
        <v>20</v>
      </c>
      <c r="E499" t="s">
        <v>68</v>
      </c>
      <c r="F499" t="s">
        <v>863</v>
      </c>
      <c r="G499" t="s">
        <v>22</v>
      </c>
      <c r="H499" t="s">
        <v>23</v>
      </c>
      <c r="I499" s="29" t="s">
        <v>248</v>
      </c>
      <c r="J499" t="s">
        <v>46</v>
      </c>
      <c r="K499">
        <v>1</v>
      </c>
      <c r="L499">
        <v>41</v>
      </c>
      <c r="M499">
        <v>7.0000000000000007E-2</v>
      </c>
      <c r="N499" s="25">
        <v>41</v>
      </c>
      <c r="O499">
        <v>24.73</v>
      </c>
      <c r="P499">
        <v>16.27</v>
      </c>
      <c r="Q499" s="19">
        <f>Tabuľka4[[#This Row],[Zisk]]/Tabuľka4[[#This Row],[Trzba]]</f>
        <v>0.39682926829268289</v>
      </c>
      <c r="R499">
        <v>2025</v>
      </c>
      <c r="S499" t="str">
        <f>TEXT(Tabuľka4[[#This Row],[Datum]],"MMMM")</f>
        <v>jún</v>
      </c>
    </row>
    <row r="500" spans="1:19" x14ac:dyDescent="0.3">
      <c r="A500" s="2">
        <v>45829</v>
      </c>
      <c r="B500" t="s">
        <v>460</v>
      </c>
      <c r="C500" t="s">
        <v>461</v>
      </c>
      <c r="D500" t="s">
        <v>20</v>
      </c>
      <c r="E500" t="s">
        <v>21</v>
      </c>
      <c r="F500" t="s">
        <v>863</v>
      </c>
      <c r="G500" t="s">
        <v>43</v>
      </c>
      <c r="H500" t="s">
        <v>23</v>
      </c>
      <c r="I500" s="29" t="s">
        <v>447</v>
      </c>
      <c r="J500" t="s">
        <v>51</v>
      </c>
      <c r="K500">
        <v>1</v>
      </c>
      <c r="L500">
        <v>32</v>
      </c>
      <c r="M500">
        <v>0.06</v>
      </c>
      <c r="N500" s="25">
        <v>32</v>
      </c>
      <c r="O500">
        <v>23.65</v>
      </c>
      <c r="P500">
        <v>8.3500000000000014</v>
      </c>
      <c r="Q500" s="19">
        <f>Tabuľka4[[#This Row],[Zisk]]/Tabuľka4[[#This Row],[Trzba]]</f>
        <v>0.26093750000000004</v>
      </c>
      <c r="R500">
        <v>2025</v>
      </c>
      <c r="S500" t="str">
        <f>TEXT(Tabuľka4[[#This Row],[Datum]],"MMMM")</f>
        <v>jún</v>
      </c>
    </row>
    <row r="501" spans="1:19" x14ac:dyDescent="0.3">
      <c r="A501" s="2">
        <v>45604</v>
      </c>
      <c r="B501" t="s">
        <v>256</v>
      </c>
      <c r="C501" t="s">
        <v>257</v>
      </c>
      <c r="D501" t="s">
        <v>20</v>
      </c>
      <c r="E501" t="s">
        <v>68</v>
      </c>
      <c r="F501" t="s">
        <v>863</v>
      </c>
      <c r="G501" t="s">
        <v>43</v>
      </c>
      <c r="H501" t="s">
        <v>23</v>
      </c>
      <c r="I501" s="29" t="s">
        <v>248</v>
      </c>
      <c r="J501" t="s">
        <v>51</v>
      </c>
      <c r="K501">
        <v>1</v>
      </c>
      <c r="L501">
        <v>30</v>
      </c>
      <c r="M501">
        <v>0.05</v>
      </c>
      <c r="N501" s="25">
        <v>30</v>
      </c>
      <c r="O501">
        <v>38.86</v>
      </c>
      <c r="P501">
        <v>-8.86</v>
      </c>
      <c r="Q501" s="19">
        <f>Tabuľka4[[#This Row],[Zisk]]/Tabuľka4[[#This Row],[Trzba]]</f>
        <v>-0.29533333333333334</v>
      </c>
      <c r="R501">
        <v>2024</v>
      </c>
      <c r="S501" t="str">
        <f>TEXT(Tabuľka4[[#This Row],[Datum]],"MMMM")</f>
        <v>november</v>
      </c>
    </row>
    <row r="502" spans="1:19" x14ac:dyDescent="0.3">
      <c r="A502" s="2">
        <v>45360</v>
      </c>
      <c r="B502" t="s">
        <v>450</v>
      </c>
      <c r="C502" t="s">
        <v>451</v>
      </c>
      <c r="D502" t="s">
        <v>20</v>
      </c>
      <c r="E502" t="s">
        <v>21</v>
      </c>
      <c r="F502" t="s">
        <v>863</v>
      </c>
      <c r="G502" t="s">
        <v>22</v>
      </c>
      <c r="H502" t="s">
        <v>23</v>
      </c>
      <c r="I502" s="29" t="s">
        <v>447</v>
      </c>
      <c r="J502" t="s">
        <v>33</v>
      </c>
      <c r="K502">
        <v>1</v>
      </c>
      <c r="L502">
        <v>30</v>
      </c>
      <c r="M502">
        <v>0</v>
      </c>
      <c r="N502" s="25">
        <v>30</v>
      </c>
      <c r="O502">
        <v>22.21</v>
      </c>
      <c r="P502">
        <v>7.7899999999999991</v>
      </c>
      <c r="Q502" s="19">
        <f>Tabuľka4[[#This Row],[Zisk]]/Tabuľka4[[#This Row],[Trzba]]</f>
        <v>0.25966666666666666</v>
      </c>
      <c r="R502">
        <v>2024</v>
      </c>
      <c r="S502" t="str">
        <f>TEXT(Tabuľka4[[#This Row],[Datum]],"MMMM")</f>
        <v>marec</v>
      </c>
    </row>
    <row r="503" spans="1:19" x14ac:dyDescent="0.3">
      <c r="A503" s="2">
        <v>45720</v>
      </c>
      <c r="B503" t="s">
        <v>260</v>
      </c>
      <c r="C503" t="s">
        <v>261</v>
      </c>
      <c r="D503" t="s">
        <v>20</v>
      </c>
      <c r="E503" t="s">
        <v>21</v>
      </c>
      <c r="F503" t="s">
        <v>863</v>
      </c>
      <c r="G503" t="s">
        <v>22</v>
      </c>
      <c r="H503" t="s">
        <v>23</v>
      </c>
      <c r="I503" s="29" t="s">
        <v>248</v>
      </c>
      <c r="J503" t="s">
        <v>30</v>
      </c>
      <c r="K503">
        <v>1</v>
      </c>
      <c r="L503">
        <v>29</v>
      </c>
      <c r="M503">
        <v>0.02</v>
      </c>
      <c r="N503" s="25">
        <v>29</v>
      </c>
      <c r="O503">
        <v>21.31</v>
      </c>
      <c r="P503">
        <v>7.6900000000000013</v>
      </c>
      <c r="Q503" s="19">
        <f>Tabuľka4[[#This Row],[Zisk]]/Tabuľka4[[#This Row],[Trzba]]</f>
        <v>0.26517241379310347</v>
      </c>
      <c r="R503">
        <v>2025</v>
      </c>
      <c r="S503" t="str">
        <f>TEXT(Tabuľka4[[#This Row],[Datum]],"MMMM")</f>
        <v>marec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E58D-3337-4177-BA6A-D1AB605ADBEE}">
  <dimension ref="A1:R158"/>
  <sheetViews>
    <sheetView tabSelected="1" topLeftCell="A139" workbookViewId="0">
      <selection activeCell="E152" sqref="E152"/>
    </sheetView>
  </sheetViews>
  <sheetFormatPr defaultRowHeight="14.4" x14ac:dyDescent="0.3"/>
  <cols>
    <col min="1" max="1" width="22.5546875" bestFit="1" customWidth="1"/>
    <col min="2" max="2" width="17.5546875" customWidth="1"/>
    <col min="3" max="3" width="20.5546875" bestFit="1" customWidth="1"/>
    <col min="4" max="4" width="12.21875" bestFit="1" customWidth="1"/>
    <col min="5" max="5" width="18.77734375" bestFit="1" customWidth="1"/>
    <col min="6" max="6" width="12.6640625" bestFit="1" customWidth="1"/>
    <col min="7" max="7" width="20.5546875" bestFit="1" customWidth="1"/>
    <col min="8" max="9" width="18.77734375" bestFit="1" customWidth="1"/>
    <col min="10" max="10" width="12.6640625" bestFit="1" customWidth="1"/>
    <col min="11" max="11" width="20.5546875" bestFit="1" customWidth="1"/>
    <col min="12" max="12" width="11.21875" bestFit="1" customWidth="1"/>
    <col min="13" max="13" width="12.6640625" bestFit="1" customWidth="1"/>
    <col min="14" max="14" width="14.33203125" bestFit="1" customWidth="1"/>
    <col min="15" max="18" width="12.6640625" bestFit="1" customWidth="1"/>
    <col min="19" max="19" width="15.5546875" bestFit="1" customWidth="1"/>
    <col min="20" max="20" width="14.6640625" bestFit="1" customWidth="1"/>
    <col min="21" max="21" width="15.109375" bestFit="1" customWidth="1"/>
    <col min="22" max="22" width="14.33203125" bestFit="1" customWidth="1"/>
    <col min="23" max="23" width="18.6640625" bestFit="1" customWidth="1"/>
    <col min="24" max="24" width="8.5546875" bestFit="1" customWidth="1"/>
    <col min="25" max="25" width="7.5546875" bestFit="1" customWidth="1"/>
    <col min="26" max="26" width="11.77734375" bestFit="1" customWidth="1"/>
    <col min="27" max="27" width="14.6640625" bestFit="1" customWidth="1"/>
    <col min="28" max="28" width="8.21875" bestFit="1" customWidth="1"/>
    <col min="29" max="29" width="12.33203125" bestFit="1" customWidth="1"/>
    <col min="30" max="30" width="10.77734375" bestFit="1" customWidth="1"/>
    <col min="31" max="31" width="14.109375" bestFit="1" customWidth="1"/>
    <col min="32" max="32" width="14.21875" bestFit="1" customWidth="1"/>
    <col min="33" max="33" width="16.5546875" bestFit="1" customWidth="1"/>
    <col min="34" max="34" width="12.5546875" bestFit="1" customWidth="1"/>
    <col min="35" max="35" width="17" bestFit="1" customWidth="1"/>
    <col min="36" max="36" width="12.5546875" bestFit="1" customWidth="1"/>
    <col min="37" max="37" width="10.44140625" bestFit="1" customWidth="1"/>
    <col min="38" max="38" width="10.5546875" bestFit="1" customWidth="1"/>
    <col min="40" max="40" width="11.21875" bestFit="1" customWidth="1"/>
    <col min="41" max="41" width="19.21875" bestFit="1" customWidth="1"/>
    <col min="42" max="42" width="10.21875" bestFit="1" customWidth="1"/>
    <col min="44" max="44" width="10.44140625" bestFit="1" customWidth="1"/>
    <col min="45" max="45" width="10.5546875" bestFit="1" customWidth="1"/>
    <col min="46" max="46" width="18.77734375" bestFit="1" customWidth="1"/>
    <col min="47" max="47" width="8.21875" bestFit="1" customWidth="1"/>
    <col min="48" max="48" width="10.21875" bestFit="1" customWidth="1"/>
    <col min="49" max="49" width="10.5546875" bestFit="1" customWidth="1"/>
    <col min="50" max="50" width="10.44140625" bestFit="1" customWidth="1"/>
    <col min="51" max="51" width="18.109375" bestFit="1" customWidth="1"/>
    <col min="52" max="52" width="10.5546875" bestFit="1" customWidth="1"/>
    <col min="54" max="54" width="10.21875" bestFit="1" customWidth="1"/>
    <col min="55" max="55" width="10.44140625" bestFit="1" customWidth="1"/>
    <col min="56" max="56" width="21.77734375" bestFit="1" customWidth="1"/>
    <col min="57" max="57" width="12" bestFit="1" customWidth="1"/>
    <col min="59" max="59" width="10.5546875" bestFit="1" customWidth="1"/>
    <col min="60" max="60" width="10.44140625" bestFit="1" customWidth="1"/>
    <col min="61" max="61" width="25.109375" bestFit="1" customWidth="1"/>
    <col min="62" max="62" width="9.6640625" bestFit="1" customWidth="1"/>
    <col min="64" max="64" width="11.21875" bestFit="1" customWidth="1"/>
    <col min="65" max="65" width="10.44140625" bestFit="1" customWidth="1"/>
    <col min="66" max="66" width="22.77734375" bestFit="1" customWidth="1"/>
    <col min="67" max="67" width="11.6640625" bestFit="1" customWidth="1"/>
    <col min="68" max="68" width="10.5546875" bestFit="1" customWidth="1"/>
    <col min="70" max="70" width="10.44140625" bestFit="1" customWidth="1"/>
    <col min="71" max="71" width="24.77734375" bestFit="1" customWidth="1"/>
    <col min="72" max="72" width="11.44140625" bestFit="1" customWidth="1"/>
    <col min="73" max="73" width="10.21875" bestFit="1" customWidth="1"/>
    <col min="74" max="74" width="11.21875" bestFit="1" customWidth="1"/>
    <col min="75" max="75" width="10.44140625" bestFit="1" customWidth="1"/>
    <col min="76" max="76" width="24.5546875" bestFit="1" customWidth="1"/>
    <col min="77" max="77" width="12.6640625" bestFit="1" customWidth="1"/>
  </cols>
  <sheetData>
    <row r="1" spans="1:16" x14ac:dyDescent="0.3">
      <c r="A1" s="39" t="s">
        <v>833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5" spans="1:16" ht="15.6" x14ac:dyDescent="0.3">
      <c r="A5" s="11" t="s">
        <v>834</v>
      </c>
      <c r="I5" s="11" t="s">
        <v>845</v>
      </c>
    </row>
    <row r="6" spans="1:16" ht="15.6" x14ac:dyDescent="0.3">
      <c r="A6" s="11"/>
    </row>
    <row r="7" spans="1:16" x14ac:dyDescent="0.3">
      <c r="A7" s="3" t="s">
        <v>828</v>
      </c>
      <c r="B7" s="3" t="s">
        <v>827</v>
      </c>
      <c r="I7" s="3" t="s">
        <v>827</v>
      </c>
      <c r="J7" s="3" t="s">
        <v>837</v>
      </c>
      <c r="K7" s="3"/>
      <c r="L7" s="3"/>
      <c r="M7" s="3"/>
    </row>
    <row r="8" spans="1:16" x14ac:dyDescent="0.3">
      <c r="A8" s="4" t="s">
        <v>49</v>
      </c>
      <c r="B8" s="5">
        <v>1867860</v>
      </c>
      <c r="I8" s="3" t="s">
        <v>828</v>
      </c>
      <c r="J8" s="3">
        <v>2024</v>
      </c>
      <c r="K8" s="3">
        <v>2025</v>
      </c>
      <c r="L8" s="3">
        <v>2026</v>
      </c>
      <c r="M8" s="3" t="s">
        <v>829</v>
      </c>
    </row>
    <row r="9" spans="1:16" x14ac:dyDescent="0.3">
      <c r="A9" s="4" t="s">
        <v>20</v>
      </c>
      <c r="B9" s="5">
        <v>2357486</v>
      </c>
      <c r="I9" s="4" t="s">
        <v>0</v>
      </c>
      <c r="J9" s="41">
        <v>416848</v>
      </c>
      <c r="K9" s="41">
        <v>525020</v>
      </c>
      <c r="L9" s="41">
        <v>260918</v>
      </c>
      <c r="M9" s="41">
        <v>1202786</v>
      </c>
    </row>
    <row r="10" spans="1:16" x14ac:dyDescent="0.3">
      <c r="A10" s="9" t="s">
        <v>829</v>
      </c>
      <c r="B10" s="5">
        <v>4225346</v>
      </c>
      <c r="I10" s="4" t="s">
        <v>21</v>
      </c>
      <c r="J10" s="41">
        <v>660343</v>
      </c>
      <c r="K10" s="41">
        <v>489707</v>
      </c>
      <c r="L10" s="41">
        <v>279610</v>
      </c>
      <c r="M10" s="41">
        <v>1429660</v>
      </c>
    </row>
    <row r="11" spans="1:16" x14ac:dyDescent="0.3">
      <c r="I11" s="4" t="s">
        <v>68</v>
      </c>
      <c r="J11" s="41">
        <v>705403</v>
      </c>
      <c r="K11" s="41">
        <v>486498</v>
      </c>
      <c r="L11" s="41">
        <v>98499</v>
      </c>
      <c r="M11" s="41">
        <v>1290400</v>
      </c>
    </row>
    <row r="12" spans="1:16" x14ac:dyDescent="0.3">
      <c r="I12" s="4" t="s">
        <v>50</v>
      </c>
      <c r="J12" s="41">
        <v>116713</v>
      </c>
      <c r="K12" s="41">
        <v>121966</v>
      </c>
      <c r="L12" s="41">
        <v>63821</v>
      </c>
      <c r="M12" s="41">
        <v>302500</v>
      </c>
    </row>
    <row r="13" spans="1:16" ht="15.6" x14ac:dyDescent="0.3">
      <c r="A13" s="11" t="s">
        <v>835</v>
      </c>
      <c r="I13" s="9" t="s">
        <v>829</v>
      </c>
      <c r="J13" s="5">
        <v>1899307</v>
      </c>
      <c r="K13" s="5">
        <v>1623191</v>
      </c>
      <c r="L13" s="5">
        <v>702848</v>
      </c>
      <c r="M13" s="5">
        <v>4225346</v>
      </c>
    </row>
    <row r="15" spans="1:16" x14ac:dyDescent="0.3">
      <c r="A15" s="3" t="s">
        <v>828</v>
      </c>
      <c r="B15" s="3" t="s">
        <v>827</v>
      </c>
    </row>
    <row r="16" spans="1:16" x14ac:dyDescent="0.3">
      <c r="A16" s="4" t="s">
        <v>188</v>
      </c>
      <c r="B16" s="5">
        <v>488496</v>
      </c>
    </row>
    <row r="17" spans="1:18" x14ac:dyDescent="0.3">
      <c r="A17" s="4" t="s">
        <v>23</v>
      </c>
      <c r="B17" s="5">
        <v>659141</v>
      </c>
    </row>
    <row r="18" spans="1:18" x14ac:dyDescent="0.3">
      <c r="A18" s="4" t="s">
        <v>86</v>
      </c>
      <c r="B18" s="5">
        <v>985951</v>
      </c>
    </row>
    <row r="19" spans="1:18" x14ac:dyDescent="0.3">
      <c r="A19" s="4" t="s">
        <v>71</v>
      </c>
      <c r="B19" s="5">
        <v>2091758</v>
      </c>
    </row>
    <row r="20" spans="1:18" x14ac:dyDescent="0.3">
      <c r="A20" s="9" t="s">
        <v>829</v>
      </c>
      <c r="B20" s="5">
        <v>4225346</v>
      </c>
    </row>
    <row r="23" spans="1:18" ht="15.6" x14ac:dyDescent="0.3">
      <c r="A23" s="11" t="s">
        <v>836</v>
      </c>
      <c r="H23" s="11" t="s">
        <v>859</v>
      </c>
      <c r="N23" s="11" t="s">
        <v>860</v>
      </c>
      <c r="O23" s="11"/>
    </row>
    <row r="25" spans="1:18" x14ac:dyDescent="0.3">
      <c r="A25" s="3" t="s">
        <v>827</v>
      </c>
      <c r="B25" s="3" t="s">
        <v>837</v>
      </c>
      <c r="C25" s="3"/>
      <c r="D25" s="3"/>
      <c r="E25" s="3"/>
      <c r="H25" s="3" t="s">
        <v>827</v>
      </c>
      <c r="I25" s="3" t="s">
        <v>7</v>
      </c>
      <c r="J25" s="3"/>
      <c r="K25" s="3"/>
      <c r="L25" s="3"/>
      <c r="N25" s="3" t="s">
        <v>827</v>
      </c>
      <c r="O25" s="3" t="s">
        <v>7</v>
      </c>
      <c r="P25" s="3"/>
      <c r="Q25" s="3"/>
      <c r="R25" s="3"/>
    </row>
    <row r="26" spans="1:18" x14ac:dyDescent="0.3">
      <c r="A26" s="3" t="s">
        <v>828</v>
      </c>
      <c r="B26" s="3" t="s">
        <v>22</v>
      </c>
      <c r="C26" s="3" t="s">
        <v>43</v>
      </c>
      <c r="D26" s="3" t="s">
        <v>58</v>
      </c>
      <c r="E26" s="3" t="s">
        <v>829</v>
      </c>
      <c r="H26" s="3" t="s">
        <v>8</v>
      </c>
      <c r="I26" s="3" t="s">
        <v>22</v>
      </c>
      <c r="J26" s="3" t="s">
        <v>43</v>
      </c>
      <c r="K26" s="3" t="s">
        <v>58</v>
      </c>
      <c r="L26" s="3" t="s">
        <v>829</v>
      </c>
      <c r="N26" s="3" t="s">
        <v>9</v>
      </c>
      <c r="O26" s="3" t="s">
        <v>22</v>
      </c>
      <c r="P26" s="3" t="s">
        <v>43</v>
      </c>
      <c r="Q26" s="3" t="s">
        <v>58</v>
      </c>
      <c r="R26" s="3" t="s">
        <v>829</v>
      </c>
    </row>
    <row r="27" spans="1:18" x14ac:dyDescent="0.3">
      <c r="A27" s="4" t="s">
        <v>847</v>
      </c>
      <c r="B27" s="12">
        <v>0.60819703515420476</v>
      </c>
      <c r="C27" s="12">
        <v>0.11810022904091137</v>
      </c>
      <c r="D27" s="12">
        <v>0.27370273580488391</v>
      </c>
      <c r="E27" s="12">
        <v>1</v>
      </c>
      <c r="H27" s="3" t="s">
        <v>86</v>
      </c>
      <c r="I27" s="22">
        <v>324639</v>
      </c>
      <c r="J27" s="22">
        <v>427866</v>
      </c>
      <c r="K27" s="22">
        <v>233446</v>
      </c>
      <c r="L27" s="22">
        <v>985951</v>
      </c>
      <c r="N27" s="3" t="s">
        <v>709</v>
      </c>
      <c r="O27" s="22">
        <v>164787</v>
      </c>
      <c r="P27" s="22">
        <v>169287</v>
      </c>
      <c r="Q27" s="22">
        <v>99051</v>
      </c>
      <c r="R27" s="22">
        <v>433125</v>
      </c>
    </row>
    <row r="28" spans="1:18" x14ac:dyDescent="0.3">
      <c r="A28" s="4" t="s">
        <v>848</v>
      </c>
      <c r="B28" s="12">
        <v>0.40512718944091491</v>
      </c>
      <c r="C28" s="12">
        <v>0.48009760754858793</v>
      </c>
      <c r="D28" s="12">
        <v>0.11477520301049712</v>
      </c>
      <c r="E28" s="12">
        <v>1</v>
      </c>
      <c r="H28" s="3" t="s">
        <v>71</v>
      </c>
      <c r="I28" s="22">
        <v>763551</v>
      </c>
      <c r="J28" s="22">
        <v>747627</v>
      </c>
      <c r="K28" s="22">
        <v>580580</v>
      </c>
      <c r="L28" s="22">
        <v>2091758</v>
      </c>
      <c r="N28" s="3" t="s">
        <v>558</v>
      </c>
      <c r="O28" s="22">
        <v>164261</v>
      </c>
      <c r="P28" s="22">
        <v>88425</v>
      </c>
      <c r="Q28" s="22">
        <v>22735</v>
      </c>
      <c r="R28" s="22">
        <v>275421</v>
      </c>
    </row>
    <row r="29" spans="1:18" x14ac:dyDescent="0.3">
      <c r="A29" s="4" t="s">
        <v>849</v>
      </c>
      <c r="B29" s="12">
        <v>0.17208701153270023</v>
      </c>
      <c r="C29" s="12">
        <v>0.16482090138305144</v>
      </c>
      <c r="D29" s="12">
        <v>0.66309208708424838</v>
      </c>
      <c r="E29" s="12">
        <v>1</v>
      </c>
      <c r="H29" s="3" t="s">
        <v>23</v>
      </c>
      <c r="I29" s="22">
        <v>370705</v>
      </c>
      <c r="J29" s="22">
        <v>136492</v>
      </c>
      <c r="K29" s="22">
        <v>151944</v>
      </c>
      <c r="L29" s="22">
        <v>659141</v>
      </c>
      <c r="N29" s="3" t="s">
        <v>511</v>
      </c>
      <c r="O29" s="22">
        <v>450607</v>
      </c>
      <c r="P29" s="22">
        <v>515348</v>
      </c>
      <c r="Q29" s="22">
        <v>417067</v>
      </c>
      <c r="R29" s="22">
        <v>1383022</v>
      </c>
    </row>
    <row r="30" spans="1:18" x14ac:dyDescent="0.3">
      <c r="A30" s="4" t="s">
        <v>850</v>
      </c>
      <c r="B30" s="12">
        <v>0.40850479216199492</v>
      </c>
      <c r="C30" s="12">
        <v>0.29104722877725109</v>
      </c>
      <c r="D30" s="12">
        <v>0.30044797906075399</v>
      </c>
      <c r="E30" s="12">
        <v>1</v>
      </c>
      <c r="H30" s="3" t="s">
        <v>188</v>
      </c>
      <c r="I30" s="22">
        <v>140083</v>
      </c>
      <c r="J30" s="22">
        <v>106374</v>
      </c>
      <c r="K30" s="22">
        <v>242039</v>
      </c>
      <c r="L30" s="22">
        <v>488496</v>
      </c>
      <c r="N30" s="3" t="s">
        <v>202</v>
      </c>
      <c r="O30" s="22">
        <v>181813</v>
      </c>
      <c r="P30" s="22">
        <v>46126</v>
      </c>
      <c r="Q30" s="22">
        <v>71155</v>
      </c>
      <c r="R30" s="22">
        <v>299094</v>
      </c>
    </row>
    <row r="31" spans="1:18" x14ac:dyDescent="0.3">
      <c r="A31" s="4" t="s">
        <v>851</v>
      </c>
      <c r="B31" s="12">
        <v>0.44968570130263558</v>
      </c>
      <c r="C31" s="12">
        <v>0.26734701605574068</v>
      </c>
      <c r="D31" s="12">
        <v>0.28296728264162374</v>
      </c>
      <c r="E31" s="12">
        <v>1</v>
      </c>
      <c r="H31" s="18" t="s">
        <v>829</v>
      </c>
      <c r="I31" s="5">
        <v>1598978</v>
      </c>
      <c r="J31" s="5">
        <v>1418359</v>
      </c>
      <c r="K31" s="5">
        <v>1208009</v>
      </c>
      <c r="L31" s="5">
        <v>4225346</v>
      </c>
      <c r="N31" s="3" t="s">
        <v>87</v>
      </c>
      <c r="O31" s="22">
        <v>50604</v>
      </c>
      <c r="P31" s="22">
        <v>191863</v>
      </c>
      <c r="Q31" s="22">
        <v>48492</v>
      </c>
      <c r="R31" s="22">
        <v>290959</v>
      </c>
    </row>
    <row r="32" spans="1:18" x14ac:dyDescent="0.3">
      <c r="A32" s="4" t="s">
        <v>852</v>
      </c>
      <c r="B32" s="12">
        <v>0.34323430795563786</v>
      </c>
      <c r="C32" s="12">
        <v>0.46307299116040235</v>
      </c>
      <c r="D32" s="12">
        <v>0.19369270088395976</v>
      </c>
      <c r="E32" s="12">
        <v>1</v>
      </c>
      <c r="N32" s="18" t="s">
        <v>829</v>
      </c>
      <c r="O32" s="5">
        <v>1012072</v>
      </c>
      <c r="P32" s="5">
        <v>1011049</v>
      </c>
      <c r="Q32" s="5">
        <v>658500</v>
      </c>
      <c r="R32" s="5">
        <v>2681621</v>
      </c>
    </row>
    <row r="33" spans="1:14" x14ac:dyDescent="0.3">
      <c r="A33" s="4" t="s">
        <v>853</v>
      </c>
      <c r="B33" s="12">
        <v>0.53851676698194328</v>
      </c>
      <c r="C33" s="12">
        <v>0.10391229578675838</v>
      </c>
      <c r="D33" s="12">
        <v>0.35757093723129835</v>
      </c>
      <c r="E33" s="12">
        <v>1</v>
      </c>
    </row>
    <row r="34" spans="1:14" x14ac:dyDescent="0.3">
      <c r="A34" s="4" t="s">
        <v>854</v>
      </c>
      <c r="B34" s="12">
        <v>0.24184885882550503</v>
      </c>
      <c r="C34" s="12">
        <v>0.29646084182057619</v>
      </c>
      <c r="D34" s="12">
        <v>0.46169029935391875</v>
      </c>
      <c r="E34" s="12">
        <v>1</v>
      </c>
    </row>
    <row r="35" spans="1:14" x14ac:dyDescent="0.3">
      <c r="A35" s="4" t="s">
        <v>855</v>
      </c>
      <c r="B35" s="12">
        <v>0.71972618133623856</v>
      </c>
      <c r="C35" s="12">
        <v>5.5449995067489606E-2</v>
      </c>
      <c r="D35" s="12">
        <v>0.22482382359627187</v>
      </c>
      <c r="E35" s="12">
        <v>1</v>
      </c>
    </row>
    <row r="36" spans="1:14" ht="15.6" x14ac:dyDescent="0.3">
      <c r="A36" s="4" t="s">
        <v>856</v>
      </c>
      <c r="B36" s="12">
        <v>0.2031830347643987</v>
      </c>
      <c r="C36" s="12">
        <v>0.75751337307616218</v>
      </c>
      <c r="D36" s="12">
        <v>3.9303592159439169E-2</v>
      </c>
      <c r="E36" s="12">
        <v>1</v>
      </c>
      <c r="H36" s="11" t="s">
        <v>861</v>
      </c>
      <c r="L36" s="11" t="s">
        <v>864</v>
      </c>
      <c r="M36" s="11"/>
      <c r="N36" s="11"/>
    </row>
    <row r="37" spans="1:14" x14ac:dyDescent="0.3">
      <c r="A37" s="4" t="s">
        <v>857</v>
      </c>
      <c r="B37" s="12">
        <v>0.3681190741773564</v>
      </c>
      <c r="C37" s="12">
        <v>0.40181957612939206</v>
      </c>
      <c r="D37" s="12">
        <v>0.23006134969325154</v>
      </c>
      <c r="E37" s="12">
        <v>1</v>
      </c>
    </row>
    <row r="38" spans="1:14" x14ac:dyDescent="0.3">
      <c r="A38" s="4" t="s">
        <v>858</v>
      </c>
      <c r="B38" s="12">
        <v>0.39890466160809307</v>
      </c>
      <c r="C38" s="12">
        <v>0.39732437177306051</v>
      </c>
      <c r="D38" s="12">
        <v>0.20377096661884644</v>
      </c>
      <c r="E38" s="12">
        <v>1</v>
      </c>
      <c r="H38" s="3" t="s">
        <v>828</v>
      </c>
      <c r="I38" s="3" t="s">
        <v>827</v>
      </c>
      <c r="L38" s="3" t="s">
        <v>828</v>
      </c>
      <c r="M38" s="3" t="s">
        <v>827</v>
      </c>
    </row>
    <row r="39" spans="1:14" x14ac:dyDescent="0.3">
      <c r="A39" s="9" t="s">
        <v>829</v>
      </c>
      <c r="B39" s="12">
        <v>0.37842534078865969</v>
      </c>
      <c r="C39" s="12">
        <v>0.33567878228197168</v>
      </c>
      <c r="D39" s="12">
        <v>0.28589587692936863</v>
      </c>
      <c r="E39" s="12">
        <v>1</v>
      </c>
      <c r="H39" s="4" t="s">
        <v>22</v>
      </c>
      <c r="I39" s="41">
        <v>1598978</v>
      </c>
      <c r="L39" s="4" t="s">
        <v>188</v>
      </c>
      <c r="M39" s="22">
        <v>366056</v>
      </c>
    </row>
    <row r="40" spans="1:14" x14ac:dyDescent="0.3">
      <c r="H40" s="23" t="s">
        <v>0</v>
      </c>
      <c r="I40" s="41">
        <v>546928</v>
      </c>
      <c r="L40" s="23" t="s">
        <v>791</v>
      </c>
      <c r="M40" s="22">
        <v>119216</v>
      </c>
    </row>
    <row r="41" spans="1:14" x14ac:dyDescent="0.3">
      <c r="H41" s="23" t="s">
        <v>21</v>
      </c>
      <c r="I41" s="41">
        <v>653974</v>
      </c>
      <c r="L41" s="23" t="s">
        <v>772</v>
      </c>
      <c r="M41" s="22">
        <v>173537</v>
      </c>
    </row>
    <row r="42" spans="1:14" ht="15.6" x14ac:dyDescent="0.3">
      <c r="A42" s="11" t="s">
        <v>839</v>
      </c>
      <c r="H42" s="23" t="s">
        <v>68</v>
      </c>
      <c r="I42" s="41">
        <v>294403</v>
      </c>
      <c r="L42" s="23" t="s">
        <v>688</v>
      </c>
      <c r="M42" s="22">
        <v>73303</v>
      </c>
    </row>
    <row r="43" spans="1:14" x14ac:dyDescent="0.3">
      <c r="H43" s="23" t="s">
        <v>50</v>
      </c>
      <c r="I43" s="41">
        <v>103673</v>
      </c>
      <c r="L43" s="4" t="s">
        <v>23</v>
      </c>
      <c r="M43" s="22">
        <v>628739</v>
      </c>
    </row>
    <row r="44" spans="1:14" x14ac:dyDescent="0.3">
      <c r="A44" s="3" t="s">
        <v>8</v>
      </c>
      <c r="B44" s="3" t="s">
        <v>840</v>
      </c>
      <c r="H44" s="4" t="s">
        <v>43</v>
      </c>
      <c r="I44" s="41">
        <v>1418359</v>
      </c>
      <c r="L44" s="23" t="s">
        <v>202</v>
      </c>
      <c r="M44" s="22">
        <v>299094</v>
      </c>
    </row>
    <row r="45" spans="1:14" x14ac:dyDescent="0.3">
      <c r="A45" s="3" t="s">
        <v>86</v>
      </c>
      <c r="B45" s="12">
        <v>0.31789627476416166</v>
      </c>
      <c r="H45" s="23" t="s">
        <v>0</v>
      </c>
      <c r="I45" s="41">
        <v>313696</v>
      </c>
      <c r="L45" s="23" t="s">
        <v>154</v>
      </c>
      <c r="M45" s="22">
        <v>109564</v>
      </c>
    </row>
    <row r="46" spans="1:14" x14ac:dyDescent="0.3">
      <c r="A46" s="3" t="s">
        <v>71</v>
      </c>
      <c r="B46" s="12">
        <v>0.24755654812841629</v>
      </c>
      <c r="H46" s="23" t="s">
        <v>21</v>
      </c>
      <c r="I46" s="41">
        <v>457838</v>
      </c>
      <c r="L46" s="23" t="s">
        <v>24</v>
      </c>
      <c r="M46" s="22">
        <v>220081</v>
      </c>
    </row>
    <row r="47" spans="1:14" x14ac:dyDescent="0.3">
      <c r="A47" s="3" t="s">
        <v>23</v>
      </c>
      <c r="B47" s="12">
        <v>0.33168009576099811</v>
      </c>
      <c r="H47" s="23" t="s">
        <v>68</v>
      </c>
      <c r="I47" s="41">
        <v>525604</v>
      </c>
      <c r="L47" s="4" t="s">
        <v>86</v>
      </c>
      <c r="M47" s="41">
        <v>788187</v>
      </c>
    </row>
    <row r="48" spans="1:14" x14ac:dyDescent="0.3">
      <c r="A48" s="3" t="s">
        <v>188</v>
      </c>
      <c r="B48" s="12">
        <v>0.36715854377517915</v>
      </c>
      <c r="H48" s="23" t="s">
        <v>50</v>
      </c>
      <c r="I48" s="41">
        <v>121221</v>
      </c>
      <c r="L48" s="23" t="s">
        <v>709</v>
      </c>
      <c r="M48" s="22">
        <v>433125</v>
      </c>
    </row>
    <row r="49" spans="1:13" x14ac:dyDescent="0.3">
      <c r="A49" s="18" t="s">
        <v>829</v>
      </c>
      <c r="B49" s="12">
        <v>0.29092007376437323</v>
      </c>
      <c r="H49" s="4" t="s">
        <v>58</v>
      </c>
      <c r="I49" s="41">
        <v>1208009</v>
      </c>
      <c r="L49" s="23" t="s">
        <v>120</v>
      </c>
      <c r="M49" s="22">
        <v>64103</v>
      </c>
    </row>
    <row r="50" spans="1:13" x14ac:dyDescent="0.3">
      <c r="H50" s="23" t="s">
        <v>0</v>
      </c>
      <c r="I50" s="41">
        <v>342162</v>
      </c>
      <c r="L50" s="23" t="s">
        <v>87</v>
      </c>
      <c r="M50" s="22">
        <v>290959</v>
      </c>
    </row>
    <row r="51" spans="1:13" ht="15.6" x14ac:dyDescent="0.3">
      <c r="A51" s="11" t="s">
        <v>872</v>
      </c>
      <c r="H51" s="23" t="s">
        <v>21</v>
      </c>
      <c r="I51" s="41">
        <v>317848</v>
      </c>
      <c r="L51" s="4" t="s">
        <v>71</v>
      </c>
      <c r="M51" s="22">
        <v>1801781</v>
      </c>
    </row>
    <row r="52" spans="1:13" x14ac:dyDescent="0.3">
      <c r="H52" s="23" t="s">
        <v>68</v>
      </c>
      <c r="I52" s="41">
        <v>470393</v>
      </c>
      <c r="L52" s="23" t="s">
        <v>558</v>
      </c>
      <c r="M52" s="22">
        <v>275421</v>
      </c>
    </row>
    <row r="53" spans="1:13" x14ac:dyDescent="0.3">
      <c r="A53" s="3" t="s">
        <v>8</v>
      </c>
      <c r="B53" s="3" t="s">
        <v>3</v>
      </c>
      <c r="C53" s="3" t="s">
        <v>827</v>
      </c>
      <c r="D53" s="3" t="s">
        <v>838</v>
      </c>
      <c r="E53" s="3" t="s">
        <v>841</v>
      </c>
      <c r="H53" s="23" t="s">
        <v>50</v>
      </c>
      <c r="I53" s="41">
        <v>77606</v>
      </c>
      <c r="L53" s="23" t="s">
        <v>511</v>
      </c>
      <c r="M53" s="22">
        <v>1383022</v>
      </c>
    </row>
    <row r="54" spans="1:13" x14ac:dyDescent="0.3">
      <c r="A54" s="3" t="s">
        <v>86</v>
      </c>
      <c r="B54" s="3"/>
      <c r="C54" s="22">
        <v>985951</v>
      </c>
      <c r="D54" s="22">
        <v>313430.14999999997</v>
      </c>
      <c r="E54" s="13">
        <v>0.31789627476416166</v>
      </c>
      <c r="H54" s="9" t="s">
        <v>829</v>
      </c>
      <c r="I54" s="5">
        <v>4225346</v>
      </c>
      <c r="L54" s="23" t="s">
        <v>333</v>
      </c>
      <c r="M54" s="22">
        <v>143338</v>
      </c>
    </row>
    <row r="55" spans="1:13" x14ac:dyDescent="0.3">
      <c r="A55" s="3" t="s">
        <v>71</v>
      </c>
      <c r="B55" s="3"/>
      <c r="C55" s="22">
        <v>2091758</v>
      </c>
      <c r="D55" s="22">
        <v>517828.38999999978</v>
      </c>
      <c r="E55" s="13">
        <v>0.24755654812841629</v>
      </c>
      <c r="L55" s="9" t="s">
        <v>829</v>
      </c>
      <c r="M55" s="5">
        <v>3584763</v>
      </c>
    </row>
    <row r="56" spans="1:13" x14ac:dyDescent="0.3">
      <c r="A56" s="3" t="s">
        <v>23</v>
      </c>
      <c r="B56" s="3"/>
      <c r="C56" s="22">
        <v>659141</v>
      </c>
      <c r="D56" s="22">
        <v>218623.95000000004</v>
      </c>
      <c r="E56" s="13">
        <v>0.33168009576099811</v>
      </c>
    </row>
    <row r="57" spans="1:13" x14ac:dyDescent="0.3">
      <c r="A57" s="3" t="s">
        <v>188</v>
      </c>
      <c r="B57" s="3"/>
      <c r="C57" s="22">
        <v>488496</v>
      </c>
      <c r="D57" s="22">
        <v>179355.47999999992</v>
      </c>
      <c r="E57" s="13">
        <v>0.36715854377517915</v>
      </c>
    </row>
    <row r="58" spans="1:13" x14ac:dyDescent="0.3">
      <c r="A58" s="18" t="s">
        <v>829</v>
      </c>
      <c r="B58" s="18"/>
      <c r="C58" s="22">
        <v>4225346</v>
      </c>
      <c r="D58" s="22">
        <v>1229237.9699999997</v>
      </c>
      <c r="E58" s="13">
        <v>0.29092007376437323</v>
      </c>
    </row>
    <row r="60" spans="1:13" ht="15.6" x14ac:dyDescent="0.3">
      <c r="A60" s="11" t="s">
        <v>873</v>
      </c>
    </row>
    <row r="62" spans="1:13" x14ac:dyDescent="0.3">
      <c r="A62" s="3" t="s">
        <v>9</v>
      </c>
      <c r="B62" s="3" t="s">
        <v>827</v>
      </c>
      <c r="C62" s="3" t="s">
        <v>838</v>
      </c>
    </row>
    <row r="63" spans="1:13" x14ac:dyDescent="0.3">
      <c r="A63" s="3" t="s">
        <v>511</v>
      </c>
      <c r="B63" s="22">
        <v>1383022</v>
      </c>
      <c r="C63" s="22">
        <v>338961.91</v>
      </c>
    </row>
    <row r="64" spans="1:13" x14ac:dyDescent="0.3">
      <c r="A64" s="3" t="s">
        <v>709</v>
      </c>
      <c r="B64" s="22">
        <v>433125</v>
      </c>
      <c r="C64" s="22">
        <v>135942.22000000003</v>
      </c>
    </row>
    <row r="65" spans="1:11" x14ac:dyDescent="0.3">
      <c r="A65" s="3" t="s">
        <v>202</v>
      </c>
      <c r="B65" s="22">
        <v>299094</v>
      </c>
      <c r="C65" s="22">
        <v>94047.12999999999</v>
      </c>
    </row>
    <row r="66" spans="1:11" x14ac:dyDescent="0.3">
      <c r="A66" s="3" t="s">
        <v>87</v>
      </c>
      <c r="B66" s="22">
        <v>290959</v>
      </c>
      <c r="C66" s="22">
        <v>93692.069999999978</v>
      </c>
    </row>
    <row r="67" spans="1:11" x14ac:dyDescent="0.3">
      <c r="A67" s="3" t="s">
        <v>558</v>
      </c>
      <c r="B67" s="22">
        <v>275421</v>
      </c>
      <c r="C67" s="22">
        <v>69444.34</v>
      </c>
    </row>
    <row r="68" spans="1:11" x14ac:dyDescent="0.3">
      <c r="A68" s="3" t="s">
        <v>24</v>
      </c>
      <c r="B68" s="22">
        <v>220081</v>
      </c>
      <c r="C68" s="22">
        <v>72549.329999999987</v>
      </c>
    </row>
    <row r="69" spans="1:11" x14ac:dyDescent="0.3">
      <c r="A69" s="3" t="s">
        <v>772</v>
      </c>
      <c r="B69" s="22">
        <v>173537</v>
      </c>
      <c r="C69" s="22">
        <v>59490.469999999994</v>
      </c>
    </row>
    <row r="70" spans="1:11" x14ac:dyDescent="0.3">
      <c r="A70" s="3" t="s">
        <v>333</v>
      </c>
      <c r="B70" s="22">
        <v>143338</v>
      </c>
      <c r="C70" s="22">
        <v>35598.590000000004</v>
      </c>
    </row>
    <row r="71" spans="1:11" x14ac:dyDescent="0.3">
      <c r="A71" s="3" t="s">
        <v>791</v>
      </c>
      <c r="B71" s="22">
        <v>119216</v>
      </c>
      <c r="C71" s="22">
        <v>48276.200000000004</v>
      </c>
    </row>
    <row r="72" spans="1:11" x14ac:dyDescent="0.3">
      <c r="A72" s="3" t="s">
        <v>154</v>
      </c>
      <c r="B72" s="22">
        <v>109564</v>
      </c>
      <c r="C72" s="22">
        <v>41631.060000000005</v>
      </c>
    </row>
    <row r="73" spans="1:11" x14ac:dyDescent="0.3">
      <c r="A73" s="18" t="s">
        <v>829</v>
      </c>
      <c r="B73" s="22">
        <v>3447357</v>
      </c>
      <c r="C73" s="22">
        <v>989633.31999999983</v>
      </c>
    </row>
    <row r="76" spans="1:11" ht="15.6" x14ac:dyDescent="0.3">
      <c r="E76" s="11" t="s">
        <v>874</v>
      </c>
      <c r="I76" s="11" t="s">
        <v>879</v>
      </c>
    </row>
    <row r="78" spans="1:11" x14ac:dyDescent="0.3">
      <c r="E78" s="36" t="s">
        <v>828</v>
      </c>
      <c r="F78" t="s">
        <v>827</v>
      </c>
      <c r="G78" t="s">
        <v>877</v>
      </c>
      <c r="I78" s="36" t="s">
        <v>828</v>
      </c>
      <c r="J78" t="s">
        <v>827</v>
      </c>
      <c r="K78" t="s">
        <v>877</v>
      </c>
    </row>
    <row r="79" spans="1:11" x14ac:dyDescent="0.3">
      <c r="E79" s="26" t="s">
        <v>511</v>
      </c>
      <c r="F79" s="25">
        <v>1383022</v>
      </c>
      <c r="G79" s="40">
        <v>0.40118328330950348</v>
      </c>
      <c r="I79" s="26" t="s">
        <v>868</v>
      </c>
      <c r="J79" s="25">
        <v>3337793</v>
      </c>
      <c r="K79" s="40">
        <v>0.78994548612113658</v>
      </c>
    </row>
    <row r="80" spans="1:11" x14ac:dyDescent="0.3">
      <c r="E80" s="37" t="s">
        <v>868</v>
      </c>
      <c r="F80" s="25">
        <v>1383022</v>
      </c>
      <c r="G80" s="40">
        <v>0.40118328330950348</v>
      </c>
      <c r="I80" s="26" t="s">
        <v>867</v>
      </c>
      <c r="J80" s="25">
        <v>667920</v>
      </c>
      <c r="K80" s="40">
        <v>0.15807462868129615</v>
      </c>
    </row>
    <row r="81" spans="1:11" x14ac:dyDescent="0.3">
      <c r="E81" s="26" t="s">
        <v>709</v>
      </c>
      <c r="F81" s="25">
        <v>433125</v>
      </c>
      <c r="G81" s="40">
        <v>0.12563972921864489</v>
      </c>
      <c r="I81" s="26" t="s">
        <v>866</v>
      </c>
      <c r="J81" s="25">
        <v>219633</v>
      </c>
      <c r="K81" s="40">
        <v>5.1979885197567251E-2</v>
      </c>
    </row>
    <row r="82" spans="1:11" x14ac:dyDescent="0.3">
      <c r="E82" s="37" t="s">
        <v>868</v>
      </c>
      <c r="F82" s="25">
        <v>433125</v>
      </c>
      <c r="G82" s="40">
        <v>0.12563972921864489</v>
      </c>
      <c r="I82" s="26" t="s">
        <v>829</v>
      </c>
      <c r="J82" s="25">
        <v>4225346</v>
      </c>
      <c r="K82" s="40">
        <v>1</v>
      </c>
    </row>
    <row r="83" spans="1:11" x14ac:dyDescent="0.3">
      <c r="E83" s="26" t="s">
        <v>202</v>
      </c>
      <c r="F83" s="25">
        <v>299094</v>
      </c>
      <c r="G83" s="40">
        <v>8.6760379038202315E-2</v>
      </c>
    </row>
    <row r="84" spans="1:11" x14ac:dyDescent="0.3">
      <c r="E84" s="37" t="s">
        <v>868</v>
      </c>
      <c r="F84" s="25">
        <v>299094</v>
      </c>
      <c r="G84" s="40">
        <v>8.6760379038202315E-2</v>
      </c>
    </row>
    <row r="85" spans="1:11" x14ac:dyDescent="0.3">
      <c r="E85" s="26" t="s">
        <v>87</v>
      </c>
      <c r="F85" s="25">
        <v>290959</v>
      </c>
      <c r="G85" s="40">
        <v>8.440060022794274E-2</v>
      </c>
    </row>
    <row r="86" spans="1:11" x14ac:dyDescent="0.3">
      <c r="E86" s="37" t="s">
        <v>868</v>
      </c>
      <c r="F86" s="25">
        <v>290959</v>
      </c>
      <c r="G86" s="40">
        <v>8.440060022794274E-2</v>
      </c>
    </row>
    <row r="87" spans="1:11" x14ac:dyDescent="0.3">
      <c r="E87" s="26" t="s">
        <v>558</v>
      </c>
      <c r="F87" s="25">
        <v>275421</v>
      </c>
      <c r="G87" s="40">
        <v>7.9893379188752431E-2</v>
      </c>
    </row>
    <row r="88" spans="1:11" x14ac:dyDescent="0.3">
      <c r="E88" s="37" t="s">
        <v>868</v>
      </c>
      <c r="F88" s="25">
        <v>275421</v>
      </c>
      <c r="G88" s="40">
        <v>7.9893379188752431E-2</v>
      </c>
    </row>
    <row r="89" spans="1:11" x14ac:dyDescent="0.3">
      <c r="E89" s="26" t="s">
        <v>24</v>
      </c>
      <c r="F89" s="25">
        <v>220081</v>
      </c>
      <c r="G89" s="40">
        <v>6.3840501578455611E-2</v>
      </c>
    </row>
    <row r="90" spans="1:11" x14ac:dyDescent="0.3">
      <c r="E90" s="37" t="s">
        <v>868</v>
      </c>
      <c r="F90" s="25">
        <v>220081</v>
      </c>
      <c r="G90" s="40">
        <v>6.3840501578455611E-2</v>
      </c>
    </row>
    <row r="91" spans="1:11" x14ac:dyDescent="0.3">
      <c r="E91" s="26" t="s">
        <v>772</v>
      </c>
      <c r="F91" s="25">
        <v>173537</v>
      </c>
      <c r="G91" s="40">
        <v>5.0339143871667484E-2</v>
      </c>
    </row>
    <row r="92" spans="1:11" x14ac:dyDescent="0.3">
      <c r="E92" s="37" t="s">
        <v>868</v>
      </c>
      <c r="F92" s="25">
        <v>173537</v>
      </c>
      <c r="G92" s="40">
        <v>5.0339143871667484E-2</v>
      </c>
    </row>
    <row r="93" spans="1:11" ht="15.6" x14ac:dyDescent="0.3">
      <c r="A93" s="42" t="s">
        <v>876</v>
      </c>
      <c r="E93" s="26" t="s">
        <v>333</v>
      </c>
      <c r="F93" s="25">
        <v>143338</v>
      </c>
      <c r="G93" s="40">
        <v>4.1579099582665792E-2</v>
      </c>
    </row>
    <row r="94" spans="1:11" x14ac:dyDescent="0.3">
      <c r="E94" s="37" t="s">
        <v>868</v>
      </c>
      <c r="F94" s="25">
        <v>143338</v>
      </c>
      <c r="G94" s="40">
        <v>4.1579099582665792E-2</v>
      </c>
    </row>
    <row r="95" spans="1:11" x14ac:dyDescent="0.3">
      <c r="A95" s="3" t="s">
        <v>828</v>
      </c>
      <c r="B95" s="3" t="s">
        <v>827</v>
      </c>
      <c r="C95" s="3" t="s">
        <v>875</v>
      </c>
      <c r="E95" s="26" t="s">
        <v>791</v>
      </c>
      <c r="F95" s="25">
        <v>119216</v>
      </c>
      <c r="G95" s="40">
        <v>3.4581855026909018E-2</v>
      </c>
    </row>
    <row r="96" spans="1:11" x14ac:dyDescent="0.3">
      <c r="A96" s="4" t="s">
        <v>49</v>
      </c>
      <c r="B96" s="5">
        <v>1867860</v>
      </c>
      <c r="C96" s="5">
        <v>226766</v>
      </c>
      <c r="E96" s="37" t="s">
        <v>868</v>
      </c>
      <c r="F96" s="25">
        <v>119216</v>
      </c>
      <c r="G96" s="40">
        <v>3.4581855026909018E-2</v>
      </c>
    </row>
    <row r="97" spans="1:7" x14ac:dyDescent="0.3">
      <c r="A97" s="23" t="s">
        <v>847</v>
      </c>
      <c r="B97" s="41">
        <v>154485</v>
      </c>
      <c r="C97" s="41">
        <v>26328</v>
      </c>
      <c r="E97" s="26" t="s">
        <v>154</v>
      </c>
      <c r="F97" s="25">
        <v>109564</v>
      </c>
      <c r="G97" s="40">
        <v>3.1782028957256243E-2</v>
      </c>
    </row>
    <row r="98" spans="1:7" x14ac:dyDescent="0.3">
      <c r="A98" s="23" t="s">
        <v>848</v>
      </c>
      <c r="B98" s="41">
        <v>149567</v>
      </c>
      <c r="C98" s="41">
        <v>26325</v>
      </c>
      <c r="E98" s="37" t="s">
        <v>867</v>
      </c>
      <c r="F98" s="25">
        <v>109564</v>
      </c>
      <c r="G98" s="40">
        <v>3.1782028957256243E-2</v>
      </c>
    </row>
    <row r="99" spans="1:7" x14ac:dyDescent="0.3">
      <c r="A99" s="23" t="s">
        <v>849</v>
      </c>
      <c r="B99" s="41">
        <v>353487</v>
      </c>
      <c r="C99" s="41">
        <v>16199</v>
      </c>
      <c r="E99" s="26" t="s">
        <v>829</v>
      </c>
      <c r="F99" s="25">
        <v>3447357</v>
      </c>
      <c r="G99" s="40">
        <v>1</v>
      </c>
    </row>
    <row r="100" spans="1:7" x14ac:dyDescent="0.3">
      <c r="A100" s="23" t="s">
        <v>850</v>
      </c>
      <c r="B100" s="41">
        <v>134066</v>
      </c>
      <c r="C100" s="41">
        <v>22272</v>
      </c>
    </row>
    <row r="101" spans="1:7" x14ac:dyDescent="0.3">
      <c r="A101" s="23" t="s">
        <v>851</v>
      </c>
      <c r="B101" s="41">
        <v>91041</v>
      </c>
      <c r="C101" s="41">
        <v>20255</v>
      </c>
    </row>
    <row r="102" spans="1:7" x14ac:dyDescent="0.3">
      <c r="A102" s="23" t="s">
        <v>852</v>
      </c>
      <c r="B102" s="41">
        <v>46786</v>
      </c>
      <c r="C102" s="41">
        <v>12146</v>
      </c>
    </row>
    <row r="103" spans="1:7" x14ac:dyDescent="0.3">
      <c r="A103" s="23" t="s">
        <v>853</v>
      </c>
      <c r="B103" s="41">
        <v>89635</v>
      </c>
      <c r="C103" s="41">
        <v>10122</v>
      </c>
    </row>
    <row r="104" spans="1:7" x14ac:dyDescent="0.3">
      <c r="A104" s="23" t="s">
        <v>854</v>
      </c>
      <c r="B104" s="41">
        <v>186789</v>
      </c>
      <c r="C104" s="41">
        <v>22269</v>
      </c>
    </row>
    <row r="105" spans="1:7" x14ac:dyDescent="0.3">
      <c r="A105" s="23" t="s">
        <v>855</v>
      </c>
      <c r="B105" s="41">
        <v>93976</v>
      </c>
      <c r="C105" s="41">
        <v>18217</v>
      </c>
    </row>
    <row r="106" spans="1:7" x14ac:dyDescent="0.3">
      <c r="A106" s="23" t="s">
        <v>856</v>
      </c>
      <c r="B106" s="41">
        <v>362018</v>
      </c>
      <c r="C106" s="41">
        <v>14172</v>
      </c>
    </row>
    <row r="107" spans="1:7" x14ac:dyDescent="0.3">
      <c r="A107" s="23" t="s">
        <v>857</v>
      </c>
      <c r="B107" s="41">
        <v>66680</v>
      </c>
      <c r="C107" s="41">
        <v>8098</v>
      </c>
    </row>
    <row r="108" spans="1:7" x14ac:dyDescent="0.3">
      <c r="A108" s="23" t="s">
        <v>858</v>
      </c>
      <c r="B108" s="41">
        <v>139330</v>
      </c>
      <c r="C108" s="41">
        <v>30363</v>
      </c>
    </row>
    <row r="109" spans="1:7" x14ac:dyDescent="0.3">
      <c r="A109" s="4" t="s">
        <v>20</v>
      </c>
      <c r="B109" s="5">
        <v>2357486</v>
      </c>
      <c r="C109" s="5">
        <v>785609</v>
      </c>
    </row>
    <row r="110" spans="1:7" x14ac:dyDescent="0.3">
      <c r="A110" s="23" t="s">
        <v>847</v>
      </c>
      <c r="B110" s="41">
        <v>279062</v>
      </c>
      <c r="C110" s="41">
        <v>85054</v>
      </c>
    </row>
    <row r="111" spans="1:7" x14ac:dyDescent="0.3">
      <c r="A111" s="23" t="s">
        <v>848</v>
      </c>
      <c r="B111" s="41">
        <v>244255</v>
      </c>
      <c r="C111" s="41">
        <v>64803</v>
      </c>
    </row>
    <row r="112" spans="1:7" x14ac:dyDescent="0.3">
      <c r="A112" s="23" t="s">
        <v>849</v>
      </c>
      <c r="B112" s="41">
        <v>196601</v>
      </c>
      <c r="C112" s="41">
        <v>85050</v>
      </c>
    </row>
    <row r="113" spans="1:3" x14ac:dyDescent="0.3">
      <c r="A113" s="23" t="s">
        <v>850</v>
      </c>
      <c r="B113" s="41">
        <v>203673</v>
      </c>
      <c r="C113" s="41">
        <v>78977</v>
      </c>
    </row>
    <row r="114" spans="1:3" x14ac:dyDescent="0.3">
      <c r="A114" s="23" t="s">
        <v>851</v>
      </c>
      <c r="B114" s="41">
        <v>173039</v>
      </c>
      <c r="C114" s="41">
        <v>74924</v>
      </c>
    </row>
    <row r="115" spans="1:3" x14ac:dyDescent="0.3">
      <c r="A115" s="23" t="s">
        <v>852</v>
      </c>
      <c r="B115" s="41">
        <v>166459</v>
      </c>
      <c r="C115" s="41">
        <v>64787</v>
      </c>
    </row>
    <row r="116" spans="1:3" x14ac:dyDescent="0.3">
      <c r="A116" s="23" t="s">
        <v>853</v>
      </c>
      <c r="B116" s="41">
        <v>142965</v>
      </c>
      <c r="C116" s="41">
        <v>40492</v>
      </c>
    </row>
    <row r="117" spans="1:3" x14ac:dyDescent="0.3">
      <c r="A117" s="23" t="s">
        <v>854</v>
      </c>
      <c r="B117" s="41">
        <v>152642</v>
      </c>
      <c r="C117" s="41">
        <v>42513</v>
      </c>
    </row>
    <row r="118" spans="1:3" x14ac:dyDescent="0.3">
      <c r="A118" s="23" t="s">
        <v>855</v>
      </c>
      <c r="B118" s="41">
        <v>139171</v>
      </c>
      <c r="C118" s="41">
        <v>38464</v>
      </c>
    </row>
    <row r="119" spans="1:3" x14ac:dyDescent="0.3">
      <c r="A119" s="23" t="s">
        <v>856</v>
      </c>
      <c r="B119" s="41">
        <v>173760</v>
      </c>
      <c r="C119" s="41">
        <v>70856</v>
      </c>
    </row>
    <row r="120" spans="1:3" x14ac:dyDescent="0.3">
      <c r="A120" s="23" t="s">
        <v>857</v>
      </c>
      <c r="B120" s="41">
        <v>220200</v>
      </c>
      <c r="C120" s="41">
        <v>60733</v>
      </c>
    </row>
    <row r="121" spans="1:3" x14ac:dyDescent="0.3">
      <c r="A121" s="23" t="s">
        <v>858</v>
      </c>
      <c r="B121" s="41">
        <v>265659</v>
      </c>
      <c r="C121" s="41">
        <v>78956</v>
      </c>
    </row>
    <row r="122" spans="1:3" x14ac:dyDescent="0.3">
      <c r="A122" s="9" t="s">
        <v>829</v>
      </c>
      <c r="B122" s="5">
        <v>4225346</v>
      </c>
      <c r="C122" s="5">
        <v>1012375</v>
      </c>
    </row>
    <row r="125" spans="1:3" ht="15.6" x14ac:dyDescent="0.3">
      <c r="A125" s="11" t="s">
        <v>878</v>
      </c>
    </row>
    <row r="127" spans="1:3" x14ac:dyDescent="0.3">
      <c r="A127" s="36" t="s">
        <v>828</v>
      </c>
      <c r="B127" t="s">
        <v>838</v>
      </c>
      <c r="C127" t="s">
        <v>877</v>
      </c>
    </row>
    <row r="128" spans="1:3" x14ac:dyDescent="0.3">
      <c r="A128" s="26" t="s">
        <v>511</v>
      </c>
      <c r="B128" s="30">
        <v>338961.91</v>
      </c>
      <c r="C128" s="40">
        <v>0.30893282674686984</v>
      </c>
    </row>
    <row r="129" spans="1:3" x14ac:dyDescent="0.3">
      <c r="A129" s="37" t="s">
        <v>868</v>
      </c>
      <c r="B129" s="30">
        <v>338961.91</v>
      </c>
      <c r="C129" s="40">
        <v>0.30893282674686984</v>
      </c>
    </row>
    <row r="130" spans="1:3" x14ac:dyDescent="0.3">
      <c r="A130" s="26" t="s">
        <v>709</v>
      </c>
      <c r="B130" s="30">
        <v>135942.22000000003</v>
      </c>
      <c r="C130" s="40">
        <v>0.12389891919963773</v>
      </c>
    </row>
    <row r="131" spans="1:3" x14ac:dyDescent="0.3">
      <c r="A131" s="37" t="s">
        <v>868</v>
      </c>
      <c r="B131" s="30">
        <v>135942.22000000003</v>
      </c>
      <c r="C131" s="40">
        <v>0.12389891919963773</v>
      </c>
    </row>
    <row r="132" spans="1:3" x14ac:dyDescent="0.3">
      <c r="A132" s="26" t="s">
        <v>202</v>
      </c>
      <c r="B132" s="30">
        <v>94047.12999999999</v>
      </c>
      <c r="C132" s="40">
        <v>8.571537055101662E-2</v>
      </c>
    </row>
    <row r="133" spans="1:3" x14ac:dyDescent="0.3">
      <c r="A133" s="37" t="s">
        <v>868</v>
      </c>
      <c r="B133" s="30">
        <v>94047.12999999999</v>
      </c>
      <c r="C133" s="40">
        <v>8.571537055101662E-2</v>
      </c>
    </row>
    <row r="134" spans="1:3" x14ac:dyDescent="0.3">
      <c r="A134" s="26" t="s">
        <v>87</v>
      </c>
      <c r="B134" s="30">
        <v>93692.069999999978</v>
      </c>
      <c r="C134" s="40">
        <v>8.5391765785322593E-2</v>
      </c>
    </row>
    <row r="135" spans="1:3" x14ac:dyDescent="0.3">
      <c r="A135" s="37" t="s">
        <v>868</v>
      </c>
      <c r="B135" s="30">
        <v>93692.069999999978</v>
      </c>
      <c r="C135" s="40">
        <v>8.5391765785322593E-2</v>
      </c>
    </row>
    <row r="136" spans="1:3" x14ac:dyDescent="0.3">
      <c r="A136" s="26" t="s">
        <v>24</v>
      </c>
      <c r="B136" s="30">
        <v>72549.329999999987</v>
      </c>
      <c r="C136" s="40">
        <v>6.6122089043844146E-2</v>
      </c>
    </row>
    <row r="137" spans="1:3" x14ac:dyDescent="0.3">
      <c r="A137" s="37" t="s">
        <v>868</v>
      </c>
      <c r="B137" s="30">
        <v>72549.329999999987</v>
      </c>
      <c r="C137" s="40">
        <v>6.6122089043844146E-2</v>
      </c>
    </row>
    <row r="138" spans="1:3" x14ac:dyDescent="0.3">
      <c r="A138" s="26" t="s">
        <v>558</v>
      </c>
      <c r="B138" s="30">
        <v>69444.34</v>
      </c>
      <c r="C138" s="40">
        <v>6.329217420851424E-2</v>
      </c>
    </row>
    <row r="139" spans="1:3" x14ac:dyDescent="0.3">
      <c r="A139" s="37" t="s">
        <v>868</v>
      </c>
      <c r="B139" s="30">
        <v>69444.34</v>
      </c>
      <c r="C139" s="40">
        <v>6.329217420851424E-2</v>
      </c>
    </row>
    <row r="140" spans="1:3" x14ac:dyDescent="0.3">
      <c r="A140" s="26" t="s">
        <v>772</v>
      </c>
      <c r="B140" s="30">
        <v>59490.469999999994</v>
      </c>
      <c r="C140" s="40">
        <v>5.4220130697280579E-2</v>
      </c>
    </row>
    <row r="141" spans="1:3" x14ac:dyDescent="0.3">
      <c r="A141" s="37" t="s">
        <v>868</v>
      </c>
      <c r="B141" s="30">
        <v>59490.469999999994</v>
      </c>
      <c r="C141" s="40">
        <v>5.4220130697280579E-2</v>
      </c>
    </row>
    <row r="142" spans="1:3" x14ac:dyDescent="0.3">
      <c r="A142" s="26" t="s">
        <v>791</v>
      </c>
      <c r="B142" s="30">
        <v>48276.200000000004</v>
      </c>
      <c r="C142" s="40">
        <v>4.3999347686580009E-2</v>
      </c>
    </row>
    <row r="143" spans="1:3" x14ac:dyDescent="0.3">
      <c r="A143" s="37" t="s">
        <v>868</v>
      </c>
      <c r="B143" s="30">
        <v>48276.200000000004</v>
      </c>
      <c r="C143" s="40">
        <v>4.3999347686580009E-2</v>
      </c>
    </row>
    <row r="144" spans="1:3" x14ac:dyDescent="0.3">
      <c r="A144" s="26" t="s">
        <v>154</v>
      </c>
      <c r="B144" s="30">
        <v>41631.060000000005</v>
      </c>
      <c r="C144" s="40">
        <v>3.7942909415009329E-2</v>
      </c>
    </row>
    <row r="145" spans="1:3" x14ac:dyDescent="0.3">
      <c r="A145" s="37" t="s">
        <v>868</v>
      </c>
      <c r="B145" s="30">
        <v>41631.060000000005</v>
      </c>
      <c r="C145" s="40">
        <v>3.7942909415009329E-2</v>
      </c>
    </row>
    <row r="146" spans="1:3" x14ac:dyDescent="0.3">
      <c r="A146" s="26" t="s">
        <v>333</v>
      </c>
      <c r="B146" s="30">
        <v>35598.590000000004</v>
      </c>
      <c r="C146" s="40">
        <v>3.2444863899022916E-2</v>
      </c>
    </row>
    <row r="147" spans="1:3" x14ac:dyDescent="0.3">
      <c r="A147" s="37" t="s">
        <v>867</v>
      </c>
      <c r="B147" s="30">
        <v>35598.590000000004</v>
      </c>
      <c r="C147" s="40">
        <v>3.2444863899022916E-2</v>
      </c>
    </row>
    <row r="148" spans="1:3" x14ac:dyDescent="0.3">
      <c r="A148" s="26" t="s">
        <v>688</v>
      </c>
      <c r="B148" s="30">
        <v>28983.08</v>
      </c>
      <c r="C148" s="40">
        <v>2.6415430666621716E-2</v>
      </c>
    </row>
    <row r="149" spans="1:3" x14ac:dyDescent="0.3">
      <c r="A149" s="37" t="s">
        <v>867</v>
      </c>
      <c r="B149" s="30">
        <v>28983.08</v>
      </c>
      <c r="C149" s="40">
        <v>2.6415430666621716E-2</v>
      </c>
    </row>
    <row r="150" spans="1:3" x14ac:dyDescent="0.3">
      <c r="A150" s="26" t="s">
        <v>675</v>
      </c>
      <c r="B150" s="30">
        <v>23937.09</v>
      </c>
      <c r="C150" s="40">
        <v>2.1816471584651595E-2</v>
      </c>
    </row>
    <row r="151" spans="1:3" x14ac:dyDescent="0.3">
      <c r="A151" s="37" t="s">
        <v>867</v>
      </c>
      <c r="B151" s="30">
        <v>23937.09</v>
      </c>
      <c r="C151" s="40">
        <v>2.1816471584651595E-2</v>
      </c>
    </row>
    <row r="152" spans="1:3" x14ac:dyDescent="0.3">
      <c r="A152" s="26" t="s">
        <v>120</v>
      </c>
      <c r="B152" s="30">
        <v>19538.489999999998</v>
      </c>
      <c r="C152" s="40">
        <v>1.7807549367613161E-2</v>
      </c>
    </row>
    <row r="153" spans="1:3" x14ac:dyDescent="0.3">
      <c r="A153" s="37" t="s">
        <v>867</v>
      </c>
      <c r="B153" s="30">
        <v>19538.489999999998</v>
      </c>
      <c r="C153" s="40">
        <v>1.7807549367613161E-2</v>
      </c>
    </row>
    <row r="154" spans="1:3" x14ac:dyDescent="0.3">
      <c r="A154" s="26" t="s">
        <v>367</v>
      </c>
      <c r="B154" s="30">
        <v>18207.289999999994</v>
      </c>
      <c r="C154" s="40">
        <v>1.6594282133647449E-2</v>
      </c>
    </row>
    <row r="155" spans="1:3" x14ac:dyDescent="0.3">
      <c r="A155" s="37" t="s">
        <v>867</v>
      </c>
      <c r="B155" s="30">
        <v>18207.289999999994</v>
      </c>
      <c r="C155" s="40">
        <v>1.6594282133647449E-2</v>
      </c>
    </row>
    <row r="156" spans="1:3" x14ac:dyDescent="0.3">
      <c r="A156" s="26" t="s">
        <v>310</v>
      </c>
      <c r="B156" s="30">
        <v>16903.36</v>
      </c>
      <c r="C156" s="40">
        <v>1.5405869014367928E-2</v>
      </c>
    </row>
    <row r="157" spans="1:3" x14ac:dyDescent="0.3">
      <c r="A157" s="37" t="s">
        <v>867</v>
      </c>
      <c r="B157" s="30">
        <v>16903.36</v>
      </c>
      <c r="C157" s="40">
        <v>1.5405869014367928E-2</v>
      </c>
    </row>
    <row r="158" spans="1:3" x14ac:dyDescent="0.3">
      <c r="A158" s="26" t="s">
        <v>829</v>
      </c>
      <c r="B158" s="30">
        <v>1097202.6300000001</v>
      </c>
      <c r="C158" s="40">
        <v>1</v>
      </c>
    </row>
  </sheetData>
  <mergeCells count="1">
    <mergeCell ref="A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Hárky</vt:lpstr>
      </vt:variant>
      <vt:variant>
        <vt:i4>8</vt:i4>
      </vt:variant>
    </vt:vector>
  </HeadingPairs>
  <TitlesOfParts>
    <vt:vector size="8" baseType="lpstr">
      <vt:lpstr>DH_predaj_kanal</vt:lpstr>
      <vt:lpstr>DH_predaj_region</vt:lpstr>
      <vt:lpstr>DH_predaj_kategorie</vt:lpstr>
      <vt:lpstr>DH_predaj_produkty</vt:lpstr>
      <vt:lpstr>ABC</vt:lpstr>
      <vt:lpstr>ABC Zisk</vt:lpstr>
      <vt:lpstr>Predaje</vt:lpstr>
      <vt:lpstr>Pomocne 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Magda Simo</cp:lastModifiedBy>
  <cp:revision>0</cp:revision>
  <dcterms:created xsi:type="dcterms:W3CDTF">2026-09-28T10:01:02Z</dcterms:created>
  <dcterms:modified xsi:type="dcterms:W3CDTF">2026-10-19T15:17:14Z</dcterms:modified>
  <dc:language>en-US</dc:language>
</cp:coreProperties>
</file>